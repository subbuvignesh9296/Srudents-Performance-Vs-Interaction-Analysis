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ocuments\DA - TN ANB12\MINI PROJECT\"/>
    </mc:Choice>
  </mc:AlternateContent>
  <bookViews>
    <workbookView xWindow="0" yWindow="0" windowWidth="20490" windowHeight="7650" activeTab="2"/>
  </bookViews>
  <sheets>
    <sheet name="Subbu- Mini Project EXcel Clean" sheetId="1" r:id="rId1"/>
    <sheet name="Students marks" sheetId="2" r:id="rId2"/>
    <sheet name="Students Interaction" sheetId="3" r:id="rId3"/>
    <sheet name="Remark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1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2" i="3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2" i="2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2" i="2"/>
</calcChain>
</file>

<file path=xl/sharedStrings.xml><?xml version="1.0" encoding="utf-8"?>
<sst xmlns="http://schemas.openxmlformats.org/spreadsheetml/2006/main" count="8037" uniqueCount="1044">
  <si>
    <t>student_id</t>
  </si>
  <si>
    <t>math_prev_score</t>
  </si>
  <si>
    <t>science_prev_score</t>
  </si>
  <si>
    <t>language_prev_score</t>
  </si>
  <si>
    <t>previous_score</t>
  </si>
  <si>
    <t>final_score</t>
  </si>
  <si>
    <t>average</t>
  </si>
  <si>
    <t>P/F</t>
  </si>
  <si>
    <t>daily_study_hours</t>
  </si>
  <si>
    <t>Remarks</t>
  </si>
  <si>
    <t>attendance_percentage</t>
  </si>
  <si>
    <t>Attendance</t>
  </si>
  <si>
    <t>homework_completion_rate</t>
  </si>
  <si>
    <t>sleep_hours</t>
  </si>
  <si>
    <t>screen_time_hours</t>
  </si>
  <si>
    <t>exam_anxiety_score</t>
  </si>
  <si>
    <t>Anxiety level</t>
  </si>
  <si>
    <t>parent_education_level</t>
  </si>
  <si>
    <t>S0001</t>
  </si>
  <si>
    <t>Pass</t>
  </si>
  <si>
    <t>Consistent</t>
  </si>
  <si>
    <t>High</t>
  </si>
  <si>
    <t>Master</t>
  </si>
  <si>
    <t>S0002</t>
  </si>
  <si>
    <t>Good</t>
  </si>
  <si>
    <t>Low</t>
  </si>
  <si>
    <t>High School</t>
  </si>
  <si>
    <t>S0003</t>
  </si>
  <si>
    <t>Moderate</t>
  </si>
  <si>
    <t>S0004</t>
  </si>
  <si>
    <t>S0005</t>
  </si>
  <si>
    <t>S0006</t>
  </si>
  <si>
    <t>Fail</t>
  </si>
  <si>
    <t>Bachelor</t>
  </si>
  <si>
    <t>S0007</t>
  </si>
  <si>
    <t>S0008</t>
  </si>
  <si>
    <t>S0009</t>
  </si>
  <si>
    <t>S0010</t>
  </si>
  <si>
    <t>Excellent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</si>
  <si>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</si>
  <si>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</si>
  <si>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</si>
  <si>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</si>
  <si>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</si>
  <si>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</si>
  <si>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</si>
  <si>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</si>
  <si>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</si>
  <si>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</si>
  <si>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</si>
  <si>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</si>
  <si>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</si>
  <si>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</si>
  <si>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</si>
  <si>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</si>
  <si>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</si>
  <si>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</si>
  <si>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</si>
  <si>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</si>
  <si>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</si>
  <si>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</si>
  <si>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</si>
  <si>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</si>
  <si>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</si>
  <si>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</si>
  <si>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</si>
  <si>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</si>
  <si>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</si>
  <si>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</si>
  <si>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</si>
  <si>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</si>
  <si>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</si>
  <si>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</si>
  <si>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</si>
  <si>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</si>
  <si>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</si>
  <si>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</si>
  <si>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</si>
  <si>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</si>
  <si>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</si>
  <si>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</si>
  <si>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</si>
  <si>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</si>
  <si>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</si>
  <si>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</si>
  <si>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</si>
  <si>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</si>
  <si>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</si>
  <si>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</si>
  <si>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</si>
  <si>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</si>
  <si>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</si>
  <si>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</si>
  <si>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</si>
  <si>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</si>
  <si>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</si>
  <si>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</si>
  <si>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</si>
  <si>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</si>
  <si>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</si>
  <si>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</si>
  <si>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</si>
  <si>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</si>
  <si>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</si>
  <si>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</si>
  <si>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</si>
  <si>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</si>
  <si>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</si>
  <si>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</si>
  <si>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</si>
  <si>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</si>
  <si>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</si>
  <si>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</si>
  <si>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</si>
  <si>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</si>
  <si>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</si>
  <si>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</si>
  <si>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</si>
  <si>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</si>
  <si>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</si>
  <si>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</si>
  <si>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</si>
  <si>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</si>
  <si>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</si>
  <si>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</si>
  <si>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</si>
  <si>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</si>
  <si>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</si>
  <si>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</si>
  <si>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</si>
  <si>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</si>
  <si>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</si>
  <si>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</si>
  <si>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</si>
  <si>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</si>
  <si>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</si>
  <si>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</si>
  <si>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</si>
  <si>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</si>
  <si>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</si>
  <si>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Average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</si>
  <si>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</si>
  <si>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</si>
  <si>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</si>
  <si>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</si>
  <si>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</si>
  <si>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</si>
  <si>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</si>
  <si>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</si>
  <si>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</si>
  <si>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</si>
  <si>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</si>
  <si>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</si>
  <si>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</si>
  <si>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</si>
  <si>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</si>
  <si>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</si>
  <si>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</si>
  <si>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</si>
  <si>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</si>
  <si>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</si>
  <si>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</si>
  <si>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</si>
  <si>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</si>
  <si>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</si>
  <si>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</si>
  <si>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</si>
  <si>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</si>
  <si>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</si>
  <si>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</si>
  <si>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</si>
  <si>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</si>
  <si>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</si>
  <si>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</si>
  <si>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</si>
  <si>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</si>
  <si>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</si>
  <si>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</si>
  <si>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</si>
  <si>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</si>
  <si>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</si>
  <si>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</si>
  <si>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</si>
  <si>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</si>
  <si>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</si>
  <si>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</si>
  <si>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</si>
  <si>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</si>
  <si>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</si>
  <si>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</si>
  <si>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</si>
  <si>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</si>
  <si>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</si>
  <si>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</si>
  <si>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</si>
  <si>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</si>
  <si>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</si>
  <si>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</si>
  <si>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</si>
  <si>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</si>
  <si>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</si>
  <si>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</si>
  <si>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</si>
  <si>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</si>
  <si>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</si>
  <si>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</si>
  <si>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</si>
  <si>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</si>
  <si>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</si>
  <si>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</si>
  <si>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</si>
  <si>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</si>
  <si>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</si>
  <si>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</si>
  <si>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</si>
  <si>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</si>
  <si>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</si>
  <si>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</si>
  <si>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</si>
  <si>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</si>
  <si>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</si>
  <si>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</si>
  <si>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</si>
  <si>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</si>
  <si>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</si>
  <si>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</si>
  <si>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</si>
  <si>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</si>
  <si>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</si>
  <si>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</si>
  <si>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</si>
  <si>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</si>
  <si>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</si>
  <si>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</si>
  <si>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</si>
  <si>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</si>
  <si>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</si>
  <si>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</si>
  <si>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</si>
  <si>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</si>
  <si>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</si>
  <si>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</si>
  <si>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</si>
  <si>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</si>
  <si>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</si>
  <si>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</si>
  <si>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</si>
  <si>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</si>
  <si>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</si>
  <si>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</si>
  <si>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</si>
  <si>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</si>
  <si>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</si>
  <si>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</si>
  <si>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</si>
  <si>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</si>
  <si>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</si>
  <si>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</si>
  <si>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</si>
  <si>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</si>
  <si>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</si>
  <si>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</si>
  <si>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</si>
  <si>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</si>
  <si>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</si>
  <si>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</si>
  <si>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</si>
  <si>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</si>
  <si>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</si>
  <si>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</si>
  <si>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</si>
  <si>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</si>
  <si>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</si>
  <si>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</si>
  <si>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</si>
  <si>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</si>
  <si>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</si>
  <si>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</si>
  <si>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</si>
  <si>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</si>
  <si>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</si>
  <si>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</si>
  <si>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</si>
  <si>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</si>
  <si>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</si>
  <si>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</si>
  <si>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</si>
  <si>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</si>
  <si>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</si>
  <si>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</si>
  <si>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</si>
  <si>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</si>
  <si>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</si>
  <si>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</si>
  <si>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</si>
  <si>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</si>
  <si>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</si>
  <si>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</si>
  <si>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</si>
  <si>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</si>
  <si>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</si>
  <si>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</si>
  <si>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</si>
  <si>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</si>
  <si>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</si>
  <si>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</si>
  <si>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</si>
  <si>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</si>
  <si>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</si>
  <si>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</si>
  <si>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</si>
  <si>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</si>
  <si>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</si>
  <si>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</si>
  <si>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</si>
  <si>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</si>
  <si>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</si>
  <si>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</si>
  <si>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</si>
  <si>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</si>
  <si>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</si>
  <si>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</si>
  <si>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</si>
  <si>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</si>
  <si>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</si>
  <si>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</si>
  <si>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</si>
  <si>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</si>
  <si>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</si>
  <si>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</si>
  <si>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</si>
  <si>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</si>
  <si>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</si>
  <si>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</si>
  <si>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</si>
  <si>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</si>
  <si>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</si>
  <si>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</si>
  <si>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</si>
  <si>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</si>
  <si>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</si>
  <si>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</si>
  <si>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</si>
  <si>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</si>
  <si>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</si>
  <si>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</si>
  <si>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</si>
  <si>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</si>
  <si>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</si>
  <si>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</si>
  <si>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</si>
  <si>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</si>
  <si>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</si>
  <si>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</si>
  <si>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</si>
  <si>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</si>
  <si>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</si>
  <si>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</si>
  <si>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</si>
  <si>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</si>
  <si>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</si>
  <si>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</si>
  <si>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</si>
  <si>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</si>
  <si>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</si>
  <si>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</si>
  <si>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</si>
  <si>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</si>
  <si>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</si>
  <si>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</si>
  <si>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</si>
  <si>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</si>
  <si>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</si>
  <si>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</si>
  <si>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</si>
  <si>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</si>
  <si>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</si>
  <si>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</si>
  <si>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</si>
  <si>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</si>
  <si>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</si>
  <si>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</si>
  <si>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</si>
  <si>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</si>
  <si>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</si>
  <si>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</si>
  <si>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</si>
  <si>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</si>
  <si>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</si>
  <si>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</si>
  <si>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</si>
  <si>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</si>
  <si>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</si>
  <si>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</si>
  <si>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</si>
  <si>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</si>
  <si>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</si>
  <si>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</si>
  <si>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</si>
  <si>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</si>
  <si>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</si>
  <si>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</si>
  <si>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</si>
  <si>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</si>
  <si>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</si>
  <si>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</si>
  <si>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</si>
  <si>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</si>
  <si>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</si>
  <si>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</si>
  <si>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</si>
  <si>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</si>
  <si>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</si>
  <si>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</si>
  <si>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</si>
  <si>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</si>
  <si>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</si>
  <si>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</si>
  <si>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</si>
  <si>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</si>
  <si>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</si>
  <si>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</si>
  <si>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</si>
  <si>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</si>
  <si>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</si>
  <si>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</si>
  <si>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</si>
  <si>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</si>
  <si>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</si>
  <si>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</si>
  <si>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</si>
  <si>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</si>
  <si>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</si>
  <si>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</si>
  <si>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</si>
  <si>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</si>
  <si>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</si>
  <si>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</si>
  <si>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</si>
  <si>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</si>
  <si>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</si>
  <si>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</si>
  <si>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</si>
  <si>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</si>
  <si>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</si>
  <si>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</si>
  <si>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</si>
  <si>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</si>
  <si>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</si>
  <si>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</si>
  <si>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</si>
  <si>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</si>
  <si>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</si>
  <si>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</si>
  <si>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</si>
  <si>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</si>
  <si>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</si>
  <si>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</si>
  <si>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</si>
  <si>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</si>
  <si>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</si>
  <si>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</si>
  <si>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</si>
  <si>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</si>
  <si>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</si>
  <si>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</si>
  <si>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</si>
  <si>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</si>
  <si>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</si>
  <si>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</si>
  <si>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</si>
  <si>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</si>
  <si>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</si>
  <si>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</si>
  <si>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</si>
  <si>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</si>
  <si>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</si>
  <si>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</si>
  <si>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</si>
  <si>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</si>
  <si>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</si>
  <si>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</si>
  <si>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</si>
  <si>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</si>
  <si>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</si>
  <si>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</si>
  <si>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</si>
  <si>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</si>
  <si>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</si>
  <si>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</si>
  <si>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</si>
  <si>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</si>
  <si>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</si>
  <si>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</si>
  <si>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</si>
  <si>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</si>
  <si>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</si>
  <si>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</si>
  <si>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</si>
  <si>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</si>
  <si>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</si>
  <si>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</si>
  <si>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</si>
  <si>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</si>
  <si>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</si>
  <si>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</si>
  <si>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</si>
  <si>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</si>
  <si>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</si>
  <si>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</si>
  <si>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</si>
  <si>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</si>
  <si>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</si>
  <si>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</si>
  <si>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</si>
  <si>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</si>
  <si>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</si>
  <si>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</si>
  <si>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</si>
  <si>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</si>
  <si>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</si>
  <si>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</si>
  <si>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</si>
  <si>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</si>
  <si>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</si>
  <si>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</si>
  <si>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</si>
  <si>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</si>
  <si>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</si>
  <si>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</si>
  <si>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</si>
  <si>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</si>
  <si>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</si>
  <si>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</si>
  <si>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</si>
  <si>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</si>
  <si>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</si>
  <si>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</si>
  <si>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</si>
  <si>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</si>
  <si>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</si>
  <si>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</si>
  <si>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</si>
  <si>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</si>
  <si>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</si>
  <si>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</si>
  <si>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</si>
  <si>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</si>
  <si>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</si>
  <si>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</si>
  <si>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</si>
  <si>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</si>
  <si>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</si>
  <si>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</si>
  <si>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</si>
  <si>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</si>
  <si>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</si>
  <si>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</si>
  <si>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</si>
  <si>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</si>
  <si>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</si>
  <si>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</si>
  <si>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</si>
  <si>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</si>
  <si>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</si>
  <si>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</si>
  <si>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</si>
  <si>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</si>
  <si>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</si>
  <si>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</si>
  <si>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</si>
  <si>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</si>
  <si>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</si>
  <si>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</si>
  <si>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</si>
  <si>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</si>
  <si>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</si>
  <si>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</si>
  <si>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</si>
  <si>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</si>
  <si>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</si>
  <si>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</si>
  <si>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</si>
  <si>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</si>
  <si>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</si>
  <si>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</si>
  <si>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</si>
  <si>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</si>
  <si>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</si>
  <si>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</si>
  <si>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</si>
  <si>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</si>
  <si>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</si>
  <si>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</si>
  <si>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</si>
  <si>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</si>
  <si>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</si>
  <si>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</si>
  <si>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</si>
  <si>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</si>
  <si>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</si>
  <si>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</si>
  <si>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</si>
  <si>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</si>
  <si>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</si>
  <si>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</si>
  <si>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</si>
  <si>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</si>
  <si>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</si>
  <si>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</si>
  <si>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</si>
  <si>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</si>
  <si>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</si>
  <si>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</si>
  <si>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</si>
  <si>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</si>
  <si>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</si>
  <si>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</si>
  <si>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</si>
  <si>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</si>
  <si>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</si>
  <si>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</si>
  <si>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</si>
  <si>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</si>
  <si>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</si>
  <si>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</si>
  <si>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</si>
  <si>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</si>
  <si>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</si>
  <si>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</si>
  <si>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</si>
  <si>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</si>
  <si>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</si>
  <si>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</si>
  <si>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</si>
  <si>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</si>
  <si>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</si>
  <si>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</si>
  <si>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</si>
  <si>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</si>
  <si>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</si>
  <si>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</si>
  <si>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</si>
  <si>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</si>
  <si>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</si>
  <si>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</si>
  <si>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</si>
  <si>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</si>
  <si>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</si>
  <si>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</si>
  <si>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</si>
  <si>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</si>
  <si>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</si>
  <si>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</si>
  <si>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</si>
  <si>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</si>
  <si>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</si>
  <si>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</si>
  <si>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</si>
  <si>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</si>
  <si>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</si>
  <si>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</si>
  <si>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</si>
  <si>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</si>
  <si>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</si>
  <si>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</si>
  <si>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</si>
  <si>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</si>
  <si>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</si>
  <si>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</si>
  <si>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</si>
  <si>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</si>
  <si>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</si>
  <si>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</si>
  <si>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</si>
  <si>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</si>
  <si>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</si>
  <si>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</si>
  <si>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</si>
  <si>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</si>
  <si>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</si>
  <si>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</si>
  <si>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</si>
  <si>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</si>
  <si>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</si>
  <si>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</si>
  <si>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</si>
  <si>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</si>
  <si>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</si>
  <si>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</si>
  <si>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</si>
  <si>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</si>
  <si>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</si>
  <si>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</si>
  <si>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</si>
  <si>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</si>
  <si>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</si>
  <si>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</si>
  <si>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</si>
  <si>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</si>
  <si>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</si>
  <si>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</si>
  <si>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</si>
  <si>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</si>
  <si>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</si>
  <si>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</si>
  <si>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</si>
  <si>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</si>
  <si>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</si>
  <si>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</si>
  <si>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</si>
  <si>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</si>
  <si>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</si>
  <si>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</si>
  <si>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</si>
  <si>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</si>
  <si>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</si>
  <si>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</si>
  <si>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</si>
  <si>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</si>
  <si>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</si>
  <si>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</si>
  <si>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</si>
  <si>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</si>
  <si>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</si>
  <si>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</si>
  <si>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</si>
  <si>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</si>
  <si>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</si>
  <si>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</si>
  <si>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</si>
  <si>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</si>
  <si>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</si>
  <si>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</si>
  <si>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</si>
  <si>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</si>
  <si>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</si>
  <si>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</si>
  <si>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</si>
  <si>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</si>
  <si>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</si>
  <si>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</si>
  <si>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</si>
  <si>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</si>
  <si>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</si>
  <si>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</si>
  <si>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</si>
  <si>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</si>
  <si>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</si>
  <si>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</si>
  <si>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</si>
  <si>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</si>
  <si>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</si>
  <si>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</si>
  <si>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</si>
  <si>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</si>
  <si>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</si>
  <si>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</si>
  <si>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</si>
  <si>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</si>
  <si>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</si>
  <si>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</si>
  <si>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</si>
  <si>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</si>
  <si>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</si>
  <si>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</si>
  <si>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</si>
  <si>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</si>
  <si>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</si>
  <si>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</si>
  <si>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</si>
  <si>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</si>
  <si>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</si>
  <si>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</si>
  <si>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</si>
  <si>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</si>
  <si>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</si>
  <si>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</si>
  <si>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</si>
  <si>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</si>
  <si>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</si>
  <si>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</si>
  <si>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</si>
  <si>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</si>
  <si>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</si>
  <si>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</si>
  <si>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</si>
  <si>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</si>
  <si>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</si>
  <si>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</si>
  <si>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</si>
  <si>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</si>
  <si>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</si>
  <si>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</si>
  <si>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</si>
  <si>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</si>
  <si>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</si>
  <si>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</si>
  <si>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</si>
  <si>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</si>
  <si>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</si>
  <si>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</si>
  <si>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</si>
  <si>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</si>
  <si>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</si>
  <si>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</si>
  <si>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</si>
  <si>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</si>
  <si>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</si>
  <si>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</si>
  <si>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</si>
  <si>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</si>
  <si>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</si>
  <si>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</si>
  <si>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</si>
  <si>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</si>
  <si>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</si>
  <si>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</si>
  <si>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</si>
  <si>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</si>
  <si>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</si>
  <si>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</si>
  <si>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</si>
  <si>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</si>
  <si>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</si>
  <si>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</si>
  <si>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</si>
  <si>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</si>
  <si>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</si>
  <si>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</si>
  <si>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</si>
  <si>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</si>
  <si>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</si>
  <si>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</si>
  <si>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</si>
  <si>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</si>
  <si>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</si>
  <si>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</si>
  <si>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</si>
  <si>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</si>
  <si>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</si>
  <si>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</si>
  <si>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</si>
  <si>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</si>
  <si>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</si>
  <si>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</si>
  <si>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</si>
  <si>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</si>
  <si>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</si>
  <si>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</si>
  <si>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</si>
  <si>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</si>
  <si>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</si>
  <si>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</si>
  <si>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</si>
  <si>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</si>
  <si>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</si>
  <si>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</si>
  <si>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</si>
  <si>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</si>
  <si>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</si>
  <si>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</si>
  <si>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</si>
  <si>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</si>
  <si>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</si>
  <si>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</si>
  <si>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</si>
  <si>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</si>
  <si>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</si>
  <si>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</si>
  <si>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</si>
  <si>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</si>
  <si>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</si>
  <si>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</si>
  <si>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</si>
  <si>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</si>
  <si>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</si>
  <si>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</si>
  <si>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</si>
  <si>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</si>
  <si>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</si>
  <si>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</si>
  <si>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</si>
  <si>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</si>
  <si>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</si>
  <si>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</si>
  <si>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</si>
  <si>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</si>
  <si>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</si>
  <si>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</si>
  <si>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</si>
  <si>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</si>
  <si>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</si>
  <si>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</si>
  <si>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</si>
  <si>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</si>
  <si>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</si>
  <si>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</si>
  <si>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</si>
  <si>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</si>
  <si>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</si>
  <si>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</si>
  <si>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</si>
  <si>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</si>
  <si>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</si>
  <si>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</si>
  <si>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</si>
  <si>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</si>
  <si>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</si>
  <si>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</si>
  <si>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</si>
  <si>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</si>
  <si>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</si>
  <si>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</si>
  <si>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</si>
  <si>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</si>
  <si>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</si>
  <si>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</si>
  <si>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</si>
  <si>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</si>
  <si>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</si>
  <si>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</si>
  <si>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</si>
  <si>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</si>
  <si>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</si>
  <si>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</si>
  <si>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</si>
  <si>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</si>
  <si>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</si>
  <si>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</si>
  <si>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</si>
  <si>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</si>
  <si>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</si>
  <si>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</si>
  <si>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</si>
  <si>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</si>
  <si>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</si>
  <si>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</si>
  <si>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</si>
  <si>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</si>
  <si>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</si>
  <si>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</si>
  <si>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</si>
  <si>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</si>
  <si>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</si>
  <si>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</si>
  <si>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</si>
  <si>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</si>
  <si>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</si>
  <si>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</si>
  <si>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</si>
  <si>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</si>
  <si>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</si>
  <si>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</si>
  <si>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</si>
  <si>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</si>
  <si>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</si>
  <si>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</si>
  <si>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</si>
  <si>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</si>
  <si>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</si>
  <si>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</si>
  <si>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</si>
  <si>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</si>
  <si>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</si>
  <si>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</si>
  <si>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</si>
  <si>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</si>
  <si>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</si>
  <si>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</si>
  <si>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</si>
  <si>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</si>
  <si>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</si>
  <si>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</si>
  <si>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</si>
  <si>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</si>
  <si>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</si>
  <si>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</si>
  <si>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</si>
  <si>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</si>
  <si>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</si>
  <si>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</si>
  <si>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</si>
  <si>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</si>
  <si>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</si>
  <si>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</si>
  <si>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</si>
  <si>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</si>
  <si>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</si>
  <si>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</si>
  <si>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</si>
  <si>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</si>
  <si>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</si>
  <si>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</si>
  <si>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</si>
  <si>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</si>
  <si>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</si>
  <si>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</si>
  <si>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</si>
  <si>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</si>
  <si>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</si>
  <si>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</si>
  <si>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</si>
  <si>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</si>
  <si>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</si>
  <si>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</si>
  <si>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</si>
  <si>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</si>
  <si>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</si>
  <si>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</si>
  <si>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</si>
  <si>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</si>
  <si>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</si>
  <si>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</si>
  <si>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</si>
  <si>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</si>
  <si>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</si>
  <si>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</si>
  <si>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</si>
  <si>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</si>
  <si>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</si>
  <si>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</si>
  <si>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</si>
  <si>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</si>
  <si>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</si>
  <si>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</si>
  <si>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</si>
  <si>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</si>
  <si>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</si>
  <si>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</si>
  <si>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maths mark</t>
  </si>
  <si>
    <t>Science mark</t>
  </si>
  <si>
    <t>Language mark</t>
  </si>
  <si>
    <t>Final Score</t>
  </si>
  <si>
    <t>Result</t>
  </si>
  <si>
    <t>Daily Study Hr</t>
  </si>
  <si>
    <t>Remakrs</t>
  </si>
  <si>
    <t>Sleep Hr</t>
  </si>
  <si>
    <t>HW Hr</t>
  </si>
  <si>
    <t>Aneixty Score</t>
  </si>
  <si>
    <t>Anxiety Level</t>
  </si>
  <si>
    <t>Att %</t>
  </si>
  <si>
    <t>Parent Edn</t>
  </si>
  <si>
    <t>Screen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</si>
</sst>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opLeftCell="G1" workbookViewId="0">
      <selection activeCell="C985" sqref="C985"/>
    </sheetView>
  </sheetViews>
  <sheetFormatPr defaultRowHeight="15" x14ac:dyDescent="0.25"/>
  <cols>
    <col min="1" max="1" width="10.5703125" bestFit="1" customWidth="1"/>
    <col min="2" max="2" width="16.42578125" bestFit="1" customWidth="1"/>
    <col min="3" max="3" width="18.5703125" bestFit="1" customWidth="1"/>
    <col min="4" max="4" width="20" bestFit="1" customWidth="1"/>
    <col min="5" max="5" width="14.5703125" bestFit="1" customWidth="1"/>
    <col min="6" max="6" width="10.7109375" bestFit="1" customWidth="1"/>
    <col min="7" max="7" width="8" bestFit="1" customWidth="1"/>
    <col min="8" max="8" width="4.85546875" bestFit="1" customWidth="1"/>
    <col min="9" max="9" width="17.42578125" bestFit="1" customWidth="1"/>
    <col min="10" max="10" width="10.42578125" bestFit="1" customWidth="1"/>
    <col min="11" max="11" width="22.42578125" bestFit="1" customWidth="1"/>
    <col min="12" max="12" width="11.28515625" bestFit="1" customWidth="1"/>
    <col min="13" max="13" width="26.85546875" bestFit="1" customWidth="1"/>
    <col min="14" max="14" width="11.85546875" bestFit="1" customWidth="1"/>
    <col min="15" max="15" width="18.28515625" bestFit="1" customWidth="1"/>
    <col min="16" max="16" width="19.42578125" bestFit="1" customWidth="1"/>
    <col min="17" max="17" width="12.7109375" bestFit="1" customWidth="1"/>
    <col min="18" max="18" width="22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61.5</v>
      </c>
      <c r="C2">
        <v>53.6</v>
      </c>
      <c r="D2">
        <v>65</v>
      </c>
      <c r="E2">
        <v>60.6</v>
      </c>
      <c r="F2">
        <v>60.1</v>
      </c>
      <c r="G2">
        <v>60.35</v>
      </c>
      <c r="H2" t="s">
        <v>19</v>
      </c>
      <c r="I2">
        <v>1</v>
      </c>
      <c r="J2" t="s">
        <v>20</v>
      </c>
      <c r="K2">
        <v>75.7</v>
      </c>
      <c r="L2">
        <v>182</v>
      </c>
      <c r="M2">
        <v>68.5</v>
      </c>
      <c r="N2">
        <v>6.8</v>
      </c>
      <c r="O2">
        <v>3.3</v>
      </c>
      <c r="P2">
        <v>6</v>
      </c>
      <c r="Q2" t="s">
        <v>21</v>
      </c>
      <c r="R2" t="s">
        <v>22</v>
      </c>
    </row>
    <row r="3" spans="1:18" x14ac:dyDescent="0.25">
      <c r="A3" t="s">
        <v>23</v>
      </c>
      <c r="B3">
        <v>85.6</v>
      </c>
      <c r="C3">
        <v>91.9</v>
      </c>
      <c r="D3">
        <v>89</v>
      </c>
      <c r="E3">
        <v>92.3</v>
      </c>
      <c r="F3">
        <v>99</v>
      </c>
      <c r="G3">
        <v>95.65</v>
      </c>
      <c r="H3" t="s">
        <v>19</v>
      </c>
      <c r="I3">
        <v>5</v>
      </c>
      <c r="J3" t="s">
        <v>24</v>
      </c>
      <c r="K3">
        <v>89.6</v>
      </c>
      <c r="L3">
        <v>215</v>
      </c>
      <c r="M3">
        <v>92</v>
      </c>
      <c r="N3">
        <v>5.6</v>
      </c>
      <c r="O3">
        <v>4.9000000000000004</v>
      </c>
      <c r="P3">
        <v>2</v>
      </c>
      <c r="Q3" t="s">
        <v>25</v>
      </c>
      <c r="R3" t="s">
        <v>26</v>
      </c>
    </row>
    <row r="4" spans="1:18" x14ac:dyDescent="0.25">
      <c r="A4" t="s">
        <v>27</v>
      </c>
      <c r="B4">
        <v>82.2</v>
      </c>
      <c r="C4">
        <v>72.7</v>
      </c>
      <c r="D4">
        <v>74.2</v>
      </c>
      <c r="E4">
        <v>80.3</v>
      </c>
      <c r="F4">
        <v>70.5</v>
      </c>
      <c r="G4">
        <v>75.400000000000006</v>
      </c>
      <c r="H4" t="s">
        <v>19</v>
      </c>
      <c r="I4">
        <v>1</v>
      </c>
      <c r="J4" t="s">
        <v>20</v>
      </c>
      <c r="K4">
        <v>81.5</v>
      </c>
      <c r="L4">
        <v>196</v>
      </c>
      <c r="M4">
        <v>69.7</v>
      </c>
      <c r="N4">
        <v>6.7</v>
      </c>
      <c r="O4">
        <v>5.0999999999999996</v>
      </c>
      <c r="P4">
        <v>5</v>
      </c>
      <c r="Q4" t="s">
        <v>28</v>
      </c>
      <c r="R4" t="s">
        <v>26</v>
      </c>
    </row>
    <row r="5" spans="1:18" x14ac:dyDescent="0.25">
      <c r="A5" t="s">
        <v>29</v>
      </c>
      <c r="B5">
        <v>76</v>
      </c>
      <c r="C5">
        <v>76.7</v>
      </c>
      <c r="D5">
        <v>67.7</v>
      </c>
      <c r="E5">
        <v>72.900000000000006</v>
      </c>
      <c r="F5">
        <v>63.4</v>
      </c>
      <c r="G5">
        <v>68.150000000000006</v>
      </c>
      <c r="H5" t="s">
        <v>19</v>
      </c>
      <c r="I5">
        <v>2</v>
      </c>
      <c r="J5" t="s">
        <v>20</v>
      </c>
      <c r="K5">
        <v>71.5</v>
      </c>
      <c r="L5">
        <v>172</v>
      </c>
      <c r="M5">
        <v>72</v>
      </c>
      <c r="N5">
        <v>7.9</v>
      </c>
      <c r="O5">
        <v>3.8</v>
      </c>
      <c r="P5">
        <v>5</v>
      </c>
      <c r="Q5" t="s">
        <v>28</v>
      </c>
      <c r="R5" t="s">
        <v>26</v>
      </c>
    </row>
    <row r="6" spans="1:18" x14ac:dyDescent="0.25">
      <c r="A6" t="s">
        <v>30</v>
      </c>
      <c r="B6">
        <v>51.4</v>
      </c>
      <c r="C6">
        <v>49</v>
      </c>
      <c r="D6">
        <v>46.1</v>
      </c>
      <c r="E6">
        <v>48.6</v>
      </c>
      <c r="F6">
        <v>66.5</v>
      </c>
      <c r="G6">
        <v>57.55</v>
      </c>
      <c r="H6" t="s">
        <v>19</v>
      </c>
      <c r="I6">
        <v>2</v>
      </c>
      <c r="J6" t="s">
        <v>20</v>
      </c>
      <c r="K6">
        <v>64.3</v>
      </c>
      <c r="L6">
        <v>154</v>
      </c>
      <c r="M6">
        <v>68.900000000000006</v>
      </c>
      <c r="N6">
        <v>7.7</v>
      </c>
      <c r="O6">
        <v>1.9</v>
      </c>
      <c r="P6">
        <v>1</v>
      </c>
      <c r="Q6" t="s">
        <v>25</v>
      </c>
      <c r="R6" t="s">
        <v>22</v>
      </c>
    </row>
    <row r="7" spans="1:18" x14ac:dyDescent="0.25">
      <c r="A7" t="s">
        <v>31</v>
      </c>
      <c r="B7">
        <v>54</v>
      </c>
      <c r="C7">
        <v>41.3</v>
      </c>
      <c r="D7">
        <v>46.8</v>
      </c>
      <c r="E7">
        <v>48.6</v>
      </c>
      <c r="F7">
        <v>49.1</v>
      </c>
      <c r="G7">
        <v>48.85</v>
      </c>
      <c r="H7" t="s">
        <v>32</v>
      </c>
      <c r="I7">
        <v>2</v>
      </c>
      <c r="J7" t="s">
        <v>20</v>
      </c>
      <c r="K7">
        <v>61.6</v>
      </c>
      <c r="L7">
        <v>148</v>
      </c>
      <c r="M7">
        <v>71.3</v>
      </c>
      <c r="N7">
        <v>7.3</v>
      </c>
      <c r="O7">
        <v>3.3</v>
      </c>
      <c r="P7">
        <v>6</v>
      </c>
      <c r="Q7" t="s">
        <v>28</v>
      </c>
      <c r="R7" t="s">
        <v>33</v>
      </c>
    </row>
    <row r="8" spans="1:18" x14ac:dyDescent="0.25">
      <c r="A8" t="s">
        <v>34</v>
      </c>
      <c r="B8">
        <v>47.4</v>
      </c>
      <c r="C8">
        <v>41.6</v>
      </c>
      <c r="D8">
        <v>39.299999999999997</v>
      </c>
      <c r="E8">
        <v>43.2</v>
      </c>
      <c r="F8">
        <v>48.5</v>
      </c>
      <c r="G8">
        <v>45.85</v>
      </c>
      <c r="H8" t="s">
        <v>32</v>
      </c>
      <c r="I8">
        <v>2</v>
      </c>
      <c r="J8" t="s">
        <v>20</v>
      </c>
      <c r="K8">
        <v>59.9</v>
      </c>
      <c r="L8">
        <v>144</v>
      </c>
      <c r="M8">
        <v>70.599999999999994</v>
      </c>
      <c r="N8">
        <v>6.5</v>
      </c>
      <c r="O8">
        <v>5.8</v>
      </c>
      <c r="P8">
        <v>2</v>
      </c>
      <c r="Q8" t="s">
        <v>25</v>
      </c>
      <c r="R8" t="s">
        <v>22</v>
      </c>
    </row>
    <row r="9" spans="1:18" x14ac:dyDescent="0.25">
      <c r="A9" t="s">
        <v>35</v>
      </c>
      <c r="B9">
        <v>89.9</v>
      </c>
      <c r="C9">
        <v>83.9</v>
      </c>
      <c r="D9">
        <v>81.2</v>
      </c>
      <c r="E9">
        <v>87.6</v>
      </c>
      <c r="F9">
        <v>84.6</v>
      </c>
      <c r="G9">
        <v>86.1</v>
      </c>
      <c r="H9" t="s">
        <v>19</v>
      </c>
      <c r="I9">
        <v>4</v>
      </c>
      <c r="J9" t="s">
        <v>24</v>
      </c>
      <c r="K9">
        <v>81.900000000000006</v>
      </c>
      <c r="L9">
        <v>197</v>
      </c>
      <c r="M9">
        <v>88.4</v>
      </c>
      <c r="N9">
        <v>6.8</v>
      </c>
      <c r="O9">
        <v>4.8</v>
      </c>
      <c r="P9">
        <v>4</v>
      </c>
      <c r="Q9" t="s">
        <v>28</v>
      </c>
      <c r="R9" t="s">
        <v>33</v>
      </c>
    </row>
    <row r="10" spans="1:18" x14ac:dyDescent="0.25">
      <c r="A10" t="s">
        <v>36</v>
      </c>
      <c r="B10">
        <v>72.7</v>
      </c>
      <c r="C10">
        <v>74.7</v>
      </c>
      <c r="D10">
        <v>70.8</v>
      </c>
      <c r="E10">
        <v>73.099999999999994</v>
      </c>
      <c r="F10">
        <v>66.5</v>
      </c>
      <c r="G10">
        <v>69.8</v>
      </c>
      <c r="H10" t="s">
        <v>19</v>
      </c>
      <c r="I10">
        <v>2</v>
      </c>
      <c r="J10" t="s">
        <v>20</v>
      </c>
      <c r="K10">
        <v>71.599999999999994</v>
      </c>
      <c r="L10">
        <v>172</v>
      </c>
      <c r="M10">
        <v>61.2</v>
      </c>
      <c r="N10">
        <v>6.9</v>
      </c>
      <c r="O10">
        <v>5.0999999999999996</v>
      </c>
      <c r="P10">
        <v>6</v>
      </c>
      <c r="Q10" t="s">
        <v>21</v>
      </c>
      <c r="R10" t="s">
        <v>22</v>
      </c>
    </row>
    <row r="11" spans="1:18" x14ac:dyDescent="0.25">
      <c r="A11" t="s">
        <v>37</v>
      </c>
      <c r="B11">
        <v>70.599999999999994</v>
      </c>
      <c r="C11">
        <v>85.6</v>
      </c>
      <c r="D11">
        <v>79.900000000000006</v>
      </c>
      <c r="E11">
        <v>78.900000000000006</v>
      </c>
      <c r="F11">
        <v>74.2</v>
      </c>
      <c r="G11">
        <v>76.55</v>
      </c>
      <c r="H11" t="s">
        <v>19</v>
      </c>
      <c r="I11">
        <v>4</v>
      </c>
      <c r="J11" t="s">
        <v>38</v>
      </c>
      <c r="K11">
        <v>69.7</v>
      </c>
      <c r="L11">
        <v>167</v>
      </c>
      <c r="M11">
        <v>84.3</v>
      </c>
      <c r="N11">
        <v>7.8</v>
      </c>
      <c r="O11">
        <v>1.2</v>
      </c>
      <c r="P11">
        <v>6</v>
      </c>
      <c r="Q11" t="s">
        <v>28</v>
      </c>
      <c r="R11" t="s">
        <v>22</v>
      </c>
    </row>
    <row r="12" spans="1:18" x14ac:dyDescent="0.25">
      <c r="A12" t="s">
        <v>39</v>
      </c>
      <c r="B12">
        <v>43.3</v>
      </c>
      <c r="C12">
        <v>31.8</v>
      </c>
      <c r="D12">
        <v>44.1</v>
      </c>
      <c r="E12">
        <v>41.1</v>
      </c>
      <c r="F12">
        <v>42.7</v>
      </c>
      <c r="G12">
        <v>41.9</v>
      </c>
      <c r="H12" t="s">
        <v>32</v>
      </c>
      <c r="I12">
        <v>2</v>
      </c>
      <c r="J12" t="s">
        <v>20</v>
      </c>
      <c r="K12">
        <v>57.2</v>
      </c>
      <c r="L12">
        <v>137</v>
      </c>
      <c r="M12">
        <v>59.1</v>
      </c>
      <c r="N12">
        <v>6.8</v>
      </c>
      <c r="O12">
        <v>3.3</v>
      </c>
      <c r="P12">
        <v>7</v>
      </c>
      <c r="Q12" t="s">
        <v>21</v>
      </c>
      <c r="R12" t="s">
        <v>33</v>
      </c>
    </row>
    <row r="13" spans="1:18" x14ac:dyDescent="0.25">
      <c r="A13" t="s">
        <v>40</v>
      </c>
      <c r="B13">
        <v>94.4</v>
      </c>
      <c r="C13">
        <v>93.9</v>
      </c>
      <c r="D13">
        <v>90.6</v>
      </c>
      <c r="E13">
        <v>93.3</v>
      </c>
      <c r="F13">
        <v>76.5</v>
      </c>
      <c r="G13">
        <v>84.9</v>
      </c>
      <c r="H13" t="s">
        <v>19</v>
      </c>
      <c r="I13">
        <v>1</v>
      </c>
      <c r="J13" t="s">
        <v>20</v>
      </c>
      <c r="K13">
        <v>87.6</v>
      </c>
      <c r="L13">
        <v>210</v>
      </c>
      <c r="M13">
        <v>71.900000000000006</v>
      </c>
      <c r="N13">
        <v>6.3</v>
      </c>
      <c r="O13">
        <v>4.2</v>
      </c>
      <c r="P13">
        <v>6</v>
      </c>
      <c r="Q13" t="s">
        <v>21</v>
      </c>
      <c r="R13" t="s">
        <v>22</v>
      </c>
    </row>
    <row r="14" spans="1:18" x14ac:dyDescent="0.25">
      <c r="A14" t="s">
        <v>41</v>
      </c>
      <c r="B14">
        <v>87.1</v>
      </c>
      <c r="C14">
        <v>85</v>
      </c>
      <c r="D14">
        <v>83.7</v>
      </c>
      <c r="E14">
        <v>85.8</v>
      </c>
      <c r="F14">
        <v>97.9</v>
      </c>
      <c r="G14">
        <v>91.85</v>
      </c>
      <c r="H14" t="s">
        <v>19</v>
      </c>
      <c r="I14">
        <v>5</v>
      </c>
      <c r="J14" t="s">
        <v>24</v>
      </c>
      <c r="K14">
        <v>76.2</v>
      </c>
      <c r="L14">
        <v>183</v>
      </c>
      <c r="M14">
        <v>93.5</v>
      </c>
      <c r="N14">
        <v>6.3</v>
      </c>
      <c r="O14">
        <v>5.2</v>
      </c>
      <c r="P14">
        <v>1</v>
      </c>
      <c r="Q14" t="s">
        <v>25</v>
      </c>
      <c r="R14" t="s">
        <v>22</v>
      </c>
    </row>
    <row r="15" spans="1:18" x14ac:dyDescent="0.25">
      <c r="A15" t="s">
        <v>42</v>
      </c>
      <c r="B15">
        <v>45.3</v>
      </c>
      <c r="C15">
        <v>55</v>
      </c>
      <c r="D15">
        <v>47</v>
      </c>
      <c r="E15">
        <v>51.7</v>
      </c>
      <c r="F15">
        <v>56.7</v>
      </c>
      <c r="G15">
        <v>54.2</v>
      </c>
      <c r="H15" t="s">
        <v>19</v>
      </c>
      <c r="I15">
        <v>2</v>
      </c>
      <c r="J15" t="s">
        <v>20</v>
      </c>
      <c r="K15">
        <v>65.900000000000006</v>
      </c>
      <c r="L15">
        <v>158</v>
      </c>
      <c r="M15">
        <v>71.8</v>
      </c>
      <c r="N15">
        <v>7.8</v>
      </c>
      <c r="O15">
        <v>1.2</v>
      </c>
      <c r="P15">
        <v>3</v>
      </c>
      <c r="Q15" t="s">
        <v>28</v>
      </c>
      <c r="R15" t="s">
        <v>26</v>
      </c>
    </row>
    <row r="16" spans="1:18" x14ac:dyDescent="0.25">
      <c r="A16" t="s">
        <v>43</v>
      </c>
      <c r="B16">
        <v>44.6</v>
      </c>
      <c r="C16">
        <v>51.1</v>
      </c>
      <c r="D16">
        <v>49.8</v>
      </c>
      <c r="E16">
        <v>50</v>
      </c>
      <c r="F16">
        <v>55.3</v>
      </c>
      <c r="G16">
        <v>52.65</v>
      </c>
      <c r="H16" t="s">
        <v>19</v>
      </c>
      <c r="I16">
        <v>4</v>
      </c>
      <c r="J16" t="s">
        <v>24</v>
      </c>
      <c r="K16">
        <v>74.5</v>
      </c>
      <c r="L16">
        <v>179</v>
      </c>
      <c r="M16">
        <v>93.9</v>
      </c>
      <c r="N16">
        <v>6.3</v>
      </c>
      <c r="O16">
        <v>5.3</v>
      </c>
      <c r="P16">
        <v>4</v>
      </c>
      <c r="Q16" t="s">
        <v>28</v>
      </c>
      <c r="R16" t="s">
        <v>33</v>
      </c>
    </row>
    <row r="17" spans="1:18" x14ac:dyDescent="0.25">
      <c r="A17" t="s">
        <v>44</v>
      </c>
      <c r="B17">
        <v>55.4</v>
      </c>
      <c r="C17">
        <v>46.3</v>
      </c>
      <c r="D17">
        <v>45.8</v>
      </c>
      <c r="E17">
        <v>50.1</v>
      </c>
      <c r="F17">
        <v>58.4</v>
      </c>
      <c r="G17">
        <v>54.25</v>
      </c>
      <c r="H17" t="s">
        <v>19</v>
      </c>
      <c r="I17">
        <v>3</v>
      </c>
      <c r="J17" t="s">
        <v>38</v>
      </c>
      <c r="K17">
        <v>70.2</v>
      </c>
      <c r="L17">
        <v>168</v>
      </c>
      <c r="M17">
        <v>76.900000000000006</v>
      </c>
      <c r="N17">
        <v>7</v>
      </c>
      <c r="O17">
        <v>3.7</v>
      </c>
      <c r="P17">
        <v>3</v>
      </c>
      <c r="Q17" t="s">
        <v>25</v>
      </c>
      <c r="R17" t="s">
        <v>33</v>
      </c>
    </row>
    <row r="18" spans="1:18" x14ac:dyDescent="0.25">
      <c r="A18" t="s">
        <v>45</v>
      </c>
      <c r="B18">
        <v>56.5</v>
      </c>
      <c r="C18">
        <v>55.1</v>
      </c>
      <c r="D18">
        <v>59.6</v>
      </c>
      <c r="E18">
        <v>56.7</v>
      </c>
      <c r="F18">
        <v>53.5</v>
      </c>
      <c r="G18">
        <v>55.1</v>
      </c>
      <c r="H18" t="s">
        <v>19</v>
      </c>
      <c r="I18">
        <v>1</v>
      </c>
      <c r="J18" t="s">
        <v>20</v>
      </c>
      <c r="K18">
        <v>76.599999999999994</v>
      </c>
      <c r="L18">
        <v>184</v>
      </c>
      <c r="M18">
        <v>63.1</v>
      </c>
      <c r="N18">
        <v>7.6</v>
      </c>
      <c r="O18">
        <v>2</v>
      </c>
      <c r="P18">
        <v>1</v>
      </c>
      <c r="Q18" t="s">
        <v>25</v>
      </c>
      <c r="R18" t="s">
        <v>26</v>
      </c>
    </row>
    <row r="19" spans="1:18" x14ac:dyDescent="0.25">
      <c r="A19" t="s">
        <v>46</v>
      </c>
      <c r="B19">
        <v>72.3</v>
      </c>
      <c r="C19">
        <v>64.900000000000006</v>
      </c>
      <c r="D19">
        <v>59.9</v>
      </c>
      <c r="E19">
        <v>68.900000000000006</v>
      </c>
      <c r="F19">
        <v>81.7</v>
      </c>
      <c r="G19">
        <v>75.3</v>
      </c>
      <c r="H19" t="s">
        <v>19</v>
      </c>
      <c r="I19">
        <v>5</v>
      </c>
      <c r="J19" t="s">
        <v>24</v>
      </c>
      <c r="K19">
        <v>76.400000000000006</v>
      </c>
      <c r="L19">
        <v>183</v>
      </c>
      <c r="M19">
        <v>102.1</v>
      </c>
      <c r="N19">
        <v>7.6</v>
      </c>
      <c r="O19">
        <v>2.6</v>
      </c>
      <c r="P19">
        <v>1</v>
      </c>
      <c r="Q19" t="s">
        <v>25</v>
      </c>
      <c r="R19" t="s">
        <v>33</v>
      </c>
    </row>
    <row r="20" spans="1:18" x14ac:dyDescent="0.25">
      <c r="A20" t="s">
        <v>47</v>
      </c>
      <c r="B20">
        <v>63.9</v>
      </c>
      <c r="C20">
        <v>69.099999999999994</v>
      </c>
      <c r="D20">
        <v>62</v>
      </c>
      <c r="E20">
        <v>63.8</v>
      </c>
      <c r="F20">
        <v>61</v>
      </c>
      <c r="G20">
        <v>62.4</v>
      </c>
      <c r="H20" t="s">
        <v>19</v>
      </c>
      <c r="I20">
        <v>2</v>
      </c>
      <c r="J20" t="s">
        <v>20</v>
      </c>
      <c r="K20">
        <v>77.7</v>
      </c>
      <c r="L20">
        <v>186</v>
      </c>
      <c r="M20">
        <v>68.900000000000006</v>
      </c>
      <c r="N20">
        <v>7.9</v>
      </c>
      <c r="O20">
        <v>2.4</v>
      </c>
      <c r="P20">
        <v>3</v>
      </c>
      <c r="Q20" t="s">
        <v>25</v>
      </c>
      <c r="R20" t="s">
        <v>26</v>
      </c>
    </row>
    <row r="21" spans="1:18" x14ac:dyDescent="0.25">
      <c r="A21" t="s">
        <v>48</v>
      </c>
      <c r="B21">
        <v>56.2</v>
      </c>
      <c r="C21">
        <v>56.1</v>
      </c>
      <c r="D21">
        <v>57.5</v>
      </c>
      <c r="E21">
        <v>56</v>
      </c>
      <c r="F21">
        <v>84.1</v>
      </c>
      <c r="G21">
        <v>70.05</v>
      </c>
      <c r="H21" t="s">
        <v>19</v>
      </c>
      <c r="I21">
        <v>4</v>
      </c>
      <c r="J21" t="s">
        <v>24</v>
      </c>
      <c r="K21">
        <v>64.400000000000006</v>
      </c>
      <c r="L21">
        <v>155</v>
      </c>
      <c r="M21">
        <v>100.4</v>
      </c>
      <c r="N21">
        <v>6.9</v>
      </c>
      <c r="O21">
        <v>3.7</v>
      </c>
      <c r="P21">
        <v>1</v>
      </c>
      <c r="Q21" t="s">
        <v>25</v>
      </c>
      <c r="R21" t="s">
        <v>33</v>
      </c>
    </row>
    <row r="22" spans="1:18" x14ac:dyDescent="0.25">
      <c r="A22" t="s">
        <v>49</v>
      </c>
      <c r="B22">
        <v>78.3</v>
      </c>
      <c r="C22">
        <v>83.2</v>
      </c>
      <c r="D22">
        <v>74.599999999999994</v>
      </c>
      <c r="E22">
        <v>73.7</v>
      </c>
      <c r="F22">
        <v>63.4</v>
      </c>
      <c r="G22">
        <v>68.55</v>
      </c>
      <c r="H22" t="s">
        <v>19</v>
      </c>
      <c r="I22">
        <v>2</v>
      </c>
      <c r="J22" t="s">
        <v>20</v>
      </c>
      <c r="K22">
        <v>73.599999999999994</v>
      </c>
      <c r="L22">
        <v>177</v>
      </c>
      <c r="M22">
        <v>71.900000000000006</v>
      </c>
      <c r="N22">
        <v>7</v>
      </c>
      <c r="O22">
        <v>1.3</v>
      </c>
      <c r="P22">
        <v>6</v>
      </c>
      <c r="Q22" t="s">
        <v>28</v>
      </c>
      <c r="R22" t="s">
        <v>33</v>
      </c>
    </row>
    <row r="23" spans="1:18" x14ac:dyDescent="0.25">
      <c r="A23" t="s">
        <v>50</v>
      </c>
      <c r="B23">
        <v>45.1</v>
      </c>
      <c r="C23">
        <v>47.4</v>
      </c>
      <c r="D23">
        <v>61.1</v>
      </c>
      <c r="E23">
        <v>47.7</v>
      </c>
      <c r="F23">
        <v>74.8</v>
      </c>
      <c r="G23">
        <v>61.25</v>
      </c>
      <c r="H23" t="s">
        <v>19</v>
      </c>
      <c r="I23">
        <v>4</v>
      </c>
      <c r="J23" t="s">
        <v>24</v>
      </c>
      <c r="K23">
        <v>50.1</v>
      </c>
      <c r="L23">
        <v>120</v>
      </c>
      <c r="M23">
        <v>98.8</v>
      </c>
      <c r="N23">
        <v>7.3</v>
      </c>
      <c r="O23">
        <v>1.8</v>
      </c>
      <c r="P23">
        <v>3</v>
      </c>
      <c r="Q23" t="s">
        <v>28</v>
      </c>
      <c r="R23" t="s">
        <v>33</v>
      </c>
    </row>
    <row r="24" spans="1:18" x14ac:dyDescent="0.25">
      <c r="A24" t="s">
        <v>51</v>
      </c>
      <c r="B24">
        <v>56.5</v>
      </c>
      <c r="C24">
        <v>52.5</v>
      </c>
      <c r="D24">
        <v>57.8</v>
      </c>
      <c r="E24">
        <v>56.1</v>
      </c>
      <c r="F24">
        <v>57.3</v>
      </c>
      <c r="G24">
        <v>56.7</v>
      </c>
      <c r="H24" t="s">
        <v>19</v>
      </c>
      <c r="I24">
        <v>1</v>
      </c>
      <c r="J24" t="s">
        <v>20</v>
      </c>
      <c r="K24">
        <v>74</v>
      </c>
      <c r="L24">
        <v>178</v>
      </c>
      <c r="M24">
        <v>58.2</v>
      </c>
      <c r="N24">
        <v>6.5</v>
      </c>
      <c r="O24">
        <v>5.0999999999999996</v>
      </c>
      <c r="P24">
        <v>4</v>
      </c>
      <c r="Q24" t="s">
        <v>28</v>
      </c>
      <c r="R24" t="s">
        <v>33</v>
      </c>
    </row>
    <row r="25" spans="1:18" x14ac:dyDescent="0.25">
      <c r="A25" t="s">
        <v>52</v>
      </c>
      <c r="B25">
        <v>57.8</v>
      </c>
      <c r="C25">
        <v>52.6</v>
      </c>
      <c r="D25">
        <v>55.1</v>
      </c>
      <c r="E25">
        <v>60.1</v>
      </c>
      <c r="F25">
        <v>66.2</v>
      </c>
      <c r="G25">
        <v>63.15</v>
      </c>
      <c r="H25" t="s">
        <v>19</v>
      </c>
      <c r="I25">
        <v>3</v>
      </c>
      <c r="J25" t="s">
        <v>20</v>
      </c>
      <c r="K25">
        <v>77.8</v>
      </c>
      <c r="L25">
        <v>187</v>
      </c>
      <c r="M25">
        <v>75.099999999999994</v>
      </c>
      <c r="N25">
        <v>6.6</v>
      </c>
      <c r="O25">
        <v>1.7</v>
      </c>
      <c r="P25">
        <v>1</v>
      </c>
      <c r="Q25" t="s">
        <v>25</v>
      </c>
      <c r="R25" t="s">
        <v>26</v>
      </c>
    </row>
    <row r="26" spans="1:18" x14ac:dyDescent="0.25">
      <c r="A26" t="s">
        <v>53</v>
      </c>
      <c r="B26">
        <v>62.9</v>
      </c>
      <c r="C26">
        <v>56.1</v>
      </c>
      <c r="D26">
        <v>64.599999999999994</v>
      </c>
      <c r="E26">
        <v>65.099999999999994</v>
      </c>
      <c r="F26">
        <v>77.099999999999994</v>
      </c>
      <c r="G26">
        <v>71.099999999999994</v>
      </c>
      <c r="H26" t="s">
        <v>19</v>
      </c>
      <c r="I26">
        <v>4</v>
      </c>
      <c r="J26" t="s">
        <v>24</v>
      </c>
      <c r="K26">
        <v>69.8</v>
      </c>
      <c r="L26">
        <v>168</v>
      </c>
      <c r="M26">
        <v>87.7</v>
      </c>
      <c r="N26">
        <v>8</v>
      </c>
      <c r="O26">
        <v>2.2000000000000002</v>
      </c>
      <c r="P26">
        <v>2</v>
      </c>
      <c r="Q26" t="s">
        <v>25</v>
      </c>
      <c r="R26" t="s">
        <v>26</v>
      </c>
    </row>
    <row r="27" spans="1:18" x14ac:dyDescent="0.25">
      <c r="A27" t="s">
        <v>54</v>
      </c>
      <c r="B27">
        <v>81.599999999999994</v>
      </c>
      <c r="C27">
        <v>75.3</v>
      </c>
      <c r="D27">
        <v>74.3</v>
      </c>
      <c r="E27">
        <v>83.2</v>
      </c>
      <c r="F27">
        <v>84.9</v>
      </c>
      <c r="G27">
        <v>84.05</v>
      </c>
      <c r="H27" t="s">
        <v>19</v>
      </c>
      <c r="I27">
        <v>5</v>
      </c>
      <c r="J27" t="s">
        <v>24</v>
      </c>
      <c r="K27">
        <v>80.3</v>
      </c>
      <c r="L27">
        <v>193</v>
      </c>
      <c r="M27">
        <v>98.4</v>
      </c>
      <c r="N27">
        <v>7.1</v>
      </c>
      <c r="O27">
        <v>3.3</v>
      </c>
      <c r="P27">
        <v>2</v>
      </c>
      <c r="Q27" t="s">
        <v>25</v>
      </c>
      <c r="R27" t="s">
        <v>33</v>
      </c>
    </row>
    <row r="28" spans="1:18" x14ac:dyDescent="0.25">
      <c r="A28" t="s">
        <v>55</v>
      </c>
      <c r="B28">
        <v>52.1</v>
      </c>
      <c r="C28">
        <v>52.3</v>
      </c>
      <c r="D28">
        <v>50.6</v>
      </c>
      <c r="E28">
        <v>51</v>
      </c>
      <c r="F28">
        <v>65.099999999999994</v>
      </c>
      <c r="G28">
        <v>58.05</v>
      </c>
      <c r="H28" t="s">
        <v>19</v>
      </c>
      <c r="I28">
        <v>5</v>
      </c>
      <c r="J28" t="s">
        <v>24</v>
      </c>
      <c r="K28">
        <v>61.7</v>
      </c>
      <c r="L28">
        <v>148</v>
      </c>
      <c r="M28">
        <v>99.1</v>
      </c>
      <c r="N28">
        <v>7.1</v>
      </c>
      <c r="O28">
        <v>3.6</v>
      </c>
      <c r="P28">
        <v>1</v>
      </c>
      <c r="Q28" t="s">
        <v>25</v>
      </c>
      <c r="R28" t="s">
        <v>22</v>
      </c>
    </row>
    <row r="29" spans="1:18" x14ac:dyDescent="0.25">
      <c r="A29" t="s">
        <v>56</v>
      </c>
      <c r="B29">
        <v>65.900000000000006</v>
      </c>
      <c r="C29">
        <v>70.8</v>
      </c>
      <c r="D29">
        <v>64.099999999999994</v>
      </c>
      <c r="E29">
        <v>68.3</v>
      </c>
      <c r="F29">
        <v>80.099999999999994</v>
      </c>
      <c r="G29">
        <v>74.2</v>
      </c>
      <c r="H29" t="s">
        <v>19</v>
      </c>
      <c r="I29">
        <v>4</v>
      </c>
      <c r="J29" t="s">
        <v>24</v>
      </c>
      <c r="K29">
        <v>76.099999999999994</v>
      </c>
      <c r="L29">
        <v>183</v>
      </c>
      <c r="M29">
        <v>81.900000000000006</v>
      </c>
      <c r="N29">
        <v>7.2</v>
      </c>
      <c r="O29">
        <v>4.8</v>
      </c>
      <c r="P29">
        <v>1</v>
      </c>
      <c r="Q29" t="s">
        <v>25</v>
      </c>
      <c r="R29" t="s">
        <v>26</v>
      </c>
    </row>
    <row r="30" spans="1:18" x14ac:dyDescent="0.25">
      <c r="A30" t="s">
        <v>57</v>
      </c>
      <c r="B30">
        <v>78.900000000000006</v>
      </c>
      <c r="C30">
        <v>64.7</v>
      </c>
      <c r="D30">
        <v>77.2</v>
      </c>
      <c r="E30">
        <v>72.599999999999994</v>
      </c>
      <c r="F30">
        <v>84.4</v>
      </c>
      <c r="G30">
        <v>78.5</v>
      </c>
      <c r="H30" t="s">
        <v>19</v>
      </c>
      <c r="I30">
        <v>5</v>
      </c>
      <c r="J30" t="s">
        <v>24</v>
      </c>
      <c r="K30">
        <v>81.900000000000006</v>
      </c>
      <c r="L30">
        <v>197</v>
      </c>
      <c r="M30">
        <v>95.5</v>
      </c>
      <c r="N30">
        <v>6.7</v>
      </c>
      <c r="O30">
        <v>3.2</v>
      </c>
      <c r="P30">
        <v>4</v>
      </c>
      <c r="Q30" t="s">
        <v>28</v>
      </c>
      <c r="R30" t="s">
        <v>33</v>
      </c>
    </row>
    <row r="31" spans="1:18" x14ac:dyDescent="0.25">
      <c r="A31" t="s">
        <v>58</v>
      </c>
      <c r="B31">
        <v>38.1</v>
      </c>
      <c r="C31">
        <v>47</v>
      </c>
      <c r="D31">
        <v>39.799999999999997</v>
      </c>
      <c r="E31">
        <v>42.6</v>
      </c>
      <c r="F31">
        <v>55.7</v>
      </c>
      <c r="G31">
        <v>49.15</v>
      </c>
      <c r="H31" t="s">
        <v>32</v>
      </c>
      <c r="I31">
        <v>2</v>
      </c>
      <c r="J31" t="s">
        <v>20</v>
      </c>
      <c r="K31">
        <v>52.6</v>
      </c>
      <c r="L31">
        <v>126</v>
      </c>
      <c r="M31">
        <v>68.8</v>
      </c>
      <c r="N31">
        <v>6.8</v>
      </c>
      <c r="O31">
        <v>4.9000000000000004</v>
      </c>
      <c r="P31">
        <v>2</v>
      </c>
      <c r="Q31" t="s">
        <v>25</v>
      </c>
      <c r="R31" t="s">
        <v>26</v>
      </c>
    </row>
    <row r="32" spans="1:18" x14ac:dyDescent="0.25">
      <c r="A32" t="s">
        <v>59</v>
      </c>
      <c r="B32">
        <v>72.5</v>
      </c>
      <c r="C32">
        <v>71</v>
      </c>
      <c r="D32">
        <v>72.8</v>
      </c>
      <c r="E32">
        <v>73.400000000000006</v>
      </c>
      <c r="F32">
        <v>72.7</v>
      </c>
      <c r="G32">
        <v>73.05</v>
      </c>
      <c r="H32" t="s">
        <v>19</v>
      </c>
      <c r="I32">
        <v>2</v>
      </c>
      <c r="J32" t="s">
        <v>20</v>
      </c>
      <c r="K32">
        <v>78.8</v>
      </c>
      <c r="L32">
        <v>189</v>
      </c>
      <c r="M32">
        <v>70</v>
      </c>
      <c r="N32">
        <v>6.7</v>
      </c>
      <c r="O32">
        <v>4.0999999999999996</v>
      </c>
      <c r="P32">
        <v>3</v>
      </c>
      <c r="Q32" t="s">
        <v>28</v>
      </c>
      <c r="R32" t="s">
        <v>22</v>
      </c>
    </row>
    <row r="33" spans="1:18" x14ac:dyDescent="0.25">
      <c r="A33" t="s">
        <v>60</v>
      </c>
      <c r="B33">
        <v>47.2</v>
      </c>
      <c r="C33">
        <v>50.1</v>
      </c>
      <c r="D33">
        <v>46.2</v>
      </c>
      <c r="E33">
        <v>49.4</v>
      </c>
      <c r="F33">
        <v>48.1</v>
      </c>
      <c r="G33">
        <v>48.75</v>
      </c>
      <c r="H33" t="s">
        <v>32</v>
      </c>
      <c r="I33">
        <v>2</v>
      </c>
      <c r="J33" t="s">
        <v>20</v>
      </c>
      <c r="K33">
        <v>63.3</v>
      </c>
      <c r="L33">
        <v>152</v>
      </c>
      <c r="M33">
        <v>78</v>
      </c>
      <c r="N33">
        <v>7.4</v>
      </c>
      <c r="O33">
        <v>1.6</v>
      </c>
      <c r="P33">
        <v>5</v>
      </c>
      <c r="Q33" t="s">
        <v>28</v>
      </c>
      <c r="R33" t="s">
        <v>22</v>
      </c>
    </row>
    <row r="34" spans="1:18" x14ac:dyDescent="0.25">
      <c r="A34" t="s">
        <v>61</v>
      </c>
      <c r="B34">
        <v>50.8</v>
      </c>
      <c r="C34">
        <v>51.6</v>
      </c>
      <c r="D34">
        <v>52.3</v>
      </c>
      <c r="E34">
        <v>43.6</v>
      </c>
      <c r="F34">
        <v>62.1</v>
      </c>
      <c r="G34">
        <v>52.85</v>
      </c>
      <c r="H34" t="s">
        <v>19</v>
      </c>
      <c r="I34">
        <v>3</v>
      </c>
      <c r="J34" t="s">
        <v>20</v>
      </c>
      <c r="K34">
        <v>62.4</v>
      </c>
      <c r="L34">
        <v>150</v>
      </c>
      <c r="M34">
        <v>77.2</v>
      </c>
      <c r="N34">
        <v>7.1</v>
      </c>
      <c r="O34">
        <v>1.8</v>
      </c>
      <c r="P34">
        <v>4</v>
      </c>
      <c r="Q34" t="s">
        <v>28</v>
      </c>
      <c r="R34" t="s">
        <v>22</v>
      </c>
    </row>
    <row r="35" spans="1:18" x14ac:dyDescent="0.25">
      <c r="A35" t="s">
        <v>62</v>
      </c>
      <c r="B35">
        <v>93.2</v>
      </c>
      <c r="C35">
        <v>96.7</v>
      </c>
      <c r="D35">
        <v>90.6</v>
      </c>
      <c r="E35">
        <v>92.2</v>
      </c>
      <c r="F35">
        <v>96.7</v>
      </c>
      <c r="G35">
        <v>94.45</v>
      </c>
      <c r="H35" t="s">
        <v>19</v>
      </c>
      <c r="I35">
        <v>3</v>
      </c>
      <c r="J35" t="s">
        <v>20</v>
      </c>
      <c r="K35">
        <v>88.4</v>
      </c>
      <c r="L35">
        <v>212</v>
      </c>
      <c r="M35">
        <v>82.3</v>
      </c>
      <c r="N35">
        <v>7.9</v>
      </c>
      <c r="O35">
        <v>3.2</v>
      </c>
      <c r="P35">
        <v>2</v>
      </c>
      <c r="Q35" t="s">
        <v>25</v>
      </c>
      <c r="R35" t="s">
        <v>33</v>
      </c>
    </row>
    <row r="36" spans="1:18" x14ac:dyDescent="0.25">
      <c r="A36" t="s">
        <v>63</v>
      </c>
      <c r="B36">
        <v>98.3</v>
      </c>
      <c r="C36">
        <v>91.8</v>
      </c>
      <c r="D36">
        <v>102.3</v>
      </c>
      <c r="E36">
        <v>93.1</v>
      </c>
      <c r="F36">
        <v>88.7</v>
      </c>
      <c r="G36">
        <v>90.9</v>
      </c>
      <c r="H36" t="s">
        <v>19</v>
      </c>
      <c r="I36">
        <v>3</v>
      </c>
      <c r="J36" t="s">
        <v>38</v>
      </c>
      <c r="K36">
        <v>85.6</v>
      </c>
      <c r="L36">
        <v>205</v>
      </c>
      <c r="M36">
        <v>80.7</v>
      </c>
      <c r="N36">
        <v>6.9</v>
      </c>
      <c r="O36">
        <v>3</v>
      </c>
      <c r="P36">
        <v>5</v>
      </c>
      <c r="Q36" t="s">
        <v>28</v>
      </c>
      <c r="R36" t="s">
        <v>33</v>
      </c>
    </row>
    <row r="37" spans="1:18" x14ac:dyDescent="0.25">
      <c r="A37" t="s">
        <v>64</v>
      </c>
      <c r="B37">
        <v>77</v>
      </c>
      <c r="C37">
        <v>80</v>
      </c>
      <c r="D37">
        <v>88.5</v>
      </c>
      <c r="E37">
        <v>84.5</v>
      </c>
      <c r="F37">
        <v>87.9</v>
      </c>
      <c r="G37">
        <v>86.2</v>
      </c>
      <c r="H37" t="s">
        <v>19</v>
      </c>
      <c r="I37">
        <v>2</v>
      </c>
      <c r="J37" t="s">
        <v>20</v>
      </c>
      <c r="K37">
        <v>81.7</v>
      </c>
      <c r="L37">
        <v>196</v>
      </c>
      <c r="M37">
        <v>71.099999999999994</v>
      </c>
      <c r="N37">
        <v>6.9</v>
      </c>
      <c r="O37">
        <v>4.7</v>
      </c>
      <c r="P37">
        <v>1</v>
      </c>
      <c r="Q37" t="s">
        <v>25</v>
      </c>
      <c r="R37" t="s">
        <v>22</v>
      </c>
    </row>
    <row r="38" spans="1:18" x14ac:dyDescent="0.25">
      <c r="A38" t="s">
        <v>65</v>
      </c>
      <c r="B38">
        <v>58.1</v>
      </c>
      <c r="C38">
        <v>46</v>
      </c>
      <c r="D38">
        <v>59.2</v>
      </c>
      <c r="E38">
        <v>56.8</v>
      </c>
      <c r="F38">
        <v>73.2</v>
      </c>
      <c r="G38">
        <v>65</v>
      </c>
      <c r="H38" t="s">
        <v>19</v>
      </c>
      <c r="I38">
        <v>4</v>
      </c>
      <c r="J38" t="s">
        <v>38</v>
      </c>
      <c r="K38">
        <v>67.3</v>
      </c>
      <c r="L38">
        <v>162</v>
      </c>
      <c r="M38">
        <v>95.8</v>
      </c>
      <c r="N38">
        <v>5.9</v>
      </c>
      <c r="O38">
        <v>3.9</v>
      </c>
      <c r="P38">
        <v>5</v>
      </c>
      <c r="Q38" t="s">
        <v>28</v>
      </c>
      <c r="R38" t="s">
        <v>26</v>
      </c>
    </row>
    <row r="39" spans="1:18" x14ac:dyDescent="0.25">
      <c r="A39" t="s">
        <v>66</v>
      </c>
      <c r="B39">
        <v>49.8</v>
      </c>
      <c r="C39">
        <v>41.8</v>
      </c>
      <c r="D39">
        <v>47.2</v>
      </c>
      <c r="E39">
        <v>45.4</v>
      </c>
      <c r="F39">
        <v>50.2</v>
      </c>
      <c r="G39">
        <v>47.8</v>
      </c>
      <c r="H39" t="s">
        <v>32</v>
      </c>
      <c r="I39">
        <v>2</v>
      </c>
      <c r="J39" t="s">
        <v>20</v>
      </c>
      <c r="K39">
        <v>67.5</v>
      </c>
      <c r="L39">
        <v>162</v>
      </c>
      <c r="M39">
        <v>73.3</v>
      </c>
      <c r="N39">
        <v>7.7</v>
      </c>
      <c r="O39">
        <v>2.9</v>
      </c>
      <c r="P39">
        <v>3</v>
      </c>
      <c r="Q39" t="s">
        <v>25</v>
      </c>
      <c r="R39" t="s">
        <v>26</v>
      </c>
    </row>
    <row r="40" spans="1:18" x14ac:dyDescent="0.25">
      <c r="A40" t="s">
        <v>67</v>
      </c>
      <c r="B40">
        <v>78</v>
      </c>
      <c r="C40">
        <v>76.599999999999994</v>
      </c>
      <c r="D40">
        <v>79.599999999999994</v>
      </c>
      <c r="E40">
        <v>77.599999999999994</v>
      </c>
      <c r="F40">
        <v>65.7</v>
      </c>
      <c r="G40">
        <v>71.650000000000006</v>
      </c>
      <c r="H40" t="s">
        <v>19</v>
      </c>
      <c r="I40">
        <v>2</v>
      </c>
      <c r="J40" t="s">
        <v>20</v>
      </c>
      <c r="K40">
        <v>80.900000000000006</v>
      </c>
      <c r="L40">
        <v>194</v>
      </c>
      <c r="M40">
        <v>67</v>
      </c>
      <c r="N40">
        <v>8</v>
      </c>
      <c r="O40">
        <v>1.9</v>
      </c>
      <c r="P40">
        <v>6</v>
      </c>
      <c r="Q40" t="s">
        <v>21</v>
      </c>
      <c r="R40" t="s">
        <v>22</v>
      </c>
    </row>
    <row r="41" spans="1:18" x14ac:dyDescent="0.25">
      <c r="A41" t="s">
        <v>68</v>
      </c>
      <c r="B41">
        <v>69.5</v>
      </c>
      <c r="C41">
        <v>59.3</v>
      </c>
      <c r="D41">
        <v>54.6</v>
      </c>
      <c r="E41">
        <v>64.2</v>
      </c>
      <c r="F41">
        <v>63.5</v>
      </c>
      <c r="G41">
        <v>63.85</v>
      </c>
      <c r="H41" t="s">
        <v>19</v>
      </c>
      <c r="I41">
        <v>3</v>
      </c>
      <c r="J41" t="s">
        <v>20</v>
      </c>
      <c r="K41">
        <v>73.2</v>
      </c>
      <c r="L41">
        <v>176</v>
      </c>
      <c r="M41">
        <v>78.900000000000006</v>
      </c>
      <c r="N41">
        <v>7.4</v>
      </c>
      <c r="O41">
        <v>2.1</v>
      </c>
      <c r="P41">
        <v>4</v>
      </c>
      <c r="Q41" t="s">
        <v>28</v>
      </c>
      <c r="R41" t="s">
        <v>33</v>
      </c>
    </row>
    <row r="42" spans="1:18" x14ac:dyDescent="0.25">
      <c r="A42" t="s">
        <v>69</v>
      </c>
      <c r="B42">
        <v>44.1</v>
      </c>
      <c r="C42">
        <v>46.1</v>
      </c>
      <c r="D42">
        <v>45.3</v>
      </c>
      <c r="E42">
        <v>46.7</v>
      </c>
      <c r="F42">
        <v>56.7</v>
      </c>
      <c r="G42">
        <v>51.7</v>
      </c>
      <c r="H42" t="s">
        <v>19</v>
      </c>
      <c r="I42">
        <v>4</v>
      </c>
      <c r="J42" t="s">
        <v>24</v>
      </c>
      <c r="K42">
        <v>57</v>
      </c>
      <c r="L42">
        <v>137</v>
      </c>
      <c r="M42">
        <v>90.1</v>
      </c>
      <c r="N42">
        <v>6.7</v>
      </c>
      <c r="O42">
        <v>3.9</v>
      </c>
      <c r="P42">
        <v>2</v>
      </c>
      <c r="Q42" t="s">
        <v>25</v>
      </c>
      <c r="R42" t="s">
        <v>26</v>
      </c>
    </row>
    <row r="43" spans="1:18" x14ac:dyDescent="0.25">
      <c r="A43" t="s">
        <v>70</v>
      </c>
      <c r="B43">
        <v>74.3</v>
      </c>
      <c r="C43">
        <v>67.599999999999994</v>
      </c>
      <c r="D43">
        <v>71.5</v>
      </c>
      <c r="E43">
        <v>67.2</v>
      </c>
      <c r="F43">
        <v>80.2</v>
      </c>
      <c r="G43">
        <v>73.7</v>
      </c>
      <c r="H43" t="s">
        <v>19</v>
      </c>
      <c r="I43">
        <v>4</v>
      </c>
      <c r="J43" t="s">
        <v>38</v>
      </c>
      <c r="K43">
        <v>71.7</v>
      </c>
      <c r="L43">
        <v>172</v>
      </c>
      <c r="M43">
        <v>92</v>
      </c>
      <c r="N43">
        <v>7.3</v>
      </c>
      <c r="O43">
        <v>3.1</v>
      </c>
      <c r="P43">
        <v>4</v>
      </c>
      <c r="Q43" t="s">
        <v>28</v>
      </c>
      <c r="R43" t="s">
        <v>26</v>
      </c>
    </row>
    <row r="44" spans="1:18" x14ac:dyDescent="0.25">
      <c r="A44" t="s">
        <v>71</v>
      </c>
      <c r="B44">
        <v>53.4</v>
      </c>
      <c r="C44">
        <v>40.799999999999997</v>
      </c>
      <c r="D44">
        <v>41.6</v>
      </c>
      <c r="E44">
        <v>41.9</v>
      </c>
      <c r="F44">
        <v>55.1</v>
      </c>
      <c r="G44">
        <v>48.5</v>
      </c>
      <c r="H44" t="s">
        <v>32</v>
      </c>
      <c r="I44">
        <v>4</v>
      </c>
      <c r="J44" t="s">
        <v>38</v>
      </c>
      <c r="K44">
        <v>65.400000000000006</v>
      </c>
      <c r="L44">
        <v>157</v>
      </c>
      <c r="M44">
        <v>89.3</v>
      </c>
      <c r="N44">
        <v>8.1</v>
      </c>
      <c r="O44">
        <v>3.6</v>
      </c>
      <c r="P44">
        <v>1</v>
      </c>
      <c r="Q44" t="s">
        <v>25</v>
      </c>
      <c r="R44" t="s">
        <v>26</v>
      </c>
    </row>
    <row r="45" spans="1:18" x14ac:dyDescent="0.25">
      <c r="A45" t="s">
        <v>72</v>
      </c>
      <c r="B45">
        <v>88.2</v>
      </c>
      <c r="C45">
        <v>86.8</v>
      </c>
      <c r="D45">
        <v>83</v>
      </c>
      <c r="E45">
        <v>90</v>
      </c>
      <c r="F45">
        <v>94.9</v>
      </c>
      <c r="G45">
        <v>92.45</v>
      </c>
      <c r="H45" t="s">
        <v>19</v>
      </c>
      <c r="I45">
        <v>2</v>
      </c>
      <c r="J45" t="s">
        <v>20</v>
      </c>
      <c r="K45">
        <v>85.2</v>
      </c>
      <c r="L45">
        <v>204</v>
      </c>
      <c r="M45">
        <v>62</v>
      </c>
      <c r="N45">
        <v>6.6</v>
      </c>
      <c r="O45">
        <v>1.9</v>
      </c>
      <c r="P45">
        <v>1</v>
      </c>
      <c r="Q45" t="s">
        <v>25</v>
      </c>
      <c r="R45" t="s">
        <v>33</v>
      </c>
    </row>
    <row r="46" spans="1:18" x14ac:dyDescent="0.25">
      <c r="A46" t="s">
        <v>73</v>
      </c>
      <c r="B46">
        <v>52</v>
      </c>
      <c r="C46">
        <v>55.1</v>
      </c>
      <c r="D46">
        <v>54</v>
      </c>
      <c r="E46">
        <v>54.2</v>
      </c>
      <c r="F46">
        <v>55.9</v>
      </c>
      <c r="G46">
        <v>55.05</v>
      </c>
      <c r="H46" t="s">
        <v>19</v>
      </c>
      <c r="I46">
        <v>3</v>
      </c>
      <c r="J46" t="s">
        <v>38</v>
      </c>
      <c r="K46">
        <v>70.400000000000006</v>
      </c>
      <c r="L46">
        <v>169</v>
      </c>
      <c r="M46">
        <v>82.2</v>
      </c>
      <c r="N46">
        <v>7.1</v>
      </c>
      <c r="O46">
        <v>4.3</v>
      </c>
      <c r="P46">
        <v>4</v>
      </c>
      <c r="Q46" t="s">
        <v>28</v>
      </c>
      <c r="R46" t="s">
        <v>22</v>
      </c>
    </row>
    <row r="47" spans="1:18" x14ac:dyDescent="0.25">
      <c r="A47" t="s">
        <v>74</v>
      </c>
      <c r="B47">
        <v>83.7</v>
      </c>
      <c r="C47">
        <v>78.599999999999994</v>
      </c>
      <c r="D47">
        <v>85</v>
      </c>
      <c r="E47">
        <v>76.400000000000006</v>
      </c>
      <c r="F47">
        <v>77.3</v>
      </c>
      <c r="G47">
        <v>76.849999999999994</v>
      </c>
      <c r="H47" t="s">
        <v>19</v>
      </c>
      <c r="I47">
        <v>1</v>
      </c>
      <c r="J47" t="s">
        <v>20</v>
      </c>
      <c r="K47">
        <v>87.1</v>
      </c>
      <c r="L47">
        <v>209</v>
      </c>
      <c r="M47">
        <v>53.4</v>
      </c>
      <c r="N47">
        <v>6</v>
      </c>
      <c r="O47">
        <v>5.3</v>
      </c>
      <c r="P47">
        <v>5</v>
      </c>
      <c r="Q47" t="s">
        <v>28</v>
      </c>
      <c r="R47" t="s">
        <v>33</v>
      </c>
    </row>
    <row r="48" spans="1:18" x14ac:dyDescent="0.25">
      <c r="A48" t="s">
        <v>75</v>
      </c>
      <c r="B48">
        <v>65</v>
      </c>
      <c r="C48">
        <v>51.7</v>
      </c>
      <c r="D48">
        <v>63.4</v>
      </c>
      <c r="E48">
        <v>57.1</v>
      </c>
      <c r="F48">
        <v>57.8</v>
      </c>
      <c r="G48">
        <v>57.45</v>
      </c>
      <c r="H48" t="s">
        <v>19</v>
      </c>
      <c r="I48">
        <v>3</v>
      </c>
      <c r="J48" t="s">
        <v>20</v>
      </c>
      <c r="K48">
        <v>73.8</v>
      </c>
      <c r="L48">
        <v>177</v>
      </c>
      <c r="M48">
        <v>82.3</v>
      </c>
      <c r="N48">
        <v>7.3</v>
      </c>
      <c r="O48">
        <v>2.2999999999999998</v>
      </c>
      <c r="P48">
        <v>1</v>
      </c>
      <c r="Q48" t="s">
        <v>25</v>
      </c>
      <c r="R48" t="s">
        <v>26</v>
      </c>
    </row>
    <row r="49" spans="1:18" x14ac:dyDescent="0.25">
      <c r="A49" t="s">
        <v>76</v>
      </c>
      <c r="B49">
        <v>66</v>
      </c>
      <c r="C49">
        <v>75.7</v>
      </c>
      <c r="D49">
        <v>68.3</v>
      </c>
      <c r="E49">
        <v>68.599999999999994</v>
      </c>
      <c r="F49">
        <v>75.900000000000006</v>
      </c>
      <c r="G49">
        <v>72.25</v>
      </c>
      <c r="H49" t="s">
        <v>19</v>
      </c>
      <c r="I49">
        <v>3</v>
      </c>
      <c r="J49" t="s">
        <v>20</v>
      </c>
      <c r="K49">
        <v>74.8</v>
      </c>
      <c r="L49">
        <v>180</v>
      </c>
      <c r="M49">
        <v>74</v>
      </c>
      <c r="N49">
        <v>6.8</v>
      </c>
      <c r="O49">
        <v>3.5</v>
      </c>
      <c r="P49">
        <v>1</v>
      </c>
      <c r="Q49" t="s">
        <v>25</v>
      </c>
      <c r="R49" t="s">
        <v>22</v>
      </c>
    </row>
    <row r="50" spans="1:18" x14ac:dyDescent="0.25">
      <c r="A50" t="s">
        <v>77</v>
      </c>
      <c r="B50">
        <v>68</v>
      </c>
      <c r="C50">
        <v>69.599999999999994</v>
      </c>
      <c r="D50">
        <v>74.8</v>
      </c>
      <c r="E50">
        <v>70.099999999999994</v>
      </c>
      <c r="F50">
        <v>61.5</v>
      </c>
      <c r="G50">
        <v>65.8</v>
      </c>
      <c r="H50" t="s">
        <v>19</v>
      </c>
      <c r="I50">
        <v>1</v>
      </c>
      <c r="J50" t="s">
        <v>20</v>
      </c>
      <c r="K50">
        <v>72.5</v>
      </c>
      <c r="L50">
        <v>174</v>
      </c>
      <c r="M50">
        <v>61.9</v>
      </c>
      <c r="N50">
        <v>6</v>
      </c>
      <c r="O50">
        <v>5.9</v>
      </c>
      <c r="P50">
        <v>2</v>
      </c>
      <c r="Q50" t="s">
        <v>25</v>
      </c>
      <c r="R50" t="s">
        <v>33</v>
      </c>
    </row>
    <row r="51" spans="1:18" x14ac:dyDescent="0.25">
      <c r="A51" t="s">
        <v>78</v>
      </c>
      <c r="B51">
        <v>48.8</v>
      </c>
      <c r="C51">
        <v>50.3</v>
      </c>
      <c r="D51">
        <v>48.3</v>
      </c>
      <c r="E51">
        <v>50.2</v>
      </c>
      <c r="F51">
        <v>64.900000000000006</v>
      </c>
      <c r="G51">
        <v>57.55</v>
      </c>
      <c r="H51" t="s">
        <v>19</v>
      </c>
      <c r="I51">
        <v>2</v>
      </c>
      <c r="J51" t="s">
        <v>20</v>
      </c>
      <c r="K51">
        <v>52.3</v>
      </c>
      <c r="L51">
        <v>126</v>
      </c>
      <c r="M51">
        <v>69.400000000000006</v>
      </c>
      <c r="N51">
        <v>7.2</v>
      </c>
      <c r="O51">
        <v>2.7</v>
      </c>
      <c r="P51">
        <v>1</v>
      </c>
      <c r="Q51" t="s">
        <v>25</v>
      </c>
      <c r="R51" t="s">
        <v>22</v>
      </c>
    </row>
    <row r="52" spans="1:18" x14ac:dyDescent="0.25">
      <c r="A52" t="s">
        <v>79</v>
      </c>
      <c r="B52">
        <v>86.6</v>
      </c>
      <c r="C52">
        <v>96.9</v>
      </c>
      <c r="D52">
        <v>84.8</v>
      </c>
      <c r="E52">
        <v>93.3</v>
      </c>
      <c r="F52">
        <v>100</v>
      </c>
      <c r="G52">
        <v>96.65</v>
      </c>
      <c r="H52" t="s">
        <v>19</v>
      </c>
      <c r="I52">
        <v>5</v>
      </c>
      <c r="J52" t="s">
        <v>24</v>
      </c>
      <c r="K52">
        <v>85.8</v>
      </c>
      <c r="L52">
        <v>206</v>
      </c>
      <c r="M52">
        <v>104</v>
      </c>
      <c r="N52">
        <v>6.2</v>
      </c>
      <c r="O52">
        <v>4</v>
      </c>
      <c r="P52">
        <v>3</v>
      </c>
      <c r="Q52" t="s">
        <v>25</v>
      </c>
      <c r="R52" t="s">
        <v>26</v>
      </c>
    </row>
    <row r="53" spans="1:18" x14ac:dyDescent="0.25">
      <c r="A53" t="s">
        <v>80</v>
      </c>
      <c r="B53">
        <v>78</v>
      </c>
      <c r="C53">
        <v>83.8</v>
      </c>
      <c r="D53">
        <v>78</v>
      </c>
      <c r="E53">
        <v>82.6</v>
      </c>
      <c r="F53">
        <v>75.099999999999994</v>
      </c>
      <c r="G53">
        <v>78.849999999999994</v>
      </c>
      <c r="H53" t="s">
        <v>19</v>
      </c>
      <c r="I53">
        <v>5</v>
      </c>
      <c r="J53" t="s">
        <v>24</v>
      </c>
      <c r="K53">
        <v>79.7</v>
      </c>
      <c r="L53">
        <v>191</v>
      </c>
      <c r="M53">
        <v>84</v>
      </c>
      <c r="N53">
        <v>8.1</v>
      </c>
      <c r="O53">
        <v>1.5</v>
      </c>
      <c r="P53">
        <v>3</v>
      </c>
      <c r="Q53" t="s">
        <v>28</v>
      </c>
      <c r="R53" t="s">
        <v>33</v>
      </c>
    </row>
    <row r="54" spans="1:18" x14ac:dyDescent="0.25">
      <c r="A54" t="s">
        <v>81</v>
      </c>
      <c r="B54">
        <v>86.7</v>
      </c>
      <c r="C54">
        <v>96.4</v>
      </c>
      <c r="D54">
        <v>99.5</v>
      </c>
      <c r="E54">
        <v>91.7</v>
      </c>
      <c r="F54">
        <v>92.6</v>
      </c>
      <c r="G54">
        <v>92.15</v>
      </c>
      <c r="H54" t="s">
        <v>19</v>
      </c>
      <c r="I54">
        <v>2</v>
      </c>
      <c r="J54" t="s">
        <v>20</v>
      </c>
      <c r="K54">
        <v>87.8</v>
      </c>
      <c r="L54">
        <v>211</v>
      </c>
      <c r="M54">
        <v>74</v>
      </c>
      <c r="N54">
        <v>5.9</v>
      </c>
      <c r="O54">
        <v>4</v>
      </c>
      <c r="P54">
        <v>4</v>
      </c>
      <c r="Q54" t="s">
        <v>28</v>
      </c>
      <c r="R54" t="s">
        <v>22</v>
      </c>
    </row>
    <row r="55" spans="1:18" x14ac:dyDescent="0.25">
      <c r="A55" t="s">
        <v>82</v>
      </c>
      <c r="B55">
        <v>85.4</v>
      </c>
      <c r="C55">
        <v>90.7</v>
      </c>
      <c r="D55">
        <v>87.8</v>
      </c>
      <c r="E55">
        <v>89.2</v>
      </c>
      <c r="F55">
        <v>91.7</v>
      </c>
      <c r="G55">
        <v>90.45</v>
      </c>
      <c r="H55" t="s">
        <v>19</v>
      </c>
      <c r="I55">
        <v>1</v>
      </c>
      <c r="J55" t="s">
        <v>20</v>
      </c>
      <c r="K55">
        <v>83.8</v>
      </c>
      <c r="L55">
        <v>201</v>
      </c>
      <c r="M55">
        <v>61.2</v>
      </c>
      <c r="N55">
        <v>7.8</v>
      </c>
      <c r="O55">
        <v>1.4</v>
      </c>
      <c r="P55">
        <v>1</v>
      </c>
      <c r="Q55" t="s">
        <v>25</v>
      </c>
      <c r="R55" t="s">
        <v>33</v>
      </c>
    </row>
    <row r="56" spans="1:18" x14ac:dyDescent="0.25">
      <c r="A56" t="s">
        <v>83</v>
      </c>
      <c r="B56">
        <v>72.7</v>
      </c>
      <c r="C56">
        <v>69.8</v>
      </c>
      <c r="D56">
        <v>71.7</v>
      </c>
      <c r="E56">
        <v>72.900000000000006</v>
      </c>
      <c r="F56">
        <v>74.2</v>
      </c>
      <c r="G56">
        <v>73.55</v>
      </c>
      <c r="H56" t="s">
        <v>19</v>
      </c>
      <c r="I56">
        <v>2</v>
      </c>
      <c r="J56" t="s">
        <v>20</v>
      </c>
      <c r="K56">
        <v>74.8</v>
      </c>
      <c r="L56">
        <v>180</v>
      </c>
      <c r="M56">
        <v>64.900000000000006</v>
      </c>
      <c r="N56">
        <v>6.1</v>
      </c>
      <c r="O56">
        <v>5.8</v>
      </c>
      <c r="P56">
        <v>1</v>
      </c>
      <c r="Q56" t="s">
        <v>25</v>
      </c>
      <c r="R56" t="s">
        <v>26</v>
      </c>
    </row>
    <row r="57" spans="1:18" x14ac:dyDescent="0.25">
      <c r="A57" t="s">
        <v>84</v>
      </c>
      <c r="B57">
        <v>91.9</v>
      </c>
      <c r="C57">
        <v>92.5</v>
      </c>
      <c r="D57">
        <v>89.2</v>
      </c>
      <c r="E57">
        <v>90.7</v>
      </c>
      <c r="F57">
        <v>82.4</v>
      </c>
      <c r="G57">
        <v>86.55</v>
      </c>
      <c r="H57" t="s">
        <v>19</v>
      </c>
      <c r="I57">
        <v>3</v>
      </c>
      <c r="J57" t="s">
        <v>20</v>
      </c>
      <c r="K57">
        <v>76.5</v>
      </c>
      <c r="L57">
        <v>184</v>
      </c>
      <c r="M57">
        <v>84.3</v>
      </c>
      <c r="N57">
        <v>6</v>
      </c>
      <c r="O57">
        <v>4.5999999999999996</v>
      </c>
      <c r="P57">
        <v>7</v>
      </c>
      <c r="Q57" t="s">
        <v>21</v>
      </c>
      <c r="R57" t="s">
        <v>22</v>
      </c>
    </row>
    <row r="58" spans="1:18" x14ac:dyDescent="0.25">
      <c r="A58" t="s">
        <v>85</v>
      </c>
      <c r="B58">
        <v>52.6</v>
      </c>
      <c r="C58">
        <v>39.1</v>
      </c>
      <c r="D58">
        <v>54.4</v>
      </c>
      <c r="E58">
        <v>44.9</v>
      </c>
      <c r="F58">
        <v>60.1</v>
      </c>
      <c r="G58">
        <v>52.5</v>
      </c>
      <c r="H58" t="s">
        <v>19</v>
      </c>
      <c r="I58">
        <v>5</v>
      </c>
      <c r="J58" t="s">
        <v>24</v>
      </c>
      <c r="K58">
        <v>57.7</v>
      </c>
      <c r="L58">
        <v>138</v>
      </c>
      <c r="M58">
        <v>93.5</v>
      </c>
      <c r="N58">
        <v>6.6</v>
      </c>
      <c r="O58">
        <v>4.9000000000000004</v>
      </c>
      <c r="P58">
        <v>5</v>
      </c>
      <c r="Q58" t="s">
        <v>28</v>
      </c>
      <c r="R58" t="s">
        <v>26</v>
      </c>
    </row>
    <row r="59" spans="1:18" x14ac:dyDescent="0.25">
      <c r="A59" t="s">
        <v>86</v>
      </c>
      <c r="B59">
        <v>45.8</v>
      </c>
      <c r="C59">
        <v>51.3</v>
      </c>
      <c r="D59">
        <v>58.9</v>
      </c>
      <c r="E59">
        <v>50.8</v>
      </c>
      <c r="F59">
        <v>52.4</v>
      </c>
      <c r="G59">
        <v>51.6</v>
      </c>
      <c r="H59" t="s">
        <v>19</v>
      </c>
      <c r="I59">
        <v>2</v>
      </c>
      <c r="J59" t="s">
        <v>20</v>
      </c>
      <c r="K59">
        <v>67.8</v>
      </c>
      <c r="L59">
        <v>163</v>
      </c>
      <c r="M59">
        <v>69.5</v>
      </c>
      <c r="N59">
        <v>5.9</v>
      </c>
      <c r="O59">
        <v>4.5</v>
      </c>
      <c r="P59">
        <v>6</v>
      </c>
      <c r="Q59" t="s">
        <v>21</v>
      </c>
      <c r="R59" t="s">
        <v>22</v>
      </c>
    </row>
    <row r="60" spans="1:18" x14ac:dyDescent="0.25">
      <c r="A60" t="s">
        <v>87</v>
      </c>
      <c r="B60">
        <v>47.4</v>
      </c>
      <c r="C60">
        <v>42.3</v>
      </c>
      <c r="D60">
        <v>53.6</v>
      </c>
      <c r="E60">
        <v>42.5</v>
      </c>
      <c r="F60">
        <v>51.6</v>
      </c>
      <c r="G60">
        <v>47.05</v>
      </c>
      <c r="H60" t="s">
        <v>32</v>
      </c>
      <c r="I60">
        <v>4</v>
      </c>
      <c r="J60" t="s">
        <v>24</v>
      </c>
      <c r="K60">
        <v>69.8</v>
      </c>
      <c r="L60">
        <v>168</v>
      </c>
      <c r="M60">
        <v>92.3</v>
      </c>
      <c r="N60">
        <v>6.8</v>
      </c>
      <c r="O60">
        <v>3.9</v>
      </c>
      <c r="P60">
        <v>3</v>
      </c>
      <c r="Q60" t="s">
        <v>28</v>
      </c>
      <c r="R60" t="s">
        <v>26</v>
      </c>
    </row>
    <row r="61" spans="1:18" x14ac:dyDescent="0.25">
      <c r="A61" t="s">
        <v>88</v>
      </c>
      <c r="B61">
        <v>56.8</v>
      </c>
      <c r="C61">
        <v>56.9</v>
      </c>
      <c r="D61">
        <v>57.1</v>
      </c>
      <c r="E61">
        <v>57.9</v>
      </c>
      <c r="F61">
        <v>70.400000000000006</v>
      </c>
      <c r="G61">
        <v>64.150000000000006</v>
      </c>
      <c r="H61" t="s">
        <v>19</v>
      </c>
      <c r="I61">
        <v>1</v>
      </c>
      <c r="J61" t="s">
        <v>20</v>
      </c>
      <c r="K61">
        <v>68.5</v>
      </c>
      <c r="L61">
        <v>164</v>
      </c>
      <c r="M61">
        <v>70.7</v>
      </c>
      <c r="N61">
        <v>6.3</v>
      </c>
      <c r="O61">
        <v>3.2</v>
      </c>
      <c r="P61">
        <v>1</v>
      </c>
      <c r="Q61" t="s">
        <v>25</v>
      </c>
      <c r="R61" t="s">
        <v>26</v>
      </c>
    </row>
    <row r="62" spans="1:18" x14ac:dyDescent="0.25">
      <c r="A62" t="s">
        <v>89</v>
      </c>
      <c r="B62">
        <v>61.1</v>
      </c>
      <c r="C62">
        <v>60.7</v>
      </c>
      <c r="D62">
        <v>62.9</v>
      </c>
      <c r="E62">
        <v>61.4</v>
      </c>
      <c r="F62">
        <v>65.599999999999994</v>
      </c>
      <c r="G62">
        <v>63.5</v>
      </c>
      <c r="H62" t="s">
        <v>19</v>
      </c>
      <c r="I62">
        <v>5</v>
      </c>
      <c r="J62" t="s">
        <v>24</v>
      </c>
      <c r="K62">
        <v>72.3</v>
      </c>
      <c r="L62">
        <v>174</v>
      </c>
      <c r="M62">
        <v>95.9</v>
      </c>
      <c r="N62">
        <v>6.6</v>
      </c>
      <c r="O62">
        <v>5.3</v>
      </c>
      <c r="P62">
        <v>7</v>
      </c>
      <c r="Q62" t="s">
        <v>21</v>
      </c>
      <c r="R62" t="s">
        <v>33</v>
      </c>
    </row>
    <row r="63" spans="1:18" x14ac:dyDescent="0.25">
      <c r="A63" t="s">
        <v>90</v>
      </c>
      <c r="B63">
        <v>58.3</v>
      </c>
      <c r="C63">
        <v>45.5</v>
      </c>
      <c r="D63">
        <v>47.3</v>
      </c>
      <c r="E63">
        <v>54.9</v>
      </c>
      <c r="F63">
        <v>54.8</v>
      </c>
      <c r="G63">
        <v>54.85</v>
      </c>
      <c r="H63" t="s">
        <v>19</v>
      </c>
      <c r="I63">
        <v>3</v>
      </c>
      <c r="J63" t="s">
        <v>20</v>
      </c>
      <c r="K63">
        <v>72.2</v>
      </c>
      <c r="L63">
        <v>173</v>
      </c>
      <c r="M63">
        <v>71.599999999999994</v>
      </c>
      <c r="N63">
        <v>5.8</v>
      </c>
      <c r="O63">
        <v>5.8</v>
      </c>
      <c r="P63">
        <v>5</v>
      </c>
      <c r="Q63" t="s">
        <v>28</v>
      </c>
      <c r="R63" t="s">
        <v>26</v>
      </c>
    </row>
    <row r="64" spans="1:18" x14ac:dyDescent="0.25">
      <c r="A64" t="s">
        <v>91</v>
      </c>
      <c r="B64">
        <v>80</v>
      </c>
      <c r="C64">
        <v>82.8</v>
      </c>
      <c r="D64">
        <v>93</v>
      </c>
      <c r="E64">
        <v>85.6</v>
      </c>
      <c r="F64">
        <v>89.9</v>
      </c>
      <c r="G64">
        <v>87.75</v>
      </c>
      <c r="H64" t="s">
        <v>19</v>
      </c>
      <c r="I64">
        <v>4</v>
      </c>
      <c r="J64" t="s">
        <v>24</v>
      </c>
      <c r="K64">
        <v>78.7</v>
      </c>
      <c r="L64">
        <v>189</v>
      </c>
      <c r="M64">
        <v>96.5</v>
      </c>
      <c r="N64">
        <v>6.7</v>
      </c>
      <c r="O64">
        <v>3.5</v>
      </c>
      <c r="P64">
        <v>3</v>
      </c>
      <c r="Q64" t="s">
        <v>28</v>
      </c>
      <c r="R64" t="s">
        <v>33</v>
      </c>
    </row>
    <row r="65" spans="1:18" x14ac:dyDescent="0.25">
      <c r="A65" t="s">
        <v>92</v>
      </c>
      <c r="B65">
        <v>61.5</v>
      </c>
      <c r="C65">
        <v>60.1</v>
      </c>
      <c r="D65">
        <v>53.8</v>
      </c>
      <c r="E65">
        <v>59.6</v>
      </c>
      <c r="F65">
        <v>57.3</v>
      </c>
      <c r="G65">
        <v>58.45</v>
      </c>
      <c r="H65" t="s">
        <v>19</v>
      </c>
      <c r="I65">
        <v>2</v>
      </c>
      <c r="J65" t="s">
        <v>20</v>
      </c>
      <c r="K65">
        <v>71.599999999999994</v>
      </c>
      <c r="L65">
        <v>172</v>
      </c>
      <c r="M65">
        <v>75.8</v>
      </c>
      <c r="N65">
        <v>6.4</v>
      </c>
      <c r="O65">
        <v>5.7</v>
      </c>
      <c r="P65">
        <v>3</v>
      </c>
      <c r="Q65" t="s">
        <v>25</v>
      </c>
      <c r="R65" t="s">
        <v>26</v>
      </c>
    </row>
    <row r="66" spans="1:18" x14ac:dyDescent="0.25">
      <c r="A66" t="s">
        <v>93</v>
      </c>
      <c r="B66">
        <v>56.3</v>
      </c>
      <c r="C66">
        <v>56.3</v>
      </c>
      <c r="D66">
        <v>56.5</v>
      </c>
      <c r="E66">
        <v>55.5</v>
      </c>
      <c r="F66">
        <v>57.3</v>
      </c>
      <c r="G66">
        <v>56.4</v>
      </c>
      <c r="H66" t="s">
        <v>19</v>
      </c>
      <c r="I66">
        <v>4</v>
      </c>
      <c r="J66" t="s">
        <v>38</v>
      </c>
      <c r="K66">
        <v>64</v>
      </c>
      <c r="L66">
        <v>154</v>
      </c>
      <c r="M66">
        <v>77.400000000000006</v>
      </c>
      <c r="N66">
        <v>6.4</v>
      </c>
      <c r="O66">
        <v>3.9</v>
      </c>
      <c r="P66">
        <v>2</v>
      </c>
      <c r="Q66" t="s">
        <v>25</v>
      </c>
      <c r="R66" t="s">
        <v>26</v>
      </c>
    </row>
    <row r="67" spans="1:18" x14ac:dyDescent="0.25">
      <c r="A67" t="s">
        <v>94</v>
      </c>
      <c r="B67">
        <v>72.3</v>
      </c>
      <c r="C67">
        <v>64.7</v>
      </c>
      <c r="D67">
        <v>64.400000000000006</v>
      </c>
      <c r="E67">
        <v>69.8</v>
      </c>
      <c r="F67">
        <v>61.4</v>
      </c>
      <c r="G67">
        <v>65.599999999999994</v>
      </c>
      <c r="H67" t="s">
        <v>19</v>
      </c>
      <c r="I67">
        <v>2</v>
      </c>
      <c r="J67" t="s">
        <v>20</v>
      </c>
      <c r="K67">
        <v>79.2</v>
      </c>
      <c r="L67">
        <v>190</v>
      </c>
      <c r="M67">
        <v>65</v>
      </c>
      <c r="N67">
        <v>6.9</v>
      </c>
      <c r="O67">
        <v>3.7</v>
      </c>
      <c r="P67">
        <v>7</v>
      </c>
      <c r="Q67" t="s">
        <v>21</v>
      </c>
      <c r="R67" t="s">
        <v>26</v>
      </c>
    </row>
    <row r="68" spans="1:18" x14ac:dyDescent="0.25">
      <c r="A68" t="s">
        <v>95</v>
      </c>
      <c r="B68">
        <v>49.2</v>
      </c>
      <c r="C68">
        <v>54.1</v>
      </c>
      <c r="D68">
        <v>44.8</v>
      </c>
      <c r="E68">
        <v>47.8</v>
      </c>
      <c r="F68">
        <v>54.4</v>
      </c>
      <c r="G68">
        <v>51.1</v>
      </c>
      <c r="H68" t="s">
        <v>19</v>
      </c>
      <c r="I68">
        <v>2</v>
      </c>
      <c r="J68" t="s">
        <v>20</v>
      </c>
      <c r="K68">
        <v>64.599999999999994</v>
      </c>
      <c r="L68">
        <v>155</v>
      </c>
      <c r="M68">
        <v>67.8</v>
      </c>
      <c r="N68">
        <v>6.3</v>
      </c>
      <c r="O68">
        <v>3.3</v>
      </c>
      <c r="P68">
        <v>7</v>
      </c>
      <c r="Q68" t="s">
        <v>21</v>
      </c>
      <c r="R68" t="s">
        <v>22</v>
      </c>
    </row>
    <row r="69" spans="1:18" x14ac:dyDescent="0.25">
      <c r="A69" t="s">
        <v>96</v>
      </c>
      <c r="B69">
        <v>96.4</v>
      </c>
      <c r="C69">
        <v>79.8</v>
      </c>
      <c r="D69">
        <v>79.900000000000006</v>
      </c>
      <c r="E69">
        <v>84.1</v>
      </c>
      <c r="F69">
        <v>82.6</v>
      </c>
      <c r="G69">
        <v>83.35</v>
      </c>
      <c r="H69" t="s">
        <v>19</v>
      </c>
      <c r="I69">
        <v>5</v>
      </c>
      <c r="J69" t="s">
        <v>24</v>
      </c>
      <c r="K69">
        <v>83.6</v>
      </c>
      <c r="L69">
        <v>201</v>
      </c>
      <c r="M69">
        <v>101.7</v>
      </c>
      <c r="N69">
        <v>7.7</v>
      </c>
      <c r="O69">
        <v>2</v>
      </c>
      <c r="P69">
        <v>5</v>
      </c>
      <c r="Q69" t="s">
        <v>28</v>
      </c>
      <c r="R69" t="s">
        <v>33</v>
      </c>
    </row>
    <row r="70" spans="1:18" x14ac:dyDescent="0.25">
      <c r="A70" t="s">
        <v>97</v>
      </c>
      <c r="B70">
        <v>40.9</v>
      </c>
      <c r="C70">
        <v>48.9</v>
      </c>
      <c r="D70">
        <v>41.1</v>
      </c>
      <c r="E70">
        <v>44.1</v>
      </c>
      <c r="F70">
        <v>60.2</v>
      </c>
      <c r="G70">
        <v>52.15</v>
      </c>
      <c r="H70" t="s">
        <v>19</v>
      </c>
      <c r="I70">
        <v>5</v>
      </c>
      <c r="J70" t="s">
        <v>24</v>
      </c>
      <c r="K70">
        <v>58.1</v>
      </c>
      <c r="L70">
        <v>139</v>
      </c>
      <c r="M70">
        <v>93.3</v>
      </c>
      <c r="N70">
        <v>8.6</v>
      </c>
      <c r="O70">
        <v>1</v>
      </c>
      <c r="P70">
        <v>4</v>
      </c>
      <c r="Q70" t="s">
        <v>28</v>
      </c>
      <c r="R70" t="s">
        <v>22</v>
      </c>
    </row>
    <row r="71" spans="1:18" x14ac:dyDescent="0.25">
      <c r="A71" t="s">
        <v>98</v>
      </c>
      <c r="B71">
        <v>91.6</v>
      </c>
      <c r="C71">
        <v>96.4</v>
      </c>
      <c r="D71">
        <v>91.6</v>
      </c>
      <c r="E71">
        <v>94.3</v>
      </c>
      <c r="F71">
        <v>89.1</v>
      </c>
      <c r="G71">
        <v>91.7</v>
      </c>
      <c r="H71" t="s">
        <v>19</v>
      </c>
      <c r="I71">
        <v>5</v>
      </c>
      <c r="J71" t="s">
        <v>24</v>
      </c>
      <c r="K71">
        <v>90.7</v>
      </c>
      <c r="L71">
        <v>218</v>
      </c>
      <c r="M71">
        <v>80.900000000000006</v>
      </c>
      <c r="N71">
        <v>8.6999999999999993</v>
      </c>
      <c r="O71">
        <v>2.2000000000000002</v>
      </c>
      <c r="P71">
        <v>4</v>
      </c>
      <c r="Q71" t="s">
        <v>28</v>
      </c>
      <c r="R71" t="s">
        <v>33</v>
      </c>
    </row>
    <row r="72" spans="1:18" x14ac:dyDescent="0.25">
      <c r="A72" t="s">
        <v>99</v>
      </c>
      <c r="B72">
        <v>79.400000000000006</v>
      </c>
      <c r="C72">
        <v>79.2</v>
      </c>
      <c r="D72">
        <v>79.7</v>
      </c>
      <c r="E72">
        <v>82.5</v>
      </c>
      <c r="F72">
        <v>86.3</v>
      </c>
      <c r="G72">
        <v>84.4</v>
      </c>
      <c r="H72" t="s">
        <v>19</v>
      </c>
      <c r="I72">
        <v>4</v>
      </c>
      <c r="J72" t="s">
        <v>38</v>
      </c>
      <c r="K72">
        <v>91.7</v>
      </c>
      <c r="L72">
        <v>220</v>
      </c>
      <c r="M72">
        <v>87.6</v>
      </c>
      <c r="N72">
        <v>7</v>
      </c>
      <c r="O72">
        <v>3.5</v>
      </c>
      <c r="P72">
        <v>1</v>
      </c>
      <c r="Q72" t="s">
        <v>25</v>
      </c>
      <c r="R72" t="s">
        <v>26</v>
      </c>
    </row>
    <row r="73" spans="1:18" x14ac:dyDescent="0.25">
      <c r="A73" t="s">
        <v>100</v>
      </c>
      <c r="B73">
        <v>48.2</v>
      </c>
      <c r="C73">
        <v>59.8</v>
      </c>
      <c r="D73">
        <v>55.1</v>
      </c>
      <c r="E73">
        <v>50.9</v>
      </c>
      <c r="F73">
        <v>64.3</v>
      </c>
      <c r="G73">
        <v>57.6</v>
      </c>
      <c r="H73" t="s">
        <v>19</v>
      </c>
      <c r="I73">
        <v>4</v>
      </c>
      <c r="J73" t="s">
        <v>24</v>
      </c>
      <c r="K73">
        <v>60.4</v>
      </c>
      <c r="L73">
        <v>145</v>
      </c>
      <c r="M73">
        <v>86.2</v>
      </c>
      <c r="N73">
        <v>7.5</v>
      </c>
      <c r="O73">
        <v>2.9</v>
      </c>
      <c r="P73">
        <v>5</v>
      </c>
      <c r="Q73" t="s">
        <v>28</v>
      </c>
      <c r="R73" t="s">
        <v>22</v>
      </c>
    </row>
    <row r="74" spans="1:18" x14ac:dyDescent="0.25">
      <c r="A74" t="s">
        <v>101</v>
      </c>
      <c r="B74">
        <v>37.1</v>
      </c>
      <c r="C74">
        <v>34.299999999999997</v>
      </c>
      <c r="D74">
        <v>34.799999999999997</v>
      </c>
      <c r="E74">
        <v>40.299999999999997</v>
      </c>
      <c r="F74">
        <v>39.4</v>
      </c>
      <c r="G74">
        <v>39.85</v>
      </c>
      <c r="H74" t="s">
        <v>32</v>
      </c>
      <c r="I74">
        <v>1</v>
      </c>
      <c r="J74" t="s">
        <v>20</v>
      </c>
      <c r="K74">
        <v>58.5</v>
      </c>
      <c r="L74">
        <v>140</v>
      </c>
      <c r="M74">
        <v>52.7</v>
      </c>
      <c r="N74">
        <v>6.1</v>
      </c>
      <c r="O74">
        <v>3.2</v>
      </c>
      <c r="P74">
        <v>6</v>
      </c>
      <c r="Q74" t="s">
        <v>28</v>
      </c>
      <c r="R74" t="s">
        <v>33</v>
      </c>
    </row>
    <row r="75" spans="1:18" x14ac:dyDescent="0.25">
      <c r="A75" t="s">
        <v>102</v>
      </c>
      <c r="B75">
        <v>90.8</v>
      </c>
      <c r="C75">
        <v>89.4</v>
      </c>
      <c r="D75">
        <v>86</v>
      </c>
      <c r="E75">
        <v>84.9</v>
      </c>
      <c r="F75">
        <v>81</v>
      </c>
      <c r="G75">
        <v>82.95</v>
      </c>
      <c r="H75" t="s">
        <v>19</v>
      </c>
      <c r="I75">
        <v>2</v>
      </c>
      <c r="J75" t="s">
        <v>20</v>
      </c>
      <c r="K75">
        <v>83.6</v>
      </c>
      <c r="L75">
        <v>201</v>
      </c>
      <c r="M75">
        <v>59.2</v>
      </c>
      <c r="N75">
        <v>7</v>
      </c>
      <c r="O75">
        <v>5.9</v>
      </c>
      <c r="P75">
        <v>1</v>
      </c>
      <c r="Q75" t="s">
        <v>25</v>
      </c>
      <c r="R75" t="s">
        <v>26</v>
      </c>
    </row>
    <row r="76" spans="1:18" x14ac:dyDescent="0.25">
      <c r="A76" t="s">
        <v>103</v>
      </c>
      <c r="B76">
        <v>86</v>
      </c>
      <c r="C76">
        <v>83.9</v>
      </c>
      <c r="D76">
        <v>85</v>
      </c>
      <c r="E76">
        <v>78.900000000000006</v>
      </c>
      <c r="F76">
        <v>87.9</v>
      </c>
      <c r="G76">
        <v>83.4</v>
      </c>
      <c r="H76" t="s">
        <v>19</v>
      </c>
      <c r="I76">
        <v>2</v>
      </c>
      <c r="J76" t="s">
        <v>20</v>
      </c>
      <c r="K76">
        <v>83.4</v>
      </c>
      <c r="L76">
        <v>200</v>
      </c>
      <c r="M76">
        <v>76.599999999999994</v>
      </c>
      <c r="N76">
        <v>7.6</v>
      </c>
      <c r="O76">
        <v>2.8</v>
      </c>
      <c r="P76">
        <v>2</v>
      </c>
      <c r="Q76" t="s">
        <v>25</v>
      </c>
      <c r="R76" t="s">
        <v>33</v>
      </c>
    </row>
    <row r="77" spans="1:18" x14ac:dyDescent="0.25">
      <c r="A77" t="s">
        <v>104</v>
      </c>
      <c r="B77">
        <v>77.2</v>
      </c>
      <c r="C77">
        <v>76.7</v>
      </c>
      <c r="D77">
        <v>77.5</v>
      </c>
      <c r="E77">
        <v>80.099999999999994</v>
      </c>
      <c r="F77">
        <v>86.4</v>
      </c>
      <c r="G77">
        <v>83.25</v>
      </c>
      <c r="H77" t="s">
        <v>19</v>
      </c>
      <c r="I77">
        <v>4</v>
      </c>
      <c r="J77" t="s">
        <v>38</v>
      </c>
      <c r="K77">
        <v>77.2</v>
      </c>
      <c r="L77">
        <v>185</v>
      </c>
      <c r="M77">
        <v>86.1</v>
      </c>
      <c r="N77">
        <v>6.8</v>
      </c>
      <c r="O77">
        <v>3.3</v>
      </c>
      <c r="P77">
        <v>2</v>
      </c>
      <c r="Q77" t="s">
        <v>25</v>
      </c>
      <c r="R77" t="s">
        <v>33</v>
      </c>
    </row>
    <row r="78" spans="1:18" x14ac:dyDescent="0.25">
      <c r="A78" t="s">
        <v>105</v>
      </c>
      <c r="B78">
        <v>78.3</v>
      </c>
      <c r="C78">
        <v>89.4</v>
      </c>
      <c r="D78">
        <v>78.8</v>
      </c>
      <c r="E78">
        <v>82.4</v>
      </c>
      <c r="F78">
        <v>74.7</v>
      </c>
      <c r="G78">
        <v>78.55</v>
      </c>
      <c r="H78" t="s">
        <v>19</v>
      </c>
      <c r="I78">
        <v>2</v>
      </c>
      <c r="J78" t="s">
        <v>20</v>
      </c>
      <c r="K78">
        <v>67</v>
      </c>
      <c r="L78">
        <v>161</v>
      </c>
      <c r="M78">
        <v>73.099999999999994</v>
      </c>
      <c r="N78">
        <v>8.1</v>
      </c>
      <c r="O78">
        <v>1.7</v>
      </c>
      <c r="P78">
        <v>5</v>
      </c>
      <c r="Q78" t="s">
        <v>28</v>
      </c>
      <c r="R78" t="s">
        <v>26</v>
      </c>
    </row>
    <row r="79" spans="1:18" x14ac:dyDescent="0.25">
      <c r="A79" t="s">
        <v>106</v>
      </c>
      <c r="B79">
        <v>46.4</v>
      </c>
      <c r="C79">
        <v>42.8</v>
      </c>
      <c r="D79">
        <v>42.9</v>
      </c>
      <c r="E79">
        <v>44.1</v>
      </c>
      <c r="F79">
        <v>53.6</v>
      </c>
      <c r="G79">
        <v>48.85</v>
      </c>
      <c r="H79" t="s">
        <v>32</v>
      </c>
      <c r="I79">
        <v>2</v>
      </c>
      <c r="J79" t="s">
        <v>20</v>
      </c>
      <c r="K79">
        <v>68.8</v>
      </c>
      <c r="L79">
        <v>165</v>
      </c>
      <c r="M79">
        <v>72.900000000000006</v>
      </c>
      <c r="N79">
        <v>7.5</v>
      </c>
      <c r="O79">
        <v>1.2</v>
      </c>
      <c r="P79">
        <v>4</v>
      </c>
      <c r="Q79" t="s">
        <v>28</v>
      </c>
      <c r="R79" t="s">
        <v>22</v>
      </c>
    </row>
    <row r="80" spans="1:18" x14ac:dyDescent="0.25">
      <c r="A80" t="s">
        <v>107</v>
      </c>
      <c r="B80">
        <v>57</v>
      </c>
      <c r="C80">
        <v>61.2</v>
      </c>
      <c r="D80">
        <v>65.599999999999994</v>
      </c>
      <c r="E80">
        <v>59.7</v>
      </c>
      <c r="F80">
        <v>81.3</v>
      </c>
      <c r="G80">
        <v>70.5</v>
      </c>
      <c r="H80" t="s">
        <v>19</v>
      </c>
      <c r="I80">
        <v>3</v>
      </c>
      <c r="J80" t="s">
        <v>38</v>
      </c>
      <c r="K80">
        <v>73.7</v>
      </c>
      <c r="L80">
        <v>177</v>
      </c>
      <c r="M80">
        <v>87</v>
      </c>
      <c r="N80">
        <v>6.3</v>
      </c>
      <c r="O80">
        <v>4.9000000000000004</v>
      </c>
      <c r="P80">
        <v>2</v>
      </c>
      <c r="Q80" t="s">
        <v>25</v>
      </c>
      <c r="R80" t="s">
        <v>26</v>
      </c>
    </row>
    <row r="81" spans="1:18" x14ac:dyDescent="0.25">
      <c r="A81" t="s">
        <v>108</v>
      </c>
      <c r="B81">
        <v>49.5</v>
      </c>
      <c r="C81">
        <v>47.7</v>
      </c>
      <c r="D81">
        <v>47.3</v>
      </c>
      <c r="E81">
        <v>46.4</v>
      </c>
      <c r="F81">
        <v>70.900000000000006</v>
      </c>
      <c r="G81">
        <v>58.65</v>
      </c>
      <c r="H81" t="s">
        <v>19</v>
      </c>
      <c r="I81">
        <v>4</v>
      </c>
      <c r="J81" t="s">
        <v>24</v>
      </c>
      <c r="K81">
        <v>54.5</v>
      </c>
      <c r="L81">
        <v>131</v>
      </c>
      <c r="M81">
        <v>100.7</v>
      </c>
      <c r="N81">
        <v>7.1</v>
      </c>
      <c r="O81">
        <v>3.9</v>
      </c>
      <c r="P81">
        <v>1</v>
      </c>
      <c r="Q81" t="s">
        <v>25</v>
      </c>
      <c r="R81" t="s">
        <v>22</v>
      </c>
    </row>
    <row r="82" spans="1:18" x14ac:dyDescent="0.25">
      <c r="A82" t="s">
        <v>109</v>
      </c>
      <c r="B82">
        <v>88.5</v>
      </c>
      <c r="C82">
        <v>86.8</v>
      </c>
      <c r="D82">
        <v>84.8</v>
      </c>
      <c r="E82">
        <v>87.5</v>
      </c>
      <c r="F82">
        <v>78.7</v>
      </c>
      <c r="G82">
        <v>83.1</v>
      </c>
      <c r="H82" t="s">
        <v>19</v>
      </c>
      <c r="I82">
        <v>3</v>
      </c>
      <c r="J82" t="s">
        <v>20</v>
      </c>
      <c r="K82">
        <v>80.7</v>
      </c>
      <c r="L82">
        <v>194</v>
      </c>
      <c r="M82">
        <v>68.3</v>
      </c>
      <c r="N82">
        <v>6</v>
      </c>
      <c r="O82">
        <v>4.8</v>
      </c>
      <c r="P82">
        <v>3</v>
      </c>
      <c r="Q82" t="s">
        <v>25</v>
      </c>
      <c r="R82" t="s">
        <v>33</v>
      </c>
    </row>
    <row r="83" spans="1:18" x14ac:dyDescent="0.25">
      <c r="A83" t="s">
        <v>110</v>
      </c>
      <c r="B83">
        <v>66.7</v>
      </c>
      <c r="C83">
        <v>78.3</v>
      </c>
      <c r="D83">
        <v>76.7</v>
      </c>
      <c r="E83">
        <v>74.3</v>
      </c>
      <c r="F83">
        <v>70.599999999999994</v>
      </c>
      <c r="G83">
        <v>72.45</v>
      </c>
      <c r="H83" t="s">
        <v>19</v>
      </c>
      <c r="I83">
        <v>2</v>
      </c>
      <c r="J83" t="s">
        <v>20</v>
      </c>
      <c r="K83">
        <v>85</v>
      </c>
      <c r="L83">
        <v>204</v>
      </c>
      <c r="M83">
        <v>65.099999999999994</v>
      </c>
      <c r="N83">
        <v>8</v>
      </c>
      <c r="O83">
        <v>1.7</v>
      </c>
      <c r="P83">
        <v>4</v>
      </c>
      <c r="Q83" t="s">
        <v>28</v>
      </c>
      <c r="R83" t="s">
        <v>33</v>
      </c>
    </row>
    <row r="84" spans="1:18" x14ac:dyDescent="0.25">
      <c r="A84" t="s">
        <v>111</v>
      </c>
      <c r="B84">
        <v>65.900000000000006</v>
      </c>
      <c r="C84">
        <v>62.2</v>
      </c>
      <c r="D84">
        <v>52.7</v>
      </c>
      <c r="E84">
        <v>58.2</v>
      </c>
      <c r="F84">
        <v>62.2</v>
      </c>
      <c r="G84">
        <v>60.2</v>
      </c>
      <c r="H84" t="s">
        <v>19</v>
      </c>
      <c r="I84">
        <v>2</v>
      </c>
      <c r="J84" t="s">
        <v>20</v>
      </c>
      <c r="K84">
        <v>76.3</v>
      </c>
      <c r="L84">
        <v>183</v>
      </c>
      <c r="M84">
        <v>59.8</v>
      </c>
      <c r="N84">
        <v>6.3</v>
      </c>
      <c r="O84">
        <v>3.9</v>
      </c>
      <c r="P84">
        <v>3</v>
      </c>
      <c r="Q84" t="s">
        <v>25</v>
      </c>
      <c r="R84" t="s">
        <v>33</v>
      </c>
    </row>
    <row r="85" spans="1:18" x14ac:dyDescent="0.25">
      <c r="A85" t="s">
        <v>112</v>
      </c>
      <c r="B85">
        <v>52.5</v>
      </c>
      <c r="C85">
        <v>34.799999999999997</v>
      </c>
      <c r="D85">
        <v>46.9</v>
      </c>
      <c r="E85">
        <v>43.5</v>
      </c>
      <c r="F85">
        <v>60.7</v>
      </c>
      <c r="G85">
        <v>52.1</v>
      </c>
      <c r="H85" t="s">
        <v>19</v>
      </c>
      <c r="I85">
        <v>2</v>
      </c>
      <c r="J85" t="s">
        <v>20</v>
      </c>
      <c r="K85">
        <v>66.400000000000006</v>
      </c>
      <c r="L85">
        <v>159</v>
      </c>
      <c r="M85">
        <v>68.400000000000006</v>
      </c>
      <c r="N85">
        <v>6.8</v>
      </c>
      <c r="O85">
        <v>2.2999999999999998</v>
      </c>
      <c r="P85">
        <v>1</v>
      </c>
      <c r="Q85" t="s">
        <v>25</v>
      </c>
      <c r="R85" t="s">
        <v>22</v>
      </c>
    </row>
    <row r="86" spans="1:18" x14ac:dyDescent="0.25">
      <c r="A86" t="s">
        <v>113</v>
      </c>
      <c r="B86">
        <v>54</v>
      </c>
      <c r="C86">
        <v>63.6</v>
      </c>
      <c r="D86">
        <v>59.1</v>
      </c>
      <c r="E86">
        <v>57.1</v>
      </c>
      <c r="F86">
        <v>68.5</v>
      </c>
      <c r="G86">
        <v>62.8</v>
      </c>
      <c r="H86" t="s">
        <v>19</v>
      </c>
      <c r="I86">
        <v>2</v>
      </c>
      <c r="J86" t="s">
        <v>20</v>
      </c>
      <c r="K86">
        <v>67.7</v>
      </c>
      <c r="L86">
        <v>162</v>
      </c>
      <c r="M86">
        <v>70.8</v>
      </c>
      <c r="N86">
        <v>6.9</v>
      </c>
      <c r="O86">
        <v>2.1</v>
      </c>
      <c r="P86">
        <v>1</v>
      </c>
      <c r="Q86" t="s">
        <v>25</v>
      </c>
      <c r="R86" t="s">
        <v>26</v>
      </c>
    </row>
    <row r="87" spans="1:18" x14ac:dyDescent="0.25">
      <c r="A87" t="s">
        <v>114</v>
      </c>
      <c r="B87">
        <v>55.9</v>
      </c>
      <c r="C87">
        <v>49.6</v>
      </c>
      <c r="D87">
        <v>56.3</v>
      </c>
      <c r="E87">
        <v>57.9</v>
      </c>
      <c r="F87">
        <v>67.5</v>
      </c>
      <c r="G87">
        <v>62.7</v>
      </c>
      <c r="H87" t="s">
        <v>19</v>
      </c>
      <c r="I87">
        <v>4</v>
      </c>
      <c r="J87" t="s">
        <v>38</v>
      </c>
      <c r="K87">
        <v>69.400000000000006</v>
      </c>
      <c r="L87">
        <v>167</v>
      </c>
      <c r="M87">
        <v>88.8</v>
      </c>
      <c r="N87">
        <v>8.1</v>
      </c>
      <c r="O87">
        <v>1.1000000000000001</v>
      </c>
      <c r="P87">
        <v>7</v>
      </c>
      <c r="Q87" t="s">
        <v>21</v>
      </c>
      <c r="R87" t="s">
        <v>22</v>
      </c>
    </row>
    <row r="88" spans="1:18" x14ac:dyDescent="0.25">
      <c r="A88" t="s">
        <v>115</v>
      </c>
      <c r="B88">
        <v>81.599999999999994</v>
      </c>
      <c r="C88">
        <v>85.3</v>
      </c>
      <c r="D88">
        <v>75.900000000000006</v>
      </c>
      <c r="E88">
        <v>80.099999999999994</v>
      </c>
      <c r="F88">
        <v>77.599999999999994</v>
      </c>
      <c r="G88">
        <v>78.849999999999994</v>
      </c>
      <c r="H88" t="s">
        <v>19</v>
      </c>
      <c r="I88">
        <v>3</v>
      </c>
      <c r="J88" t="s">
        <v>38</v>
      </c>
      <c r="K88">
        <v>79.400000000000006</v>
      </c>
      <c r="L88">
        <v>191</v>
      </c>
      <c r="M88">
        <v>84.3</v>
      </c>
      <c r="N88">
        <v>7.2</v>
      </c>
      <c r="O88">
        <v>1.7</v>
      </c>
      <c r="P88">
        <v>5</v>
      </c>
      <c r="Q88" t="s">
        <v>28</v>
      </c>
      <c r="R88" t="s">
        <v>33</v>
      </c>
    </row>
    <row r="89" spans="1:18" x14ac:dyDescent="0.25">
      <c r="A89" t="s">
        <v>116</v>
      </c>
      <c r="B89">
        <v>76.7</v>
      </c>
      <c r="C89">
        <v>80.7</v>
      </c>
      <c r="D89">
        <v>70.599999999999994</v>
      </c>
      <c r="E89">
        <v>75.099999999999994</v>
      </c>
      <c r="F89">
        <v>74.2</v>
      </c>
      <c r="G89">
        <v>74.650000000000006</v>
      </c>
      <c r="H89" t="s">
        <v>19</v>
      </c>
      <c r="I89">
        <v>4</v>
      </c>
      <c r="J89" t="s">
        <v>38</v>
      </c>
      <c r="K89">
        <v>83.2</v>
      </c>
      <c r="L89">
        <v>200</v>
      </c>
      <c r="M89">
        <v>91</v>
      </c>
      <c r="N89">
        <v>6.6</v>
      </c>
      <c r="O89">
        <v>2.5</v>
      </c>
      <c r="P89">
        <v>3</v>
      </c>
      <c r="Q89" t="s">
        <v>25</v>
      </c>
      <c r="R89" t="s">
        <v>33</v>
      </c>
    </row>
    <row r="90" spans="1:18" x14ac:dyDescent="0.25">
      <c r="A90" t="s">
        <v>117</v>
      </c>
      <c r="B90">
        <v>92.1</v>
      </c>
      <c r="C90">
        <v>83.3</v>
      </c>
      <c r="D90">
        <v>91.5</v>
      </c>
      <c r="E90">
        <v>88.8</v>
      </c>
      <c r="F90">
        <v>82.6</v>
      </c>
      <c r="G90">
        <v>85.7</v>
      </c>
      <c r="H90" t="s">
        <v>19</v>
      </c>
      <c r="I90">
        <v>3</v>
      </c>
      <c r="J90" t="s">
        <v>20</v>
      </c>
      <c r="K90">
        <v>80</v>
      </c>
      <c r="L90">
        <v>192</v>
      </c>
      <c r="M90">
        <v>78</v>
      </c>
      <c r="N90">
        <v>7.2</v>
      </c>
      <c r="O90">
        <v>1.6</v>
      </c>
      <c r="P90">
        <v>5</v>
      </c>
      <c r="Q90" t="s">
        <v>28</v>
      </c>
      <c r="R90" t="s">
        <v>26</v>
      </c>
    </row>
    <row r="91" spans="1:18" x14ac:dyDescent="0.25">
      <c r="A91" t="s">
        <v>118</v>
      </c>
      <c r="B91">
        <v>76</v>
      </c>
      <c r="C91">
        <v>63.9</v>
      </c>
      <c r="D91">
        <v>72.099999999999994</v>
      </c>
      <c r="E91">
        <v>66</v>
      </c>
      <c r="F91">
        <v>72.3</v>
      </c>
      <c r="G91">
        <v>69.150000000000006</v>
      </c>
      <c r="H91" t="s">
        <v>19</v>
      </c>
      <c r="I91">
        <v>4</v>
      </c>
      <c r="J91" t="s">
        <v>24</v>
      </c>
      <c r="K91">
        <v>69</v>
      </c>
      <c r="L91">
        <v>166</v>
      </c>
      <c r="M91">
        <v>103.7</v>
      </c>
      <c r="N91">
        <v>6.2</v>
      </c>
      <c r="O91">
        <v>5.9</v>
      </c>
      <c r="P91">
        <v>4</v>
      </c>
      <c r="Q91" t="s">
        <v>28</v>
      </c>
      <c r="R91" t="s">
        <v>22</v>
      </c>
    </row>
    <row r="92" spans="1:18" x14ac:dyDescent="0.25">
      <c r="A92" t="s">
        <v>119</v>
      </c>
      <c r="B92">
        <v>45.7</v>
      </c>
      <c r="C92">
        <v>41</v>
      </c>
      <c r="D92">
        <v>43.4</v>
      </c>
      <c r="E92">
        <v>46.6</v>
      </c>
      <c r="F92">
        <v>39.799999999999997</v>
      </c>
      <c r="G92">
        <v>43.2</v>
      </c>
      <c r="H92" t="s">
        <v>32</v>
      </c>
      <c r="I92">
        <v>2</v>
      </c>
      <c r="J92" t="s">
        <v>20</v>
      </c>
      <c r="K92">
        <v>68.3</v>
      </c>
      <c r="L92">
        <v>164</v>
      </c>
      <c r="M92">
        <v>66.599999999999994</v>
      </c>
      <c r="N92">
        <v>6.6</v>
      </c>
      <c r="O92">
        <v>2.5</v>
      </c>
      <c r="P92">
        <v>4</v>
      </c>
      <c r="Q92" t="s">
        <v>28</v>
      </c>
      <c r="R92" t="s">
        <v>33</v>
      </c>
    </row>
    <row r="93" spans="1:18" x14ac:dyDescent="0.25">
      <c r="A93" t="s">
        <v>120</v>
      </c>
      <c r="B93">
        <v>75.2</v>
      </c>
      <c r="C93">
        <v>78.2</v>
      </c>
      <c r="D93">
        <v>81.5</v>
      </c>
      <c r="E93">
        <v>79.2</v>
      </c>
      <c r="F93">
        <v>78.5</v>
      </c>
      <c r="G93">
        <v>78.849999999999994</v>
      </c>
      <c r="H93" t="s">
        <v>19</v>
      </c>
      <c r="I93">
        <v>3</v>
      </c>
      <c r="J93" t="s">
        <v>20</v>
      </c>
      <c r="K93">
        <v>79.400000000000006</v>
      </c>
      <c r="L93">
        <v>191</v>
      </c>
      <c r="M93">
        <v>74.099999999999994</v>
      </c>
      <c r="N93">
        <v>6.9</v>
      </c>
      <c r="O93">
        <v>1.7</v>
      </c>
      <c r="P93">
        <v>2</v>
      </c>
      <c r="Q93" t="s">
        <v>25</v>
      </c>
      <c r="R93" t="s">
        <v>22</v>
      </c>
    </row>
    <row r="94" spans="1:18" x14ac:dyDescent="0.25">
      <c r="A94" t="s">
        <v>121</v>
      </c>
      <c r="B94">
        <v>74.900000000000006</v>
      </c>
      <c r="C94">
        <v>80.3</v>
      </c>
      <c r="D94">
        <v>71.400000000000006</v>
      </c>
      <c r="E94">
        <v>81.8</v>
      </c>
      <c r="F94">
        <v>90.2</v>
      </c>
      <c r="G94">
        <v>86</v>
      </c>
      <c r="H94" t="s">
        <v>19</v>
      </c>
      <c r="I94">
        <v>4</v>
      </c>
      <c r="J94" t="s">
        <v>24</v>
      </c>
      <c r="K94">
        <v>87.8</v>
      </c>
      <c r="L94">
        <v>211</v>
      </c>
      <c r="M94">
        <v>93.3</v>
      </c>
      <c r="N94">
        <v>8.5</v>
      </c>
      <c r="O94">
        <v>2</v>
      </c>
      <c r="P94">
        <v>1</v>
      </c>
      <c r="Q94" t="s">
        <v>25</v>
      </c>
      <c r="R94" t="s">
        <v>22</v>
      </c>
    </row>
    <row r="95" spans="1:18" x14ac:dyDescent="0.25">
      <c r="A95" t="s">
        <v>122</v>
      </c>
      <c r="B95">
        <v>67.2</v>
      </c>
      <c r="C95">
        <v>74.8</v>
      </c>
      <c r="D95">
        <v>67.900000000000006</v>
      </c>
      <c r="E95">
        <v>70.900000000000006</v>
      </c>
      <c r="F95">
        <v>79.8</v>
      </c>
      <c r="G95">
        <v>75.349999999999994</v>
      </c>
      <c r="H95" t="s">
        <v>19</v>
      </c>
      <c r="I95">
        <v>2</v>
      </c>
      <c r="J95" t="s">
        <v>20</v>
      </c>
      <c r="K95">
        <v>72.099999999999994</v>
      </c>
      <c r="L95">
        <v>173</v>
      </c>
      <c r="M95">
        <v>63.2</v>
      </c>
      <c r="N95">
        <v>6.4</v>
      </c>
      <c r="O95">
        <v>3.9</v>
      </c>
      <c r="P95">
        <v>1</v>
      </c>
      <c r="Q95" t="s">
        <v>25</v>
      </c>
      <c r="R95" t="s">
        <v>26</v>
      </c>
    </row>
    <row r="96" spans="1:18" x14ac:dyDescent="0.25">
      <c r="A96" t="s">
        <v>123</v>
      </c>
      <c r="B96">
        <v>82.2</v>
      </c>
      <c r="C96">
        <v>89</v>
      </c>
      <c r="D96">
        <v>82.2</v>
      </c>
      <c r="E96">
        <v>82.4</v>
      </c>
      <c r="F96">
        <v>70.5</v>
      </c>
      <c r="G96">
        <v>76.45</v>
      </c>
      <c r="H96" t="s">
        <v>19</v>
      </c>
      <c r="I96">
        <v>1</v>
      </c>
      <c r="J96" t="s">
        <v>20</v>
      </c>
      <c r="K96">
        <v>80.900000000000006</v>
      </c>
      <c r="L96">
        <v>194</v>
      </c>
      <c r="M96">
        <v>71.8</v>
      </c>
      <c r="N96">
        <v>7.4</v>
      </c>
      <c r="O96">
        <v>1.3</v>
      </c>
      <c r="P96">
        <v>4</v>
      </c>
      <c r="Q96" t="s">
        <v>28</v>
      </c>
      <c r="R96" t="s">
        <v>26</v>
      </c>
    </row>
    <row r="97" spans="1:18" x14ac:dyDescent="0.25">
      <c r="A97" t="s">
        <v>124</v>
      </c>
      <c r="B97">
        <v>76.099999999999994</v>
      </c>
      <c r="C97">
        <v>74.099999999999994</v>
      </c>
      <c r="D97">
        <v>62.6</v>
      </c>
      <c r="E97">
        <v>67.2</v>
      </c>
      <c r="F97">
        <v>80.8</v>
      </c>
      <c r="G97">
        <v>74</v>
      </c>
      <c r="H97" t="s">
        <v>19</v>
      </c>
      <c r="I97">
        <v>5</v>
      </c>
      <c r="J97" t="s">
        <v>24</v>
      </c>
      <c r="K97">
        <v>69</v>
      </c>
      <c r="L97">
        <v>166</v>
      </c>
      <c r="M97">
        <v>93.9</v>
      </c>
      <c r="N97">
        <v>6.2</v>
      </c>
      <c r="O97">
        <v>5.3</v>
      </c>
      <c r="P97">
        <v>3</v>
      </c>
      <c r="Q97" t="s">
        <v>25</v>
      </c>
      <c r="R97" t="s">
        <v>33</v>
      </c>
    </row>
    <row r="98" spans="1:18" x14ac:dyDescent="0.25">
      <c r="A98" t="s">
        <v>125</v>
      </c>
      <c r="B98">
        <v>66.2</v>
      </c>
      <c r="C98">
        <v>65.900000000000006</v>
      </c>
      <c r="D98">
        <v>64.099999999999994</v>
      </c>
      <c r="E98">
        <v>68.8</v>
      </c>
      <c r="F98">
        <v>83.7</v>
      </c>
      <c r="G98">
        <v>76.25</v>
      </c>
      <c r="H98" t="s">
        <v>19</v>
      </c>
      <c r="I98">
        <v>2</v>
      </c>
      <c r="J98" t="s">
        <v>20</v>
      </c>
      <c r="K98">
        <v>74.400000000000006</v>
      </c>
      <c r="L98">
        <v>179</v>
      </c>
      <c r="M98">
        <v>70.900000000000006</v>
      </c>
      <c r="N98">
        <v>6</v>
      </c>
      <c r="O98">
        <v>5.8</v>
      </c>
      <c r="P98">
        <v>1</v>
      </c>
      <c r="Q98" t="s">
        <v>25</v>
      </c>
      <c r="R98" t="s">
        <v>26</v>
      </c>
    </row>
    <row r="99" spans="1:18" x14ac:dyDescent="0.25">
      <c r="A99" t="s">
        <v>126</v>
      </c>
      <c r="B99">
        <v>64.599999999999994</v>
      </c>
      <c r="C99">
        <v>62.5</v>
      </c>
      <c r="D99">
        <v>60.2</v>
      </c>
      <c r="E99">
        <v>63.5</v>
      </c>
      <c r="F99">
        <v>63.4</v>
      </c>
      <c r="G99">
        <v>63.45</v>
      </c>
      <c r="H99" t="s">
        <v>19</v>
      </c>
      <c r="I99">
        <v>4</v>
      </c>
      <c r="J99" t="s">
        <v>38</v>
      </c>
      <c r="K99">
        <v>64.400000000000006</v>
      </c>
      <c r="L99">
        <v>155</v>
      </c>
      <c r="M99">
        <v>85</v>
      </c>
      <c r="N99">
        <v>7.6</v>
      </c>
      <c r="O99">
        <v>2.2000000000000002</v>
      </c>
      <c r="P99">
        <v>6</v>
      </c>
      <c r="Q99" t="s">
        <v>28</v>
      </c>
      <c r="R99" t="s">
        <v>22</v>
      </c>
    </row>
    <row r="100" spans="1:18" x14ac:dyDescent="0.25">
      <c r="A100" t="s">
        <v>127</v>
      </c>
      <c r="B100">
        <v>41.3</v>
      </c>
      <c r="C100">
        <v>33</v>
      </c>
      <c r="D100">
        <v>42.9</v>
      </c>
      <c r="E100">
        <v>41.4</v>
      </c>
      <c r="F100">
        <v>46.5</v>
      </c>
      <c r="G100">
        <v>43.95</v>
      </c>
      <c r="H100" t="s">
        <v>32</v>
      </c>
      <c r="I100">
        <v>1</v>
      </c>
      <c r="J100" t="s">
        <v>20</v>
      </c>
      <c r="K100">
        <v>58.3</v>
      </c>
      <c r="L100">
        <v>140</v>
      </c>
      <c r="M100">
        <v>64.599999999999994</v>
      </c>
      <c r="N100">
        <v>7.5</v>
      </c>
      <c r="O100">
        <v>3.3</v>
      </c>
      <c r="P100">
        <v>1</v>
      </c>
      <c r="Q100" t="s">
        <v>25</v>
      </c>
      <c r="R100" t="s">
        <v>26</v>
      </c>
    </row>
    <row r="101" spans="1:18" x14ac:dyDescent="0.25">
      <c r="A101" t="s">
        <v>128</v>
      </c>
      <c r="B101">
        <v>51.9</v>
      </c>
      <c r="C101">
        <v>41.9</v>
      </c>
      <c r="D101">
        <v>45</v>
      </c>
      <c r="E101">
        <v>45.9</v>
      </c>
      <c r="F101">
        <v>63.1</v>
      </c>
      <c r="G101">
        <v>54.5</v>
      </c>
      <c r="H101" t="s">
        <v>19</v>
      </c>
      <c r="I101">
        <v>4</v>
      </c>
      <c r="J101" t="s">
        <v>38</v>
      </c>
      <c r="K101">
        <v>55.8</v>
      </c>
      <c r="L101">
        <v>134</v>
      </c>
      <c r="M101">
        <v>86.8</v>
      </c>
      <c r="N101">
        <v>7.5</v>
      </c>
      <c r="O101">
        <v>1.1000000000000001</v>
      </c>
      <c r="P101">
        <v>3</v>
      </c>
      <c r="Q101" t="s">
        <v>25</v>
      </c>
      <c r="R101" t="s">
        <v>22</v>
      </c>
    </row>
    <row r="102" spans="1:18" x14ac:dyDescent="0.25">
      <c r="A102" t="s">
        <v>129</v>
      </c>
      <c r="B102">
        <v>54.4</v>
      </c>
      <c r="C102">
        <v>46.6</v>
      </c>
      <c r="D102">
        <v>30.5</v>
      </c>
      <c r="E102">
        <v>41.7</v>
      </c>
      <c r="F102">
        <v>51.3</v>
      </c>
      <c r="G102">
        <v>46.5</v>
      </c>
      <c r="H102" t="s">
        <v>32</v>
      </c>
      <c r="I102">
        <v>2</v>
      </c>
      <c r="J102" t="s">
        <v>20</v>
      </c>
      <c r="K102">
        <v>64.3</v>
      </c>
      <c r="L102">
        <v>154</v>
      </c>
      <c r="M102">
        <v>69.400000000000006</v>
      </c>
      <c r="N102">
        <v>6.1</v>
      </c>
      <c r="O102">
        <v>4.2</v>
      </c>
      <c r="P102">
        <v>4</v>
      </c>
      <c r="Q102" t="s">
        <v>28</v>
      </c>
      <c r="R102" t="s">
        <v>33</v>
      </c>
    </row>
    <row r="103" spans="1:18" x14ac:dyDescent="0.25">
      <c r="A103" t="s">
        <v>130</v>
      </c>
      <c r="B103">
        <v>72.3</v>
      </c>
      <c r="C103">
        <v>83.1</v>
      </c>
      <c r="D103">
        <v>64.400000000000006</v>
      </c>
      <c r="E103">
        <v>75</v>
      </c>
      <c r="F103">
        <v>76.8</v>
      </c>
      <c r="G103">
        <v>75.900000000000006</v>
      </c>
      <c r="H103" t="s">
        <v>19</v>
      </c>
      <c r="I103">
        <v>1</v>
      </c>
      <c r="J103" t="s">
        <v>20</v>
      </c>
      <c r="K103">
        <v>81.099999999999994</v>
      </c>
      <c r="L103">
        <v>195</v>
      </c>
      <c r="M103">
        <v>70.599999999999994</v>
      </c>
      <c r="N103">
        <v>7.7</v>
      </c>
      <c r="O103">
        <v>3.1</v>
      </c>
      <c r="P103">
        <v>4</v>
      </c>
      <c r="Q103" t="s">
        <v>28</v>
      </c>
      <c r="R103" t="s">
        <v>22</v>
      </c>
    </row>
    <row r="104" spans="1:18" x14ac:dyDescent="0.25">
      <c r="A104" t="s">
        <v>131</v>
      </c>
      <c r="B104">
        <v>54.8</v>
      </c>
      <c r="C104">
        <v>51.1</v>
      </c>
      <c r="D104">
        <v>54.3</v>
      </c>
      <c r="E104">
        <v>57.3</v>
      </c>
      <c r="F104">
        <v>56.3</v>
      </c>
      <c r="G104">
        <v>56.8</v>
      </c>
      <c r="H104" t="s">
        <v>19</v>
      </c>
      <c r="I104">
        <v>3</v>
      </c>
      <c r="J104" t="s">
        <v>38</v>
      </c>
      <c r="K104">
        <v>60</v>
      </c>
      <c r="L104">
        <v>144</v>
      </c>
      <c r="M104">
        <v>80.099999999999994</v>
      </c>
      <c r="N104">
        <v>7.2</v>
      </c>
      <c r="O104">
        <v>2.4</v>
      </c>
      <c r="P104">
        <v>5</v>
      </c>
      <c r="Q104" t="s">
        <v>28</v>
      </c>
      <c r="R104" t="s">
        <v>26</v>
      </c>
    </row>
    <row r="105" spans="1:18" x14ac:dyDescent="0.25">
      <c r="A105" t="s">
        <v>132</v>
      </c>
      <c r="B105">
        <v>73.2</v>
      </c>
      <c r="C105">
        <v>65</v>
      </c>
      <c r="D105">
        <v>70.3</v>
      </c>
      <c r="E105">
        <v>68</v>
      </c>
      <c r="F105">
        <v>77.8</v>
      </c>
      <c r="G105">
        <v>72.900000000000006</v>
      </c>
      <c r="H105" t="s">
        <v>19</v>
      </c>
      <c r="I105">
        <v>2</v>
      </c>
      <c r="J105" t="s">
        <v>20</v>
      </c>
      <c r="K105">
        <v>80.7</v>
      </c>
      <c r="L105">
        <v>194</v>
      </c>
      <c r="M105">
        <v>69.8</v>
      </c>
      <c r="N105">
        <v>8.3000000000000007</v>
      </c>
      <c r="O105">
        <v>2</v>
      </c>
      <c r="P105">
        <v>1</v>
      </c>
      <c r="Q105" t="s">
        <v>25</v>
      </c>
      <c r="R105" t="s">
        <v>26</v>
      </c>
    </row>
    <row r="106" spans="1:18" x14ac:dyDescent="0.25">
      <c r="A106" t="s">
        <v>133</v>
      </c>
      <c r="B106">
        <v>93.3</v>
      </c>
      <c r="C106">
        <v>89.8</v>
      </c>
      <c r="D106">
        <v>76.2</v>
      </c>
      <c r="E106">
        <v>89.9</v>
      </c>
      <c r="F106">
        <v>87.1</v>
      </c>
      <c r="G106">
        <v>88.5</v>
      </c>
      <c r="H106" t="s">
        <v>19</v>
      </c>
      <c r="I106">
        <v>3</v>
      </c>
      <c r="J106" t="s">
        <v>20</v>
      </c>
      <c r="K106">
        <v>97.4</v>
      </c>
      <c r="L106">
        <v>234</v>
      </c>
      <c r="M106">
        <v>78.7</v>
      </c>
      <c r="N106">
        <v>5.6</v>
      </c>
      <c r="O106">
        <v>4.3</v>
      </c>
      <c r="P106">
        <v>5</v>
      </c>
      <c r="Q106" t="s">
        <v>28</v>
      </c>
      <c r="R106" t="s">
        <v>33</v>
      </c>
    </row>
    <row r="107" spans="1:18" x14ac:dyDescent="0.25">
      <c r="A107" t="s">
        <v>134</v>
      </c>
      <c r="B107">
        <v>62.9</v>
      </c>
      <c r="C107">
        <v>55.1</v>
      </c>
      <c r="D107">
        <v>51.2</v>
      </c>
      <c r="E107">
        <v>53.7</v>
      </c>
      <c r="F107">
        <v>53.8</v>
      </c>
      <c r="G107">
        <v>53.75</v>
      </c>
      <c r="H107" t="s">
        <v>19</v>
      </c>
      <c r="I107">
        <v>1</v>
      </c>
      <c r="J107" t="s">
        <v>20</v>
      </c>
      <c r="K107">
        <v>67.099999999999994</v>
      </c>
      <c r="L107">
        <v>161</v>
      </c>
      <c r="M107">
        <v>55.1</v>
      </c>
      <c r="N107">
        <v>7.2</v>
      </c>
      <c r="O107">
        <v>3.1</v>
      </c>
      <c r="P107">
        <v>3</v>
      </c>
      <c r="Q107" t="s">
        <v>25</v>
      </c>
      <c r="R107" t="s">
        <v>26</v>
      </c>
    </row>
    <row r="108" spans="1:18" x14ac:dyDescent="0.25">
      <c r="A108" t="s">
        <v>135</v>
      </c>
      <c r="B108">
        <v>65.5</v>
      </c>
      <c r="C108">
        <v>58.5</v>
      </c>
      <c r="D108">
        <v>59.9</v>
      </c>
      <c r="E108">
        <v>62.6</v>
      </c>
      <c r="F108">
        <v>57.1</v>
      </c>
      <c r="G108">
        <v>59.85</v>
      </c>
      <c r="H108" t="s">
        <v>19</v>
      </c>
      <c r="I108">
        <v>2</v>
      </c>
      <c r="J108" t="s">
        <v>20</v>
      </c>
      <c r="K108">
        <v>68.099999999999994</v>
      </c>
      <c r="L108">
        <v>163</v>
      </c>
      <c r="M108">
        <v>68.3</v>
      </c>
      <c r="N108">
        <v>8.4</v>
      </c>
      <c r="O108">
        <v>1.9</v>
      </c>
      <c r="P108">
        <v>5</v>
      </c>
      <c r="Q108" t="s">
        <v>28</v>
      </c>
      <c r="R108" t="s">
        <v>33</v>
      </c>
    </row>
    <row r="109" spans="1:18" x14ac:dyDescent="0.25">
      <c r="A109" t="s">
        <v>136</v>
      </c>
      <c r="B109">
        <v>79.8</v>
      </c>
      <c r="C109">
        <v>83.7</v>
      </c>
      <c r="D109">
        <v>88.5</v>
      </c>
      <c r="E109">
        <v>81.599999999999994</v>
      </c>
      <c r="F109">
        <v>85.3</v>
      </c>
      <c r="G109">
        <v>83.45</v>
      </c>
      <c r="H109" t="s">
        <v>19</v>
      </c>
      <c r="I109">
        <v>2</v>
      </c>
      <c r="J109" t="s">
        <v>20</v>
      </c>
      <c r="K109">
        <v>94.9</v>
      </c>
      <c r="L109">
        <v>228</v>
      </c>
      <c r="M109">
        <v>66.599999999999994</v>
      </c>
      <c r="N109">
        <v>6.5</v>
      </c>
      <c r="O109">
        <v>4.4000000000000004</v>
      </c>
      <c r="P109">
        <v>1</v>
      </c>
      <c r="Q109" t="s">
        <v>25</v>
      </c>
      <c r="R109" t="s">
        <v>33</v>
      </c>
    </row>
    <row r="110" spans="1:18" x14ac:dyDescent="0.25">
      <c r="A110" t="s">
        <v>137</v>
      </c>
      <c r="B110">
        <v>55.5</v>
      </c>
      <c r="C110">
        <v>50.2</v>
      </c>
      <c r="D110">
        <v>50.7</v>
      </c>
      <c r="E110">
        <v>52.6</v>
      </c>
      <c r="F110">
        <v>46.7</v>
      </c>
      <c r="G110">
        <v>49.65</v>
      </c>
      <c r="H110" t="s">
        <v>32</v>
      </c>
      <c r="I110">
        <v>1</v>
      </c>
      <c r="J110" t="s">
        <v>20</v>
      </c>
      <c r="K110">
        <v>59.7</v>
      </c>
      <c r="L110">
        <v>143</v>
      </c>
      <c r="M110">
        <v>67.7</v>
      </c>
      <c r="N110">
        <v>6.7</v>
      </c>
      <c r="O110">
        <v>3.8</v>
      </c>
      <c r="P110">
        <v>4</v>
      </c>
      <c r="Q110" t="s">
        <v>28</v>
      </c>
      <c r="R110" t="s">
        <v>26</v>
      </c>
    </row>
    <row r="111" spans="1:18" x14ac:dyDescent="0.25">
      <c r="A111" t="s">
        <v>138</v>
      </c>
      <c r="B111">
        <v>49.8</v>
      </c>
      <c r="C111">
        <v>44.2</v>
      </c>
      <c r="D111">
        <v>46.1</v>
      </c>
      <c r="E111">
        <v>44.2</v>
      </c>
      <c r="F111">
        <v>57.2</v>
      </c>
      <c r="G111">
        <v>50.7</v>
      </c>
      <c r="H111" t="s">
        <v>19</v>
      </c>
      <c r="I111">
        <v>5</v>
      </c>
      <c r="J111" t="s">
        <v>24</v>
      </c>
      <c r="K111">
        <v>62.2</v>
      </c>
      <c r="L111">
        <v>149</v>
      </c>
      <c r="M111">
        <v>91.6</v>
      </c>
      <c r="N111">
        <v>6.6</v>
      </c>
      <c r="O111">
        <v>5.3</v>
      </c>
      <c r="P111">
        <v>4</v>
      </c>
      <c r="Q111" t="s">
        <v>28</v>
      </c>
      <c r="R111" t="s">
        <v>22</v>
      </c>
    </row>
    <row r="112" spans="1:18" x14ac:dyDescent="0.25">
      <c r="A112" t="s">
        <v>139</v>
      </c>
      <c r="B112">
        <v>60</v>
      </c>
      <c r="C112">
        <v>58.7</v>
      </c>
      <c r="D112">
        <v>56.6</v>
      </c>
      <c r="E112">
        <v>55.9</v>
      </c>
      <c r="F112">
        <v>68.8</v>
      </c>
      <c r="G112">
        <v>62.35</v>
      </c>
      <c r="H112" t="s">
        <v>19</v>
      </c>
      <c r="I112">
        <v>1</v>
      </c>
      <c r="J112" t="s">
        <v>140</v>
      </c>
      <c r="K112">
        <v>68.900000000000006</v>
      </c>
      <c r="L112">
        <v>165</v>
      </c>
      <c r="M112">
        <v>63.7</v>
      </c>
      <c r="N112">
        <v>7.2</v>
      </c>
      <c r="O112">
        <v>1.6</v>
      </c>
      <c r="P112">
        <v>1</v>
      </c>
      <c r="Q112" t="s">
        <v>25</v>
      </c>
      <c r="R112" t="s">
        <v>33</v>
      </c>
    </row>
    <row r="113" spans="1:18" x14ac:dyDescent="0.25">
      <c r="A113" t="s">
        <v>141</v>
      </c>
      <c r="B113">
        <v>51.4</v>
      </c>
      <c r="C113">
        <v>48.9</v>
      </c>
      <c r="D113">
        <v>38.200000000000003</v>
      </c>
      <c r="E113">
        <v>48.9</v>
      </c>
      <c r="F113">
        <v>61.4</v>
      </c>
      <c r="G113">
        <v>55.15</v>
      </c>
      <c r="H113" t="s">
        <v>19</v>
      </c>
      <c r="I113">
        <v>3</v>
      </c>
      <c r="J113" t="s">
        <v>20</v>
      </c>
      <c r="K113">
        <v>71.2</v>
      </c>
      <c r="L113">
        <v>171</v>
      </c>
      <c r="M113">
        <v>84.9</v>
      </c>
      <c r="N113">
        <v>6.4</v>
      </c>
      <c r="O113">
        <v>4.9000000000000004</v>
      </c>
      <c r="P113">
        <v>4</v>
      </c>
      <c r="Q113" t="s">
        <v>28</v>
      </c>
      <c r="R113" t="s">
        <v>22</v>
      </c>
    </row>
    <row r="114" spans="1:18" x14ac:dyDescent="0.25">
      <c r="A114" t="s">
        <v>142</v>
      </c>
      <c r="B114">
        <v>96.5</v>
      </c>
      <c r="C114">
        <v>89</v>
      </c>
      <c r="D114">
        <v>95</v>
      </c>
      <c r="E114">
        <v>91.1</v>
      </c>
      <c r="F114">
        <v>78.3</v>
      </c>
      <c r="G114">
        <v>84.7</v>
      </c>
      <c r="H114" t="s">
        <v>19</v>
      </c>
      <c r="I114">
        <v>2</v>
      </c>
      <c r="J114" t="s">
        <v>20</v>
      </c>
      <c r="K114">
        <v>87.4</v>
      </c>
      <c r="L114">
        <v>210</v>
      </c>
      <c r="M114">
        <v>69.2</v>
      </c>
      <c r="N114">
        <v>6.5</v>
      </c>
      <c r="O114">
        <v>4.4000000000000004</v>
      </c>
      <c r="P114">
        <v>5</v>
      </c>
      <c r="Q114" t="s">
        <v>28</v>
      </c>
      <c r="R114" t="s">
        <v>26</v>
      </c>
    </row>
    <row r="115" spans="1:18" x14ac:dyDescent="0.25">
      <c r="A115" t="s">
        <v>143</v>
      </c>
      <c r="B115">
        <v>90.3</v>
      </c>
      <c r="C115">
        <v>83.9</v>
      </c>
      <c r="D115">
        <v>85.5</v>
      </c>
      <c r="E115">
        <v>84.4</v>
      </c>
      <c r="F115">
        <v>86.9</v>
      </c>
      <c r="G115">
        <v>85.65</v>
      </c>
      <c r="H115" t="s">
        <v>19</v>
      </c>
      <c r="I115">
        <v>2</v>
      </c>
      <c r="J115" t="s">
        <v>20</v>
      </c>
      <c r="K115">
        <v>79.7</v>
      </c>
      <c r="L115">
        <v>191</v>
      </c>
      <c r="M115">
        <v>73.599999999999994</v>
      </c>
      <c r="N115">
        <v>7.2</v>
      </c>
      <c r="O115">
        <v>1.6</v>
      </c>
      <c r="P115">
        <v>2</v>
      </c>
      <c r="Q115" t="s">
        <v>25</v>
      </c>
      <c r="R115" t="s">
        <v>22</v>
      </c>
    </row>
    <row r="116" spans="1:18" x14ac:dyDescent="0.25">
      <c r="A116" t="s">
        <v>144</v>
      </c>
      <c r="B116">
        <v>81.7</v>
      </c>
      <c r="C116">
        <v>74.400000000000006</v>
      </c>
      <c r="D116">
        <v>77.400000000000006</v>
      </c>
      <c r="E116">
        <v>74.8</v>
      </c>
      <c r="F116">
        <v>82.3</v>
      </c>
      <c r="G116">
        <v>78.55</v>
      </c>
      <c r="H116" t="s">
        <v>19</v>
      </c>
      <c r="I116">
        <v>5</v>
      </c>
      <c r="J116" t="s">
        <v>24</v>
      </c>
      <c r="K116">
        <v>72.7</v>
      </c>
      <c r="L116">
        <v>174</v>
      </c>
      <c r="M116">
        <v>95.9</v>
      </c>
      <c r="N116">
        <v>7.3</v>
      </c>
      <c r="O116">
        <v>4.5</v>
      </c>
      <c r="P116">
        <v>6</v>
      </c>
      <c r="Q116" t="s">
        <v>28</v>
      </c>
      <c r="R116" t="s">
        <v>22</v>
      </c>
    </row>
    <row r="117" spans="1:18" x14ac:dyDescent="0.25">
      <c r="A117" t="s">
        <v>145</v>
      </c>
      <c r="B117">
        <v>91.2</v>
      </c>
      <c r="C117">
        <v>86.1</v>
      </c>
      <c r="D117">
        <v>107.6</v>
      </c>
      <c r="E117">
        <v>87.9</v>
      </c>
      <c r="F117">
        <v>81</v>
      </c>
      <c r="G117">
        <v>84.45</v>
      </c>
      <c r="H117" t="s">
        <v>19</v>
      </c>
      <c r="I117">
        <v>2</v>
      </c>
      <c r="J117" t="s">
        <v>20</v>
      </c>
      <c r="K117">
        <v>82.3</v>
      </c>
      <c r="L117">
        <v>198</v>
      </c>
      <c r="M117">
        <v>63.6</v>
      </c>
      <c r="N117">
        <v>7.3</v>
      </c>
      <c r="O117">
        <v>3.2</v>
      </c>
      <c r="P117">
        <v>5</v>
      </c>
      <c r="Q117" t="s">
        <v>28</v>
      </c>
      <c r="R117" t="s">
        <v>22</v>
      </c>
    </row>
    <row r="118" spans="1:18" x14ac:dyDescent="0.25">
      <c r="A118" t="s">
        <v>146</v>
      </c>
      <c r="B118">
        <v>83.4</v>
      </c>
      <c r="C118">
        <v>82.9</v>
      </c>
      <c r="D118">
        <v>73.8</v>
      </c>
      <c r="E118">
        <v>84.2</v>
      </c>
      <c r="F118">
        <v>96.6</v>
      </c>
      <c r="G118">
        <v>90.4</v>
      </c>
      <c r="H118" t="s">
        <v>19</v>
      </c>
      <c r="I118">
        <v>5</v>
      </c>
      <c r="J118" t="s">
        <v>24</v>
      </c>
      <c r="K118">
        <v>77.099999999999994</v>
      </c>
      <c r="L118">
        <v>185</v>
      </c>
      <c r="M118">
        <v>106</v>
      </c>
      <c r="N118">
        <v>6.4</v>
      </c>
      <c r="O118">
        <v>5.7</v>
      </c>
      <c r="P118">
        <v>1</v>
      </c>
      <c r="Q118" t="s">
        <v>25</v>
      </c>
      <c r="R118" t="s">
        <v>22</v>
      </c>
    </row>
    <row r="119" spans="1:18" x14ac:dyDescent="0.25">
      <c r="A119" t="s">
        <v>147</v>
      </c>
      <c r="B119">
        <v>51</v>
      </c>
      <c r="C119">
        <v>58.3</v>
      </c>
      <c r="D119">
        <v>58.9</v>
      </c>
      <c r="E119">
        <v>50.3</v>
      </c>
      <c r="F119">
        <v>57.2</v>
      </c>
      <c r="G119">
        <v>53.75</v>
      </c>
      <c r="H119" t="s">
        <v>19</v>
      </c>
      <c r="I119">
        <v>2</v>
      </c>
      <c r="J119" t="s">
        <v>20</v>
      </c>
      <c r="K119">
        <v>65.400000000000006</v>
      </c>
      <c r="L119">
        <v>157</v>
      </c>
      <c r="M119">
        <v>64.7</v>
      </c>
      <c r="N119">
        <v>7.9</v>
      </c>
      <c r="O119">
        <v>1.7</v>
      </c>
      <c r="P119">
        <v>4</v>
      </c>
      <c r="Q119" t="s">
        <v>28</v>
      </c>
      <c r="R119" t="s">
        <v>26</v>
      </c>
    </row>
    <row r="120" spans="1:18" x14ac:dyDescent="0.25">
      <c r="A120" t="s">
        <v>148</v>
      </c>
      <c r="B120">
        <v>95.1</v>
      </c>
      <c r="C120">
        <v>91.9</v>
      </c>
      <c r="D120">
        <v>87.7</v>
      </c>
      <c r="E120">
        <v>89.1</v>
      </c>
      <c r="F120">
        <v>88.7</v>
      </c>
      <c r="G120">
        <v>88.9</v>
      </c>
      <c r="H120" t="s">
        <v>19</v>
      </c>
      <c r="I120">
        <v>4</v>
      </c>
      <c r="J120" t="s">
        <v>38</v>
      </c>
      <c r="K120">
        <v>81.7</v>
      </c>
      <c r="L120">
        <v>196</v>
      </c>
      <c r="M120">
        <v>84.5</v>
      </c>
      <c r="N120">
        <v>6.6</v>
      </c>
      <c r="O120">
        <v>4.2</v>
      </c>
      <c r="P120">
        <v>5</v>
      </c>
      <c r="Q120" t="s">
        <v>28</v>
      </c>
      <c r="R120" t="s">
        <v>26</v>
      </c>
    </row>
    <row r="121" spans="1:18" x14ac:dyDescent="0.25">
      <c r="A121" t="s">
        <v>149</v>
      </c>
      <c r="B121">
        <v>65.599999999999994</v>
      </c>
      <c r="C121">
        <v>68.2</v>
      </c>
      <c r="D121">
        <v>71.099999999999994</v>
      </c>
      <c r="E121">
        <v>69.7</v>
      </c>
      <c r="F121">
        <v>71.400000000000006</v>
      </c>
      <c r="G121">
        <v>70.55</v>
      </c>
      <c r="H121" t="s">
        <v>19</v>
      </c>
      <c r="I121">
        <v>3</v>
      </c>
      <c r="J121" t="s">
        <v>38</v>
      </c>
      <c r="K121">
        <v>67.400000000000006</v>
      </c>
      <c r="L121">
        <v>162</v>
      </c>
      <c r="M121">
        <v>85.2</v>
      </c>
      <c r="N121">
        <v>6.7</v>
      </c>
      <c r="O121">
        <v>2.9</v>
      </c>
      <c r="P121">
        <v>4</v>
      </c>
      <c r="Q121" t="s">
        <v>28</v>
      </c>
      <c r="R121" t="s">
        <v>22</v>
      </c>
    </row>
    <row r="122" spans="1:18" x14ac:dyDescent="0.25">
      <c r="A122" t="s">
        <v>150</v>
      </c>
      <c r="B122">
        <v>86.3</v>
      </c>
      <c r="C122">
        <v>87.9</v>
      </c>
      <c r="D122">
        <v>84.2</v>
      </c>
      <c r="E122">
        <v>84.4</v>
      </c>
      <c r="F122">
        <v>82.3</v>
      </c>
      <c r="G122">
        <v>83.35</v>
      </c>
      <c r="H122" t="s">
        <v>19</v>
      </c>
      <c r="I122">
        <v>5</v>
      </c>
      <c r="J122" t="s">
        <v>24</v>
      </c>
      <c r="K122">
        <v>88.5</v>
      </c>
      <c r="L122">
        <v>212</v>
      </c>
      <c r="M122">
        <v>91.4</v>
      </c>
      <c r="N122">
        <v>6</v>
      </c>
      <c r="O122">
        <v>5.8</v>
      </c>
      <c r="P122">
        <v>4</v>
      </c>
      <c r="Q122" t="s">
        <v>28</v>
      </c>
      <c r="R122" t="s">
        <v>26</v>
      </c>
    </row>
    <row r="123" spans="1:18" x14ac:dyDescent="0.25">
      <c r="A123" t="s">
        <v>151</v>
      </c>
      <c r="B123">
        <v>87.3</v>
      </c>
      <c r="C123">
        <v>87.6</v>
      </c>
      <c r="D123">
        <v>87.2</v>
      </c>
      <c r="E123">
        <v>89.3</v>
      </c>
      <c r="F123">
        <v>94.8</v>
      </c>
      <c r="G123">
        <v>92.05</v>
      </c>
      <c r="H123" t="s">
        <v>19</v>
      </c>
      <c r="I123">
        <v>3</v>
      </c>
      <c r="J123" t="s">
        <v>38</v>
      </c>
      <c r="K123">
        <v>82.2</v>
      </c>
      <c r="L123">
        <v>197</v>
      </c>
      <c r="M123">
        <v>77.400000000000006</v>
      </c>
      <c r="N123">
        <v>7.2</v>
      </c>
      <c r="O123">
        <v>2.6</v>
      </c>
      <c r="P123">
        <v>1</v>
      </c>
      <c r="Q123" t="s">
        <v>25</v>
      </c>
      <c r="R123" t="s">
        <v>26</v>
      </c>
    </row>
    <row r="124" spans="1:18" x14ac:dyDescent="0.25">
      <c r="A124" t="s">
        <v>152</v>
      </c>
      <c r="B124">
        <v>57.6</v>
      </c>
      <c r="C124">
        <v>63.4</v>
      </c>
      <c r="D124">
        <v>54.6</v>
      </c>
      <c r="E124">
        <v>57.5</v>
      </c>
      <c r="F124">
        <v>64.599999999999994</v>
      </c>
      <c r="G124">
        <v>61.05</v>
      </c>
      <c r="H124" t="s">
        <v>19</v>
      </c>
      <c r="I124">
        <v>3</v>
      </c>
      <c r="J124" t="s">
        <v>38</v>
      </c>
      <c r="K124">
        <v>62.4</v>
      </c>
      <c r="L124">
        <v>150</v>
      </c>
      <c r="M124">
        <v>74.2</v>
      </c>
      <c r="N124">
        <v>5.7</v>
      </c>
      <c r="O124">
        <v>5.8</v>
      </c>
      <c r="P124">
        <v>2</v>
      </c>
      <c r="Q124" t="s">
        <v>25</v>
      </c>
      <c r="R124" t="s">
        <v>33</v>
      </c>
    </row>
    <row r="125" spans="1:18" x14ac:dyDescent="0.25">
      <c r="A125" t="s">
        <v>153</v>
      </c>
      <c r="B125">
        <v>52.4</v>
      </c>
      <c r="C125">
        <v>47.9</v>
      </c>
      <c r="D125">
        <v>47.7</v>
      </c>
      <c r="E125">
        <v>46.1</v>
      </c>
      <c r="F125">
        <v>46.7</v>
      </c>
      <c r="G125">
        <v>46.4</v>
      </c>
      <c r="H125" t="s">
        <v>32</v>
      </c>
      <c r="I125">
        <v>2</v>
      </c>
      <c r="J125" t="s">
        <v>20</v>
      </c>
      <c r="K125">
        <v>62.2</v>
      </c>
      <c r="L125">
        <v>149</v>
      </c>
      <c r="M125">
        <v>65.400000000000006</v>
      </c>
      <c r="N125">
        <v>6.1</v>
      </c>
      <c r="O125">
        <v>5.5</v>
      </c>
      <c r="P125">
        <v>1</v>
      </c>
      <c r="Q125" t="s">
        <v>25</v>
      </c>
      <c r="R125" t="s">
        <v>26</v>
      </c>
    </row>
    <row r="126" spans="1:18" x14ac:dyDescent="0.25">
      <c r="A126" t="s">
        <v>154</v>
      </c>
      <c r="B126">
        <v>53.5</v>
      </c>
      <c r="C126">
        <v>52</v>
      </c>
      <c r="D126">
        <v>45</v>
      </c>
      <c r="E126">
        <v>52.5</v>
      </c>
      <c r="F126">
        <v>55.5</v>
      </c>
      <c r="G126">
        <v>54</v>
      </c>
      <c r="H126" t="s">
        <v>19</v>
      </c>
      <c r="I126">
        <v>2</v>
      </c>
      <c r="J126" t="s">
        <v>20</v>
      </c>
      <c r="K126">
        <v>66.599999999999994</v>
      </c>
      <c r="L126">
        <v>160</v>
      </c>
      <c r="M126">
        <v>66.2</v>
      </c>
      <c r="N126">
        <v>7</v>
      </c>
      <c r="O126">
        <v>2.4</v>
      </c>
      <c r="P126">
        <v>2</v>
      </c>
      <c r="Q126" t="s">
        <v>25</v>
      </c>
      <c r="R126" t="s">
        <v>22</v>
      </c>
    </row>
    <row r="127" spans="1:18" x14ac:dyDescent="0.25">
      <c r="A127" t="s">
        <v>155</v>
      </c>
      <c r="B127">
        <v>63.7</v>
      </c>
      <c r="C127">
        <v>65.7</v>
      </c>
      <c r="D127">
        <v>67.2</v>
      </c>
      <c r="E127">
        <v>63.5</v>
      </c>
      <c r="F127">
        <v>75.7</v>
      </c>
      <c r="G127">
        <v>69.599999999999994</v>
      </c>
      <c r="H127" t="s">
        <v>19</v>
      </c>
      <c r="I127">
        <v>5</v>
      </c>
      <c r="J127" t="s">
        <v>24</v>
      </c>
      <c r="K127">
        <v>63</v>
      </c>
      <c r="L127">
        <v>151</v>
      </c>
      <c r="M127">
        <v>97.9</v>
      </c>
      <c r="N127">
        <v>7.6</v>
      </c>
      <c r="O127">
        <v>5</v>
      </c>
      <c r="P127">
        <v>3</v>
      </c>
      <c r="Q127" t="s">
        <v>28</v>
      </c>
      <c r="R127" t="s">
        <v>26</v>
      </c>
    </row>
    <row r="128" spans="1:18" x14ac:dyDescent="0.25">
      <c r="A128" t="s">
        <v>156</v>
      </c>
      <c r="B128">
        <v>78.2</v>
      </c>
      <c r="C128">
        <v>77.099999999999994</v>
      </c>
      <c r="D128">
        <v>82.9</v>
      </c>
      <c r="E128">
        <v>85</v>
      </c>
      <c r="F128">
        <v>65.3</v>
      </c>
      <c r="G128">
        <v>75.150000000000006</v>
      </c>
      <c r="H128" t="s">
        <v>19</v>
      </c>
      <c r="I128">
        <v>2</v>
      </c>
      <c r="J128" t="s">
        <v>20</v>
      </c>
      <c r="K128">
        <v>84.2</v>
      </c>
      <c r="L128">
        <v>202</v>
      </c>
      <c r="M128">
        <v>77.900000000000006</v>
      </c>
      <c r="N128">
        <v>4.8</v>
      </c>
      <c r="O128">
        <v>6</v>
      </c>
      <c r="P128">
        <v>6</v>
      </c>
      <c r="Q128" t="s">
        <v>28</v>
      </c>
      <c r="R128" t="s">
        <v>26</v>
      </c>
    </row>
    <row r="129" spans="1:18" x14ac:dyDescent="0.25">
      <c r="A129" t="s">
        <v>157</v>
      </c>
      <c r="B129">
        <v>91.1</v>
      </c>
      <c r="C129">
        <v>81.7</v>
      </c>
      <c r="D129">
        <v>81.7</v>
      </c>
      <c r="E129">
        <v>87.3</v>
      </c>
      <c r="F129">
        <v>80.099999999999994</v>
      </c>
      <c r="G129">
        <v>83.7</v>
      </c>
      <c r="H129" t="s">
        <v>19</v>
      </c>
      <c r="I129">
        <v>3</v>
      </c>
      <c r="J129" t="s">
        <v>20</v>
      </c>
      <c r="K129">
        <v>78.400000000000006</v>
      </c>
      <c r="L129">
        <v>188</v>
      </c>
      <c r="M129">
        <v>77.5</v>
      </c>
      <c r="N129">
        <v>7.2</v>
      </c>
      <c r="O129">
        <v>2.2999999999999998</v>
      </c>
      <c r="P129">
        <v>2</v>
      </c>
      <c r="Q129" t="s">
        <v>25</v>
      </c>
      <c r="R129" t="s">
        <v>26</v>
      </c>
    </row>
    <row r="130" spans="1:18" x14ac:dyDescent="0.25">
      <c r="A130" t="s">
        <v>158</v>
      </c>
      <c r="B130">
        <v>43.6</v>
      </c>
      <c r="C130">
        <v>34.4</v>
      </c>
      <c r="D130">
        <v>38.1</v>
      </c>
      <c r="E130">
        <v>40.4</v>
      </c>
      <c r="F130">
        <v>52.7</v>
      </c>
      <c r="G130">
        <v>46.55</v>
      </c>
      <c r="H130" t="s">
        <v>32</v>
      </c>
      <c r="I130">
        <v>4</v>
      </c>
      <c r="J130" t="s">
        <v>38</v>
      </c>
      <c r="K130">
        <v>68.7</v>
      </c>
      <c r="L130">
        <v>165</v>
      </c>
      <c r="M130">
        <v>89.4</v>
      </c>
      <c r="N130">
        <v>7.9</v>
      </c>
      <c r="O130">
        <v>3.2</v>
      </c>
      <c r="P130">
        <v>4</v>
      </c>
      <c r="Q130" t="s">
        <v>28</v>
      </c>
      <c r="R130" t="s">
        <v>26</v>
      </c>
    </row>
    <row r="131" spans="1:18" x14ac:dyDescent="0.25">
      <c r="A131" t="s">
        <v>159</v>
      </c>
      <c r="B131">
        <v>78.900000000000006</v>
      </c>
      <c r="C131">
        <v>68.8</v>
      </c>
      <c r="D131">
        <v>74.400000000000006</v>
      </c>
      <c r="E131">
        <v>68.099999999999994</v>
      </c>
      <c r="F131">
        <v>85</v>
      </c>
      <c r="G131">
        <v>76.55</v>
      </c>
      <c r="H131" t="s">
        <v>19</v>
      </c>
      <c r="I131">
        <v>2</v>
      </c>
      <c r="J131" t="s">
        <v>20</v>
      </c>
      <c r="K131">
        <v>76.7</v>
      </c>
      <c r="L131">
        <v>184</v>
      </c>
      <c r="M131">
        <v>72.599999999999994</v>
      </c>
      <c r="N131">
        <v>7</v>
      </c>
      <c r="O131">
        <v>3.6</v>
      </c>
      <c r="P131">
        <v>2</v>
      </c>
      <c r="Q131" t="s">
        <v>25</v>
      </c>
      <c r="R131" t="s">
        <v>33</v>
      </c>
    </row>
    <row r="132" spans="1:18" x14ac:dyDescent="0.25">
      <c r="A132" t="s">
        <v>160</v>
      </c>
      <c r="B132">
        <v>61.4</v>
      </c>
      <c r="C132">
        <v>71.599999999999994</v>
      </c>
      <c r="D132">
        <v>60.3</v>
      </c>
      <c r="E132">
        <v>63</v>
      </c>
      <c r="F132">
        <v>85.6</v>
      </c>
      <c r="G132">
        <v>74.3</v>
      </c>
      <c r="H132" t="s">
        <v>19</v>
      </c>
      <c r="I132">
        <v>5</v>
      </c>
      <c r="J132" t="s">
        <v>24</v>
      </c>
      <c r="K132">
        <v>69.5</v>
      </c>
      <c r="L132">
        <v>167</v>
      </c>
      <c r="M132">
        <v>100.6</v>
      </c>
      <c r="N132">
        <v>7.6</v>
      </c>
      <c r="O132">
        <v>2.5</v>
      </c>
      <c r="P132">
        <v>2</v>
      </c>
      <c r="Q132" t="s">
        <v>25</v>
      </c>
      <c r="R132" t="s">
        <v>22</v>
      </c>
    </row>
    <row r="133" spans="1:18" x14ac:dyDescent="0.25">
      <c r="A133" t="s">
        <v>161</v>
      </c>
      <c r="B133">
        <v>53.3</v>
      </c>
      <c r="C133">
        <v>63.4</v>
      </c>
      <c r="D133">
        <v>54</v>
      </c>
      <c r="E133">
        <v>52.2</v>
      </c>
      <c r="F133">
        <v>69.8</v>
      </c>
      <c r="G133">
        <v>61</v>
      </c>
      <c r="H133" t="s">
        <v>19</v>
      </c>
      <c r="I133">
        <v>4</v>
      </c>
      <c r="J133" t="s">
        <v>38</v>
      </c>
      <c r="K133">
        <v>62.4</v>
      </c>
      <c r="L133">
        <v>150</v>
      </c>
      <c r="M133">
        <v>95.9</v>
      </c>
      <c r="N133">
        <v>7.7</v>
      </c>
      <c r="O133">
        <v>1.1000000000000001</v>
      </c>
      <c r="P133">
        <v>5</v>
      </c>
      <c r="Q133" t="s">
        <v>28</v>
      </c>
      <c r="R133" t="s">
        <v>22</v>
      </c>
    </row>
    <row r="134" spans="1:18" x14ac:dyDescent="0.25">
      <c r="A134" t="s">
        <v>162</v>
      </c>
      <c r="B134">
        <v>47.8</v>
      </c>
      <c r="C134">
        <v>49.8</v>
      </c>
      <c r="D134">
        <v>42.9</v>
      </c>
      <c r="E134">
        <v>46.6</v>
      </c>
      <c r="F134">
        <v>53.5</v>
      </c>
      <c r="G134">
        <v>50.05</v>
      </c>
      <c r="H134" t="s">
        <v>19</v>
      </c>
      <c r="I134">
        <v>3</v>
      </c>
      <c r="J134" t="s">
        <v>38</v>
      </c>
      <c r="K134">
        <v>62.8</v>
      </c>
      <c r="L134">
        <v>151</v>
      </c>
      <c r="M134">
        <v>84.5</v>
      </c>
      <c r="N134">
        <v>7</v>
      </c>
      <c r="O134">
        <v>2.1</v>
      </c>
      <c r="P134">
        <v>5</v>
      </c>
      <c r="Q134" t="s">
        <v>28</v>
      </c>
      <c r="R134" t="s">
        <v>26</v>
      </c>
    </row>
    <row r="135" spans="1:18" x14ac:dyDescent="0.25">
      <c r="A135" t="s">
        <v>163</v>
      </c>
      <c r="B135">
        <v>66.5</v>
      </c>
      <c r="C135">
        <v>61.1</v>
      </c>
      <c r="D135">
        <v>62.4</v>
      </c>
      <c r="E135">
        <v>58.6</v>
      </c>
      <c r="F135">
        <v>67.3</v>
      </c>
      <c r="G135">
        <v>62.95</v>
      </c>
      <c r="H135" t="s">
        <v>19</v>
      </c>
      <c r="I135">
        <v>5</v>
      </c>
      <c r="J135" t="s">
        <v>24</v>
      </c>
      <c r="K135">
        <v>72.3</v>
      </c>
      <c r="L135">
        <v>174</v>
      </c>
      <c r="M135">
        <v>92.9</v>
      </c>
      <c r="N135">
        <v>6.2</v>
      </c>
      <c r="O135">
        <v>2.4</v>
      </c>
      <c r="P135">
        <v>4</v>
      </c>
      <c r="Q135" t="s">
        <v>28</v>
      </c>
      <c r="R135" t="s">
        <v>26</v>
      </c>
    </row>
    <row r="136" spans="1:18" x14ac:dyDescent="0.25">
      <c r="A136" t="s">
        <v>164</v>
      </c>
      <c r="B136">
        <v>91.4</v>
      </c>
      <c r="C136">
        <v>82.9</v>
      </c>
      <c r="D136">
        <v>95.3</v>
      </c>
      <c r="E136">
        <v>91.9</v>
      </c>
      <c r="F136">
        <v>81.5</v>
      </c>
      <c r="G136">
        <v>86.7</v>
      </c>
      <c r="H136" t="s">
        <v>19</v>
      </c>
      <c r="I136">
        <v>1</v>
      </c>
      <c r="J136" t="s">
        <v>20</v>
      </c>
      <c r="K136">
        <v>85.8</v>
      </c>
      <c r="L136">
        <v>206</v>
      </c>
      <c r="M136">
        <v>57</v>
      </c>
      <c r="N136">
        <v>7.1</v>
      </c>
      <c r="O136">
        <v>3.2</v>
      </c>
      <c r="P136">
        <v>5</v>
      </c>
      <c r="Q136" t="s">
        <v>28</v>
      </c>
      <c r="R136" t="s">
        <v>33</v>
      </c>
    </row>
    <row r="137" spans="1:18" x14ac:dyDescent="0.25">
      <c r="A137" t="s">
        <v>165</v>
      </c>
      <c r="B137">
        <v>59.2</v>
      </c>
      <c r="C137">
        <v>55.1</v>
      </c>
      <c r="D137">
        <v>67</v>
      </c>
      <c r="E137">
        <v>57.8</v>
      </c>
      <c r="F137">
        <v>50</v>
      </c>
      <c r="G137">
        <v>53.9</v>
      </c>
      <c r="H137" t="s">
        <v>19</v>
      </c>
      <c r="I137">
        <v>2</v>
      </c>
      <c r="J137" t="s">
        <v>20</v>
      </c>
      <c r="K137">
        <v>67.8</v>
      </c>
      <c r="L137">
        <v>163</v>
      </c>
      <c r="M137">
        <v>63.1</v>
      </c>
      <c r="N137">
        <v>7.1</v>
      </c>
      <c r="O137">
        <v>1.9</v>
      </c>
      <c r="P137">
        <v>7</v>
      </c>
      <c r="Q137" t="s">
        <v>21</v>
      </c>
      <c r="R137" t="s">
        <v>26</v>
      </c>
    </row>
    <row r="138" spans="1:18" x14ac:dyDescent="0.25">
      <c r="A138" t="s">
        <v>166</v>
      </c>
      <c r="B138">
        <v>71.599999999999994</v>
      </c>
      <c r="C138">
        <v>64.599999999999994</v>
      </c>
      <c r="D138">
        <v>67.7</v>
      </c>
      <c r="E138">
        <v>68.5</v>
      </c>
      <c r="F138">
        <v>67.599999999999994</v>
      </c>
      <c r="G138">
        <v>68.05</v>
      </c>
      <c r="H138" t="s">
        <v>19</v>
      </c>
      <c r="I138">
        <v>3</v>
      </c>
      <c r="J138" t="s">
        <v>20</v>
      </c>
      <c r="K138">
        <v>74.599999999999994</v>
      </c>
      <c r="L138">
        <v>179</v>
      </c>
      <c r="M138">
        <v>81.900000000000006</v>
      </c>
      <c r="N138">
        <v>6</v>
      </c>
      <c r="O138">
        <v>5.4</v>
      </c>
      <c r="P138">
        <v>2</v>
      </c>
      <c r="Q138" t="s">
        <v>25</v>
      </c>
      <c r="R138" t="s">
        <v>33</v>
      </c>
    </row>
    <row r="139" spans="1:18" x14ac:dyDescent="0.25">
      <c r="A139" t="s">
        <v>167</v>
      </c>
      <c r="B139">
        <v>79.599999999999994</v>
      </c>
      <c r="C139">
        <v>75.599999999999994</v>
      </c>
      <c r="D139">
        <v>82</v>
      </c>
      <c r="E139">
        <v>78.7</v>
      </c>
      <c r="F139">
        <v>74.8</v>
      </c>
      <c r="G139">
        <v>76.75</v>
      </c>
      <c r="H139" t="s">
        <v>19</v>
      </c>
      <c r="I139">
        <v>2</v>
      </c>
      <c r="J139" t="s">
        <v>20</v>
      </c>
      <c r="K139">
        <v>76.3</v>
      </c>
      <c r="L139">
        <v>183</v>
      </c>
      <c r="M139">
        <v>72</v>
      </c>
      <c r="N139">
        <v>6.4</v>
      </c>
      <c r="O139">
        <v>4.5</v>
      </c>
      <c r="P139">
        <v>1</v>
      </c>
      <c r="Q139" t="s">
        <v>25</v>
      </c>
      <c r="R139" t="s">
        <v>22</v>
      </c>
    </row>
    <row r="140" spans="1:18" x14ac:dyDescent="0.25">
      <c r="A140" t="s">
        <v>168</v>
      </c>
      <c r="B140">
        <v>57.8</v>
      </c>
      <c r="C140">
        <v>59.2</v>
      </c>
      <c r="D140">
        <v>60.5</v>
      </c>
      <c r="E140">
        <v>60</v>
      </c>
      <c r="F140">
        <v>80.3</v>
      </c>
      <c r="G140">
        <v>70.150000000000006</v>
      </c>
      <c r="H140" t="s">
        <v>19</v>
      </c>
      <c r="I140">
        <v>4</v>
      </c>
      <c r="J140" t="s">
        <v>38</v>
      </c>
      <c r="K140">
        <v>68.3</v>
      </c>
      <c r="L140">
        <v>164</v>
      </c>
      <c r="M140">
        <v>92.6</v>
      </c>
      <c r="N140">
        <v>8.4</v>
      </c>
      <c r="O140">
        <v>1.4</v>
      </c>
      <c r="P140">
        <v>1</v>
      </c>
      <c r="Q140" t="s">
        <v>25</v>
      </c>
      <c r="R140" t="s">
        <v>22</v>
      </c>
    </row>
    <row r="141" spans="1:18" x14ac:dyDescent="0.25">
      <c r="A141" t="s">
        <v>169</v>
      </c>
      <c r="B141">
        <v>94.4</v>
      </c>
      <c r="C141">
        <v>91.1</v>
      </c>
      <c r="D141">
        <v>99.9</v>
      </c>
      <c r="E141">
        <v>93.4</v>
      </c>
      <c r="F141">
        <v>88.3</v>
      </c>
      <c r="G141">
        <v>90.85</v>
      </c>
      <c r="H141" t="s">
        <v>19</v>
      </c>
      <c r="I141">
        <v>5</v>
      </c>
      <c r="J141" t="s">
        <v>24</v>
      </c>
      <c r="K141">
        <v>76.3</v>
      </c>
      <c r="L141">
        <v>183</v>
      </c>
      <c r="M141">
        <v>96.1</v>
      </c>
      <c r="N141">
        <v>7.9</v>
      </c>
      <c r="O141">
        <v>4.3</v>
      </c>
      <c r="P141">
        <v>4</v>
      </c>
      <c r="Q141" t="s">
        <v>28</v>
      </c>
      <c r="R141" t="s">
        <v>33</v>
      </c>
    </row>
    <row r="142" spans="1:18" x14ac:dyDescent="0.25">
      <c r="A142" t="s">
        <v>170</v>
      </c>
      <c r="B142">
        <v>98.3</v>
      </c>
      <c r="C142">
        <v>83</v>
      </c>
      <c r="D142">
        <v>89.3</v>
      </c>
      <c r="E142">
        <v>92.9</v>
      </c>
      <c r="F142">
        <v>93.2</v>
      </c>
      <c r="G142">
        <v>93.05</v>
      </c>
      <c r="H142" t="s">
        <v>19</v>
      </c>
      <c r="I142">
        <v>3</v>
      </c>
      <c r="J142" t="s">
        <v>20</v>
      </c>
      <c r="K142">
        <v>91.3</v>
      </c>
      <c r="L142">
        <v>219</v>
      </c>
      <c r="M142">
        <v>84</v>
      </c>
      <c r="N142">
        <v>6.8</v>
      </c>
      <c r="O142">
        <v>4.3</v>
      </c>
      <c r="P142">
        <v>4</v>
      </c>
      <c r="Q142" t="s">
        <v>28</v>
      </c>
      <c r="R142" t="s">
        <v>22</v>
      </c>
    </row>
    <row r="143" spans="1:18" x14ac:dyDescent="0.25">
      <c r="A143" t="s">
        <v>171</v>
      </c>
      <c r="B143">
        <v>48.7</v>
      </c>
      <c r="C143">
        <v>57.6</v>
      </c>
      <c r="D143">
        <v>57.6</v>
      </c>
      <c r="E143">
        <v>53.8</v>
      </c>
      <c r="F143">
        <v>56.8</v>
      </c>
      <c r="G143">
        <v>55.3</v>
      </c>
      <c r="H143" t="s">
        <v>19</v>
      </c>
      <c r="I143">
        <v>2</v>
      </c>
      <c r="J143" t="s">
        <v>20</v>
      </c>
      <c r="K143">
        <v>68.400000000000006</v>
      </c>
      <c r="L143">
        <v>164</v>
      </c>
      <c r="M143">
        <v>71.3</v>
      </c>
      <c r="N143">
        <v>6</v>
      </c>
      <c r="O143">
        <v>5.8</v>
      </c>
      <c r="P143">
        <v>5</v>
      </c>
      <c r="Q143" t="s">
        <v>28</v>
      </c>
      <c r="R143" t="s">
        <v>26</v>
      </c>
    </row>
    <row r="144" spans="1:18" x14ac:dyDescent="0.25">
      <c r="A144" t="s">
        <v>172</v>
      </c>
      <c r="B144">
        <v>68</v>
      </c>
      <c r="C144">
        <v>62</v>
      </c>
      <c r="D144">
        <v>66.400000000000006</v>
      </c>
      <c r="E144">
        <v>67.3</v>
      </c>
      <c r="F144">
        <v>89.1</v>
      </c>
      <c r="G144">
        <v>78.2</v>
      </c>
      <c r="H144" t="s">
        <v>19</v>
      </c>
      <c r="I144">
        <v>5</v>
      </c>
      <c r="J144" t="s">
        <v>24</v>
      </c>
      <c r="K144">
        <v>69.8</v>
      </c>
      <c r="L144">
        <v>168</v>
      </c>
      <c r="M144">
        <v>103.2</v>
      </c>
      <c r="N144">
        <v>7.1</v>
      </c>
      <c r="O144">
        <v>1</v>
      </c>
      <c r="P144">
        <v>2</v>
      </c>
      <c r="Q144" t="s">
        <v>25</v>
      </c>
      <c r="R144" t="s">
        <v>26</v>
      </c>
    </row>
    <row r="145" spans="1:18" x14ac:dyDescent="0.25">
      <c r="A145" t="s">
        <v>173</v>
      </c>
      <c r="B145">
        <v>53</v>
      </c>
      <c r="C145">
        <v>57.7</v>
      </c>
      <c r="D145">
        <v>56.2</v>
      </c>
      <c r="E145">
        <v>56.5</v>
      </c>
      <c r="F145">
        <v>62.9</v>
      </c>
      <c r="G145">
        <v>59.7</v>
      </c>
      <c r="H145" t="s">
        <v>19</v>
      </c>
      <c r="I145">
        <v>3</v>
      </c>
      <c r="J145" t="s">
        <v>20</v>
      </c>
      <c r="K145">
        <v>77.8</v>
      </c>
      <c r="L145">
        <v>187</v>
      </c>
      <c r="M145">
        <v>77.599999999999994</v>
      </c>
      <c r="N145">
        <v>7.6</v>
      </c>
      <c r="O145">
        <v>2.2000000000000002</v>
      </c>
      <c r="P145">
        <v>1</v>
      </c>
      <c r="Q145" t="s">
        <v>25</v>
      </c>
      <c r="R145" t="s">
        <v>33</v>
      </c>
    </row>
    <row r="146" spans="1:18" x14ac:dyDescent="0.25">
      <c r="A146" t="s">
        <v>174</v>
      </c>
      <c r="B146">
        <v>61.6</v>
      </c>
      <c r="C146">
        <v>66</v>
      </c>
      <c r="D146">
        <v>56.1</v>
      </c>
      <c r="E146">
        <v>55.7</v>
      </c>
      <c r="F146">
        <v>66</v>
      </c>
      <c r="G146">
        <v>60.85</v>
      </c>
      <c r="H146" t="s">
        <v>19</v>
      </c>
      <c r="I146">
        <v>3</v>
      </c>
      <c r="J146" t="s">
        <v>20</v>
      </c>
      <c r="K146">
        <v>68.3</v>
      </c>
      <c r="L146">
        <v>164</v>
      </c>
      <c r="M146">
        <v>76.5</v>
      </c>
      <c r="N146">
        <v>7.2</v>
      </c>
      <c r="O146">
        <v>5.6</v>
      </c>
      <c r="P146">
        <v>1</v>
      </c>
      <c r="Q146" t="s">
        <v>25</v>
      </c>
      <c r="R146" t="s">
        <v>22</v>
      </c>
    </row>
    <row r="147" spans="1:18" x14ac:dyDescent="0.25">
      <c r="A147" t="s">
        <v>175</v>
      </c>
      <c r="B147">
        <v>34.4</v>
      </c>
      <c r="C147">
        <v>37.4</v>
      </c>
      <c r="D147">
        <v>43.3</v>
      </c>
      <c r="E147">
        <v>42</v>
      </c>
      <c r="F147">
        <v>50.1</v>
      </c>
      <c r="G147">
        <v>46.05</v>
      </c>
      <c r="H147" t="s">
        <v>32</v>
      </c>
      <c r="I147">
        <v>2</v>
      </c>
      <c r="J147" t="s">
        <v>20</v>
      </c>
      <c r="K147">
        <v>55.8</v>
      </c>
      <c r="L147">
        <v>134</v>
      </c>
      <c r="M147">
        <v>77</v>
      </c>
      <c r="N147">
        <v>6.2</v>
      </c>
      <c r="O147">
        <v>5.7</v>
      </c>
      <c r="P147">
        <v>2</v>
      </c>
      <c r="Q147" t="s">
        <v>25</v>
      </c>
      <c r="R147" t="s">
        <v>22</v>
      </c>
    </row>
    <row r="148" spans="1:18" x14ac:dyDescent="0.25">
      <c r="A148" t="s">
        <v>176</v>
      </c>
      <c r="B148">
        <v>70.7</v>
      </c>
      <c r="C148">
        <v>60.9</v>
      </c>
      <c r="D148">
        <v>72.900000000000006</v>
      </c>
      <c r="E148">
        <v>73.5</v>
      </c>
      <c r="F148">
        <v>79.599999999999994</v>
      </c>
      <c r="G148">
        <v>76.55</v>
      </c>
      <c r="H148" t="s">
        <v>19</v>
      </c>
      <c r="I148">
        <v>5</v>
      </c>
      <c r="J148" t="s">
        <v>24</v>
      </c>
      <c r="K148">
        <v>81</v>
      </c>
      <c r="L148">
        <v>194</v>
      </c>
      <c r="M148">
        <v>98.4</v>
      </c>
      <c r="N148">
        <v>5.4</v>
      </c>
      <c r="O148">
        <v>4.5999999999999996</v>
      </c>
      <c r="P148">
        <v>3</v>
      </c>
      <c r="Q148" t="s">
        <v>28</v>
      </c>
      <c r="R148" t="s">
        <v>33</v>
      </c>
    </row>
    <row r="149" spans="1:18" x14ac:dyDescent="0.25">
      <c r="A149" t="s">
        <v>177</v>
      </c>
      <c r="B149">
        <v>69.5</v>
      </c>
      <c r="C149">
        <v>66.2</v>
      </c>
      <c r="D149">
        <v>68.7</v>
      </c>
      <c r="E149">
        <v>67.599999999999994</v>
      </c>
      <c r="F149">
        <v>54</v>
      </c>
      <c r="G149">
        <v>60.8</v>
      </c>
      <c r="H149" t="s">
        <v>19</v>
      </c>
      <c r="I149">
        <v>3</v>
      </c>
      <c r="J149" t="s">
        <v>38</v>
      </c>
      <c r="K149">
        <v>75.8</v>
      </c>
      <c r="L149">
        <v>182</v>
      </c>
      <c r="M149">
        <v>84.5</v>
      </c>
      <c r="N149">
        <v>6.9</v>
      </c>
      <c r="O149">
        <v>4.8</v>
      </c>
      <c r="P149">
        <v>6</v>
      </c>
      <c r="Q149" t="s">
        <v>28</v>
      </c>
      <c r="R149" t="s">
        <v>33</v>
      </c>
    </row>
    <row r="150" spans="1:18" x14ac:dyDescent="0.25">
      <c r="A150" t="s">
        <v>178</v>
      </c>
      <c r="B150">
        <v>50.7</v>
      </c>
      <c r="C150">
        <v>48.3</v>
      </c>
      <c r="D150">
        <v>50.7</v>
      </c>
      <c r="E150">
        <v>42.8</v>
      </c>
      <c r="F150">
        <v>57.8</v>
      </c>
      <c r="G150">
        <v>50.3</v>
      </c>
      <c r="H150" t="s">
        <v>19</v>
      </c>
      <c r="I150">
        <v>4</v>
      </c>
      <c r="J150" t="s">
        <v>38</v>
      </c>
      <c r="K150">
        <v>63.4</v>
      </c>
      <c r="L150">
        <v>152</v>
      </c>
      <c r="M150">
        <v>90.9</v>
      </c>
      <c r="N150">
        <v>8.1</v>
      </c>
      <c r="O150">
        <v>1.5</v>
      </c>
      <c r="P150">
        <v>1</v>
      </c>
      <c r="Q150" t="s">
        <v>25</v>
      </c>
      <c r="R150" t="s">
        <v>22</v>
      </c>
    </row>
    <row r="151" spans="1:18" x14ac:dyDescent="0.25">
      <c r="A151" t="s">
        <v>179</v>
      </c>
      <c r="B151">
        <v>55</v>
      </c>
      <c r="C151">
        <v>65.099999999999994</v>
      </c>
      <c r="D151">
        <v>60.3</v>
      </c>
      <c r="E151">
        <v>55.3</v>
      </c>
      <c r="F151">
        <v>60.4</v>
      </c>
      <c r="G151">
        <v>57.85</v>
      </c>
      <c r="H151" t="s">
        <v>19</v>
      </c>
      <c r="I151">
        <v>4</v>
      </c>
      <c r="J151" t="s">
        <v>24</v>
      </c>
      <c r="K151">
        <v>65.5</v>
      </c>
      <c r="L151">
        <v>157</v>
      </c>
      <c r="M151">
        <v>92.3</v>
      </c>
      <c r="N151">
        <v>6.1</v>
      </c>
      <c r="O151">
        <v>3.6</v>
      </c>
      <c r="P151">
        <v>4</v>
      </c>
      <c r="Q151" t="s">
        <v>28</v>
      </c>
      <c r="R151" t="s">
        <v>33</v>
      </c>
    </row>
    <row r="152" spans="1:18" x14ac:dyDescent="0.25">
      <c r="A152" t="s">
        <v>180</v>
      </c>
      <c r="B152">
        <v>87.2</v>
      </c>
      <c r="C152">
        <v>83.8</v>
      </c>
      <c r="D152">
        <v>94.3</v>
      </c>
      <c r="E152">
        <v>90</v>
      </c>
      <c r="F152">
        <v>82.2</v>
      </c>
      <c r="G152">
        <v>86.1</v>
      </c>
      <c r="H152" t="s">
        <v>19</v>
      </c>
      <c r="I152">
        <v>2</v>
      </c>
      <c r="J152" t="s">
        <v>20</v>
      </c>
      <c r="K152">
        <v>87.2</v>
      </c>
      <c r="L152">
        <v>209</v>
      </c>
      <c r="M152">
        <v>85.6</v>
      </c>
      <c r="N152">
        <v>7.4</v>
      </c>
      <c r="O152">
        <v>2.2000000000000002</v>
      </c>
      <c r="P152">
        <v>3</v>
      </c>
      <c r="Q152" t="s">
        <v>25</v>
      </c>
      <c r="R152" t="s">
        <v>26</v>
      </c>
    </row>
    <row r="153" spans="1:18" x14ac:dyDescent="0.25">
      <c r="A153" t="s">
        <v>181</v>
      </c>
      <c r="B153">
        <v>62.6</v>
      </c>
      <c r="C153">
        <v>55.7</v>
      </c>
      <c r="D153">
        <v>50.9</v>
      </c>
      <c r="E153">
        <v>53.2</v>
      </c>
      <c r="F153">
        <v>69.5</v>
      </c>
      <c r="G153">
        <v>61.35</v>
      </c>
      <c r="H153" t="s">
        <v>19</v>
      </c>
      <c r="I153">
        <v>3</v>
      </c>
      <c r="J153" t="s">
        <v>20</v>
      </c>
      <c r="K153">
        <v>65.3</v>
      </c>
      <c r="L153">
        <v>157</v>
      </c>
      <c r="M153">
        <v>83.3</v>
      </c>
      <c r="N153">
        <v>7.7</v>
      </c>
      <c r="O153">
        <v>1.9</v>
      </c>
      <c r="P153">
        <v>2</v>
      </c>
      <c r="Q153" t="s">
        <v>25</v>
      </c>
      <c r="R153" t="s">
        <v>22</v>
      </c>
    </row>
    <row r="154" spans="1:18" x14ac:dyDescent="0.25">
      <c r="A154" t="s">
        <v>182</v>
      </c>
      <c r="B154">
        <v>40.700000000000003</v>
      </c>
      <c r="C154">
        <v>45.6</v>
      </c>
      <c r="D154">
        <v>43.5</v>
      </c>
      <c r="E154">
        <v>48</v>
      </c>
      <c r="F154">
        <v>56.9</v>
      </c>
      <c r="G154">
        <v>52.45</v>
      </c>
      <c r="H154" t="s">
        <v>19</v>
      </c>
      <c r="I154">
        <v>4</v>
      </c>
      <c r="J154" t="s">
        <v>24</v>
      </c>
      <c r="K154">
        <v>66.8</v>
      </c>
      <c r="L154">
        <v>160</v>
      </c>
      <c r="M154">
        <v>97.6</v>
      </c>
      <c r="N154">
        <v>6.4</v>
      </c>
      <c r="O154">
        <v>5.0999999999999996</v>
      </c>
      <c r="P154">
        <v>5</v>
      </c>
      <c r="Q154" t="s">
        <v>28</v>
      </c>
      <c r="R154" t="s">
        <v>33</v>
      </c>
    </row>
    <row r="155" spans="1:18" x14ac:dyDescent="0.25">
      <c r="A155" t="s">
        <v>183</v>
      </c>
      <c r="B155">
        <v>55.9</v>
      </c>
      <c r="C155">
        <v>66.400000000000006</v>
      </c>
      <c r="D155">
        <v>71.7</v>
      </c>
      <c r="E155">
        <v>66.900000000000006</v>
      </c>
      <c r="F155">
        <v>62.1</v>
      </c>
      <c r="G155">
        <v>64.5</v>
      </c>
      <c r="H155" t="s">
        <v>19</v>
      </c>
      <c r="I155">
        <v>3</v>
      </c>
      <c r="J155" t="s">
        <v>20</v>
      </c>
      <c r="K155">
        <v>63.9</v>
      </c>
      <c r="L155">
        <v>153</v>
      </c>
      <c r="M155">
        <v>75.099999999999994</v>
      </c>
      <c r="N155">
        <v>7.1</v>
      </c>
      <c r="O155">
        <v>1.7</v>
      </c>
      <c r="P155">
        <v>6</v>
      </c>
      <c r="Q155" t="s">
        <v>28</v>
      </c>
      <c r="R155" t="s">
        <v>33</v>
      </c>
    </row>
    <row r="156" spans="1:18" x14ac:dyDescent="0.25">
      <c r="A156" t="s">
        <v>184</v>
      </c>
      <c r="B156">
        <v>96.4</v>
      </c>
      <c r="C156">
        <v>107.4</v>
      </c>
      <c r="D156">
        <v>98.6</v>
      </c>
      <c r="E156">
        <v>94.2</v>
      </c>
      <c r="F156">
        <v>100</v>
      </c>
      <c r="G156">
        <v>97.1</v>
      </c>
      <c r="H156" t="s">
        <v>19</v>
      </c>
      <c r="I156">
        <v>4</v>
      </c>
      <c r="J156" t="s">
        <v>24</v>
      </c>
      <c r="K156">
        <v>84.9</v>
      </c>
      <c r="L156">
        <v>204</v>
      </c>
      <c r="M156">
        <v>96.8</v>
      </c>
      <c r="N156">
        <v>7.5</v>
      </c>
      <c r="O156">
        <v>3.3</v>
      </c>
      <c r="P156">
        <v>6</v>
      </c>
      <c r="Q156" t="s">
        <v>28</v>
      </c>
      <c r="R156" t="s">
        <v>33</v>
      </c>
    </row>
    <row r="157" spans="1:18" x14ac:dyDescent="0.25">
      <c r="A157" t="s">
        <v>185</v>
      </c>
      <c r="B157">
        <v>50.8</v>
      </c>
      <c r="C157">
        <v>45.8</v>
      </c>
      <c r="D157">
        <v>60.7</v>
      </c>
      <c r="E157">
        <v>53.3</v>
      </c>
      <c r="F157">
        <v>63.4</v>
      </c>
      <c r="G157">
        <v>58.35</v>
      </c>
      <c r="H157" t="s">
        <v>19</v>
      </c>
      <c r="I157">
        <v>5</v>
      </c>
      <c r="J157" t="s">
        <v>24</v>
      </c>
      <c r="K157">
        <v>75.3</v>
      </c>
      <c r="L157">
        <v>181</v>
      </c>
      <c r="M157">
        <v>100.2</v>
      </c>
      <c r="N157">
        <v>6.1</v>
      </c>
      <c r="O157">
        <v>5.7</v>
      </c>
      <c r="P157">
        <v>7</v>
      </c>
      <c r="Q157" t="s">
        <v>21</v>
      </c>
      <c r="R157" t="s">
        <v>22</v>
      </c>
    </row>
    <row r="158" spans="1:18" x14ac:dyDescent="0.25">
      <c r="A158" t="s">
        <v>186</v>
      </c>
      <c r="B158">
        <v>71.900000000000006</v>
      </c>
      <c r="C158">
        <v>78.2</v>
      </c>
      <c r="D158">
        <v>73.900000000000006</v>
      </c>
      <c r="E158">
        <v>77</v>
      </c>
      <c r="F158">
        <v>77.599999999999994</v>
      </c>
      <c r="G158">
        <v>77.3</v>
      </c>
      <c r="H158" t="s">
        <v>19</v>
      </c>
      <c r="I158">
        <v>4</v>
      </c>
      <c r="J158" t="s">
        <v>38</v>
      </c>
      <c r="K158">
        <v>74.599999999999994</v>
      </c>
      <c r="L158">
        <v>179</v>
      </c>
      <c r="M158">
        <v>85.1</v>
      </c>
      <c r="N158">
        <v>6.7</v>
      </c>
      <c r="O158">
        <v>1.9</v>
      </c>
      <c r="P158">
        <v>5</v>
      </c>
      <c r="Q158" t="s">
        <v>28</v>
      </c>
      <c r="R158" t="s">
        <v>26</v>
      </c>
    </row>
    <row r="159" spans="1:18" x14ac:dyDescent="0.25">
      <c r="A159" t="s">
        <v>187</v>
      </c>
      <c r="B159">
        <v>85.4</v>
      </c>
      <c r="C159">
        <v>84.2</v>
      </c>
      <c r="D159">
        <v>80.7</v>
      </c>
      <c r="E159">
        <v>81.900000000000006</v>
      </c>
      <c r="F159">
        <v>70.099999999999994</v>
      </c>
      <c r="G159">
        <v>76</v>
      </c>
      <c r="H159" t="s">
        <v>19</v>
      </c>
      <c r="I159">
        <v>4</v>
      </c>
      <c r="J159" t="s">
        <v>38</v>
      </c>
      <c r="K159">
        <v>77.900000000000006</v>
      </c>
      <c r="L159">
        <v>187</v>
      </c>
      <c r="M159">
        <v>88.1</v>
      </c>
      <c r="N159">
        <v>5.2</v>
      </c>
      <c r="O159">
        <v>5.9</v>
      </c>
      <c r="P159">
        <v>7</v>
      </c>
      <c r="Q159" t="s">
        <v>21</v>
      </c>
      <c r="R159" t="s">
        <v>26</v>
      </c>
    </row>
    <row r="160" spans="1:18" x14ac:dyDescent="0.25">
      <c r="A160" t="s">
        <v>188</v>
      </c>
      <c r="B160">
        <v>54.3</v>
      </c>
      <c r="C160">
        <v>58.5</v>
      </c>
      <c r="D160">
        <v>44.9</v>
      </c>
      <c r="E160">
        <v>53.1</v>
      </c>
      <c r="F160">
        <v>60.7</v>
      </c>
      <c r="G160">
        <v>56.9</v>
      </c>
      <c r="H160" t="s">
        <v>19</v>
      </c>
      <c r="I160">
        <v>4</v>
      </c>
      <c r="J160" t="s">
        <v>24</v>
      </c>
      <c r="K160">
        <v>64.3</v>
      </c>
      <c r="L160">
        <v>154</v>
      </c>
      <c r="M160">
        <v>91.8</v>
      </c>
      <c r="N160">
        <v>6.8</v>
      </c>
      <c r="O160">
        <v>6</v>
      </c>
      <c r="P160">
        <v>4</v>
      </c>
      <c r="Q160" t="s">
        <v>28</v>
      </c>
      <c r="R160" t="s">
        <v>22</v>
      </c>
    </row>
    <row r="161" spans="1:18" x14ac:dyDescent="0.25">
      <c r="A161" t="s">
        <v>189</v>
      </c>
      <c r="B161">
        <v>77.2</v>
      </c>
      <c r="C161">
        <v>80.5</v>
      </c>
      <c r="D161">
        <v>78.099999999999994</v>
      </c>
      <c r="E161">
        <v>80.099999999999994</v>
      </c>
      <c r="F161">
        <v>80</v>
      </c>
      <c r="G161">
        <v>80.05</v>
      </c>
      <c r="H161" t="s">
        <v>19</v>
      </c>
      <c r="I161">
        <v>4</v>
      </c>
      <c r="J161" t="s">
        <v>24</v>
      </c>
      <c r="K161">
        <v>74</v>
      </c>
      <c r="L161">
        <v>178</v>
      </c>
      <c r="M161">
        <v>77.900000000000006</v>
      </c>
      <c r="N161">
        <v>7.2</v>
      </c>
      <c r="O161">
        <v>3.8</v>
      </c>
      <c r="P161">
        <v>5</v>
      </c>
      <c r="Q161" t="s">
        <v>28</v>
      </c>
      <c r="R161" t="s">
        <v>33</v>
      </c>
    </row>
    <row r="162" spans="1:18" x14ac:dyDescent="0.25">
      <c r="A162" t="s">
        <v>190</v>
      </c>
      <c r="B162">
        <v>53.8</v>
      </c>
      <c r="C162">
        <v>61.8</v>
      </c>
      <c r="D162">
        <v>65.2</v>
      </c>
      <c r="E162">
        <v>60.2</v>
      </c>
      <c r="F162">
        <v>68.2</v>
      </c>
      <c r="G162">
        <v>64.2</v>
      </c>
      <c r="H162" t="s">
        <v>19</v>
      </c>
      <c r="I162">
        <v>3</v>
      </c>
      <c r="J162" t="s">
        <v>20</v>
      </c>
      <c r="K162">
        <v>59.1</v>
      </c>
      <c r="L162">
        <v>142</v>
      </c>
      <c r="M162">
        <v>76.900000000000006</v>
      </c>
      <c r="N162">
        <v>7.5</v>
      </c>
      <c r="O162">
        <v>1.9</v>
      </c>
      <c r="P162">
        <v>1</v>
      </c>
      <c r="Q162" t="s">
        <v>25</v>
      </c>
      <c r="R162" t="s">
        <v>22</v>
      </c>
    </row>
    <row r="163" spans="1:18" x14ac:dyDescent="0.25">
      <c r="A163" t="s">
        <v>191</v>
      </c>
      <c r="B163">
        <v>79.099999999999994</v>
      </c>
      <c r="C163">
        <v>72.8</v>
      </c>
      <c r="D163">
        <v>72.400000000000006</v>
      </c>
      <c r="E163">
        <v>74.8</v>
      </c>
      <c r="F163">
        <v>76.8</v>
      </c>
      <c r="G163">
        <v>75.8</v>
      </c>
      <c r="H163" t="s">
        <v>19</v>
      </c>
      <c r="I163">
        <v>1</v>
      </c>
      <c r="J163" t="s">
        <v>20</v>
      </c>
      <c r="K163">
        <v>76.2</v>
      </c>
      <c r="L163">
        <v>183</v>
      </c>
      <c r="M163">
        <v>59.6</v>
      </c>
      <c r="N163">
        <v>7</v>
      </c>
      <c r="O163">
        <v>2.6</v>
      </c>
      <c r="P163">
        <v>4</v>
      </c>
      <c r="Q163" t="s">
        <v>28</v>
      </c>
      <c r="R163" t="s">
        <v>22</v>
      </c>
    </row>
    <row r="164" spans="1:18" x14ac:dyDescent="0.25">
      <c r="A164" t="s">
        <v>192</v>
      </c>
      <c r="B164">
        <v>78.099999999999994</v>
      </c>
      <c r="C164">
        <v>76.2</v>
      </c>
      <c r="D164">
        <v>78</v>
      </c>
      <c r="E164">
        <v>74.8</v>
      </c>
      <c r="F164">
        <v>72.3</v>
      </c>
      <c r="G164">
        <v>73.55</v>
      </c>
      <c r="H164" t="s">
        <v>19</v>
      </c>
      <c r="I164">
        <v>3</v>
      </c>
      <c r="J164" t="s">
        <v>20</v>
      </c>
      <c r="K164">
        <v>78.099999999999994</v>
      </c>
      <c r="L164">
        <v>187</v>
      </c>
      <c r="M164">
        <v>84</v>
      </c>
      <c r="N164">
        <v>6.8</v>
      </c>
      <c r="O164">
        <v>3.1</v>
      </c>
      <c r="P164">
        <v>6</v>
      </c>
      <c r="Q164" t="s">
        <v>28</v>
      </c>
      <c r="R164" t="s">
        <v>33</v>
      </c>
    </row>
    <row r="165" spans="1:18" x14ac:dyDescent="0.25">
      <c r="A165" t="s">
        <v>193</v>
      </c>
      <c r="B165">
        <v>69</v>
      </c>
      <c r="C165">
        <v>67.8</v>
      </c>
      <c r="D165">
        <v>68.5</v>
      </c>
      <c r="E165">
        <v>69.5</v>
      </c>
      <c r="F165">
        <v>70</v>
      </c>
      <c r="G165">
        <v>69.75</v>
      </c>
      <c r="H165" t="s">
        <v>19</v>
      </c>
      <c r="I165">
        <v>4</v>
      </c>
      <c r="J165" t="s">
        <v>38</v>
      </c>
      <c r="K165">
        <v>74.5</v>
      </c>
      <c r="L165">
        <v>179</v>
      </c>
      <c r="M165">
        <v>87</v>
      </c>
      <c r="N165">
        <v>6.7</v>
      </c>
      <c r="O165">
        <v>2.5</v>
      </c>
      <c r="P165">
        <v>3</v>
      </c>
      <c r="Q165" t="s">
        <v>28</v>
      </c>
      <c r="R165" t="s">
        <v>22</v>
      </c>
    </row>
    <row r="166" spans="1:18" x14ac:dyDescent="0.25">
      <c r="A166" t="s">
        <v>194</v>
      </c>
      <c r="B166">
        <v>54.2</v>
      </c>
      <c r="C166">
        <v>48.1</v>
      </c>
      <c r="D166">
        <v>46.6</v>
      </c>
      <c r="E166">
        <v>45</v>
      </c>
      <c r="F166">
        <v>56.8</v>
      </c>
      <c r="G166">
        <v>50.9</v>
      </c>
      <c r="H166" t="s">
        <v>19</v>
      </c>
      <c r="I166">
        <v>3</v>
      </c>
      <c r="J166" t="s">
        <v>20</v>
      </c>
      <c r="K166">
        <v>61.8</v>
      </c>
      <c r="L166">
        <v>148</v>
      </c>
      <c r="M166">
        <v>72.099999999999994</v>
      </c>
      <c r="N166">
        <v>7.1</v>
      </c>
      <c r="O166">
        <v>2.4</v>
      </c>
      <c r="P166">
        <v>1</v>
      </c>
      <c r="Q166" t="s">
        <v>25</v>
      </c>
      <c r="R166" t="s">
        <v>26</v>
      </c>
    </row>
    <row r="167" spans="1:18" x14ac:dyDescent="0.25">
      <c r="A167" t="s">
        <v>195</v>
      </c>
      <c r="B167">
        <v>80.599999999999994</v>
      </c>
      <c r="C167">
        <v>84.1</v>
      </c>
      <c r="D167">
        <v>80.2</v>
      </c>
      <c r="E167">
        <v>85.9</v>
      </c>
      <c r="F167">
        <v>100</v>
      </c>
      <c r="G167">
        <v>92.95</v>
      </c>
      <c r="H167" t="s">
        <v>19</v>
      </c>
      <c r="I167">
        <v>4</v>
      </c>
      <c r="J167" t="s">
        <v>38</v>
      </c>
      <c r="K167">
        <v>83.2</v>
      </c>
      <c r="L167">
        <v>200</v>
      </c>
      <c r="M167">
        <v>89.7</v>
      </c>
      <c r="N167">
        <v>5.2</v>
      </c>
      <c r="O167">
        <v>5.9</v>
      </c>
      <c r="P167">
        <v>1</v>
      </c>
      <c r="Q167" t="s">
        <v>25</v>
      </c>
      <c r="R167" t="s">
        <v>22</v>
      </c>
    </row>
    <row r="168" spans="1:18" x14ac:dyDescent="0.25">
      <c r="A168" t="s">
        <v>196</v>
      </c>
      <c r="B168">
        <v>50</v>
      </c>
      <c r="C168">
        <v>59.5</v>
      </c>
      <c r="D168">
        <v>58.1</v>
      </c>
      <c r="E168">
        <v>57.6</v>
      </c>
      <c r="F168">
        <v>54.1</v>
      </c>
      <c r="G168">
        <v>55.85</v>
      </c>
      <c r="H168" t="s">
        <v>19</v>
      </c>
      <c r="I168">
        <v>2</v>
      </c>
      <c r="J168" t="s">
        <v>20</v>
      </c>
      <c r="K168">
        <v>73.900000000000006</v>
      </c>
      <c r="L168">
        <v>177</v>
      </c>
      <c r="M168">
        <v>69</v>
      </c>
      <c r="N168">
        <v>7.1</v>
      </c>
      <c r="O168">
        <v>1.8</v>
      </c>
      <c r="P168">
        <v>7</v>
      </c>
      <c r="Q168" t="s">
        <v>21</v>
      </c>
      <c r="R168" t="s">
        <v>33</v>
      </c>
    </row>
    <row r="169" spans="1:18" x14ac:dyDescent="0.25">
      <c r="A169" t="s">
        <v>197</v>
      </c>
      <c r="B169">
        <v>46.8</v>
      </c>
      <c r="C169">
        <v>50.1</v>
      </c>
      <c r="D169">
        <v>35.299999999999997</v>
      </c>
      <c r="E169">
        <v>50.3</v>
      </c>
      <c r="F169">
        <v>49.2</v>
      </c>
      <c r="G169">
        <v>49.75</v>
      </c>
      <c r="H169" t="s">
        <v>32</v>
      </c>
      <c r="I169">
        <v>4</v>
      </c>
      <c r="J169" t="s">
        <v>38</v>
      </c>
      <c r="K169">
        <v>64.2</v>
      </c>
      <c r="L169">
        <v>154</v>
      </c>
      <c r="M169">
        <v>87.8</v>
      </c>
      <c r="N169">
        <v>6.4</v>
      </c>
      <c r="O169">
        <v>4.7</v>
      </c>
      <c r="P169">
        <v>2</v>
      </c>
      <c r="Q169" t="s">
        <v>25</v>
      </c>
      <c r="R169" t="s">
        <v>22</v>
      </c>
    </row>
    <row r="170" spans="1:18" x14ac:dyDescent="0.25">
      <c r="A170" t="s">
        <v>198</v>
      </c>
      <c r="B170">
        <v>42</v>
      </c>
      <c r="C170">
        <v>47.9</v>
      </c>
      <c r="D170">
        <v>41.3</v>
      </c>
      <c r="E170">
        <v>42.2</v>
      </c>
      <c r="F170">
        <v>49.5</v>
      </c>
      <c r="G170">
        <v>45.85</v>
      </c>
      <c r="H170" t="s">
        <v>32</v>
      </c>
      <c r="I170">
        <v>2</v>
      </c>
      <c r="J170" t="s">
        <v>20</v>
      </c>
      <c r="K170">
        <v>58.3</v>
      </c>
      <c r="L170">
        <v>140</v>
      </c>
      <c r="M170">
        <v>68.900000000000006</v>
      </c>
      <c r="N170">
        <v>8</v>
      </c>
      <c r="O170">
        <v>1</v>
      </c>
      <c r="P170">
        <v>2</v>
      </c>
      <c r="Q170" t="s">
        <v>25</v>
      </c>
      <c r="R170" t="s">
        <v>26</v>
      </c>
    </row>
    <row r="171" spans="1:18" x14ac:dyDescent="0.25">
      <c r="A171" t="s">
        <v>199</v>
      </c>
      <c r="B171">
        <v>73.7</v>
      </c>
      <c r="C171">
        <v>72.2</v>
      </c>
      <c r="D171">
        <v>64.3</v>
      </c>
      <c r="E171">
        <v>72.5</v>
      </c>
      <c r="F171">
        <v>73.8</v>
      </c>
      <c r="G171">
        <v>73.150000000000006</v>
      </c>
      <c r="H171" t="s">
        <v>19</v>
      </c>
      <c r="I171">
        <v>4</v>
      </c>
      <c r="J171" t="s">
        <v>38</v>
      </c>
      <c r="K171">
        <v>74.8</v>
      </c>
      <c r="L171">
        <v>180</v>
      </c>
      <c r="M171">
        <v>94.8</v>
      </c>
      <c r="N171">
        <v>6.8</v>
      </c>
      <c r="O171">
        <v>4</v>
      </c>
      <c r="P171">
        <v>1</v>
      </c>
      <c r="Q171" t="s">
        <v>25</v>
      </c>
      <c r="R171" t="s">
        <v>22</v>
      </c>
    </row>
    <row r="172" spans="1:18" x14ac:dyDescent="0.25">
      <c r="A172" t="s">
        <v>200</v>
      </c>
      <c r="B172">
        <v>76.099999999999994</v>
      </c>
      <c r="C172">
        <v>68.400000000000006</v>
      </c>
      <c r="D172">
        <v>83.3</v>
      </c>
      <c r="E172">
        <v>77.3</v>
      </c>
      <c r="F172">
        <v>84.7</v>
      </c>
      <c r="G172">
        <v>81</v>
      </c>
      <c r="H172" t="s">
        <v>19</v>
      </c>
      <c r="I172">
        <v>3</v>
      </c>
      <c r="J172" t="s">
        <v>38</v>
      </c>
      <c r="K172">
        <v>81.5</v>
      </c>
      <c r="L172">
        <v>196</v>
      </c>
      <c r="M172">
        <v>77.900000000000006</v>
      </c>
      <c r="N172">
        <v>6.7</v>
      </c>
      <c r="O172">
        <v>5.6</v>
      </c>
      <c r="P172">
        <v>2</v>
      </c>
      <c r="Q172" t="s">
        <v>25</v>
      </c>
      <c r="R172" t="s">
        <v>22</v>
      </c>
    </row>
    <row r="173" spans="1:18" x14ac:dyDescent="0.25">
      <c r="A173" t="s">
        <v>201</v>
      </c>
      <c r="B173">
        <v>42.7</v>
      </c>
      <c r="C173">
        <v>47.2</v>
      </c>
      <c r="D173">
        <v>44.8</v>
      </c>
      <c r="E173">
        <v>40.9</v>
      </c>
      <c r="F173">
        <v>45.5</v>
      </c>
      <c r="G173">
        <v>43.2</v>
      </c>
      <c r="H173" t="s">
        <v>32</v>
      </c>
      <c r="I173">
        <v>2</v>
      </c>
      <c r="J173" t="s">
        <v>20</v>
      </c>
      <c r="K173">
        <v>67.5</v>
      </c>
      <c r="L173">
        <v>162</v>
      </c>
      <c r="M173">
        <v>68.3</v>
      </c>
      <c r="N173">
        <v>7.9</v>
      </c>
      <c r="O173">
        <v>2.4</v>
      </c>
      <c r="P173">
        <v>1</v>
      </c>
      <c r="Q173" t="s">
        <v>25</v>
      </c>
      <c r="R173" t="s">
        <v>22</v>
      </c>
    </row>
    <row r="174" spans="1:18" x14ac:dyDescent="0.25">
      <c r="A174" t="s">
        <v>202</v>
      </c>
      <c r="B174">
        <v>61.9</v>
      </c>
      <c r="C174">
        <v>63.6</v>
      </c>
      <c r="D174">
        <v>70.5</v>
      </c>
      <c r="E174">
        <v>68.2</v>
      </c>
      <c r="F174">
        <v>65.099999999999994</v>
      </c>
      <c r="G174">
        <v>66.650000000000006</v>
      </c>
      <c r="H174" t="s">
        <v>19</v>
      </c>
      <c r="I174">
        <v>2</v>
      </c>
      <c r="J174" t="s">
        <v>20</v>
      </c>
      <c r="K174">
        <v>70.900000000000006</v>
      </c>
      <c r="L174">
        <v>170</v>
      </c>
      <c r="M174">
        <v>64.900000000000006</v>
      </c>
      <c r="N174">
        <v>8</v>
      </c>
      <c r="O174">
        <v>1.9</v>
      </c>
      <c r="P174">
        <v>1</v>
      </c>
      <c r="Q174" t="s">
        <v>25</v>
      </c>
      <c r="R174" t="s">
        <v>22</v>
      </c>
    </row>
    <row r="175" spans="1:18" x14ac:dyDescent="0.25">
      <c r="A175" t="s">
        <v>203</v>
      </c>
      <c r="B175">
        <v>59.7</v>
      </c>
      <c r="C175">
        <v>49.2</v>
      </c>
      <c r="D175">
        <v>60.1</v>
      </c>
      <c r="E175">
        <v>52.5</v>
      </c>
      <c r="F175">
        <v>68.8</v>
      </c>
      <c r="G175">
        <v>60.65</v>
      </c>
      <c r="H175" t="s">
        <v>19</v>
      </c>
      <c r="I175">
        <v>4</v>
      </c>
      <c r="J175" t="s">
        <v>38</v>
      </c>
      <c r="K175">
        <v>66.7</v>
      </c>
      <c r="L175">
        <v>160</v>
      </c>
      <c r="M175">
        <v>93.5</v>
      </c>
      <c r="N175">
        <v>7</v>
      </c>
      <c r="O175">
        <v>4.3</v>
      </c>
      <c r="P175">
        <v>1</v>
      </c>
      <c r="Q175" t="s">
        <v>25</v>
      </c>
      <c r="R175" t="s">
        <v>33</v>
      </c>
    </row>
    <row r="176" spans="1:18" x14ac:dyDescent="0.25">
      <c r="A176" t="s">
        <v>204</v>
      </c>
      <c r="B176">
        <v>75.099999999999994</v>
      </c>
      <c r="C176">
        <v>72.5</v>
      </c>
      <c r="D176">
        <v>70.7</v>
      </c>
      <c r="E176">
        <v>75.5</v>
      </c>
      <c r="F176">
        <v>80.599999999999994</v>
      </c>
      <c r="G176">
        <v>78.05</v>
      </c>
      <c r="H176" t="s">
        <v>19</v>
      </c>
      <c r="I176">
        <v>3</v>
      </c>
      <c r="J176" t="s">
        <v>20</v>
      </c>
      <c r="K176">
        <v>79.400000000000006</v>
      </c>
      <c r="L176">
        <v>191</v>
      </c>
      <c r="M176">
        <v>81.900000000000006</v>
      </c>
      <c r="N176">
        <v>6.6</v>
      </c>
      <c r="O176">
        <v>4.5999999999999996</v>
      </c>
      <c r="P176">
        <v>4</v>
      </c>
      <c r="Q176" t="s">
        <v>28</v>
      </c>
      <c r="R176" t="s">
        <v>26</v>
      </c>
    </row>
    <row r="177" spans="1:18" x14ac:dyDescent="0.25">
      <c r="A177" t="s">
        <v>205</v>
      </c>
      <c r="B177">
        <v>55.2</v>
      </c>
      <c r="C177">
        <v>56.5</v>
      </c>
      <c r="D177">
        <v>58.3</v>
      </c>
      <c r="E177">
        <v>49.6</v>
      </c>
      <c r="F177">
        <v>59.6</v>
      </c>
      <c r="G177">
        <v>54.6</v>
      </c>
      <c r="H177" t="s">
        <v>19</v>
      </c>
      <c r="I177">
        <v>2</v>
      </c>
      <c r="J177" t="s">
        <v>20</v>
      </c>
      <c r="K177">
        <v>59.8</v>
      </c>
      <c r="L177">
        <v>144</v>
      </c>
      <c r="M177">
        <v>71.099999999999994</v>
      </c>
      <c r="N177">
        <v>6.2</v>
      </c>
      <c r="O177">
        <v>4.4000000000000004</v>
      </c>
      <c r="P177">
        <v>1</v>
      </c>
      <c r="Q177" t="s">
        <v>25</v>
      </c>
      <c r="R177" t="s">
        <v>26</v>
      </c>
    </row>
    <row r="178" spans="1:18" x14ac:dyDescent="0.25">
      <c r="A178" t="s">
        <v>206</v>
      </c>
      <c r="B178">
        <v>79.7</v>
      </c>
      <c r="C178">
        <v>67.3</v>
      </c>
      <c r="D178">
        <v>82.7</v>
      </c>
      <c r="E178">
        <v>78</v>
      </c>
      <c r="F178">
        <v>84.6</v>
      </c>
      <c r="G178">
        <v>81.3</v>
      </c>
      <c r="H178" t="s">
        <v>19</v>
      </c>
      <c r="I178">
        <v>5</v>
      </c>
      <c r="J178" t="s">
        <v>24</v>
      </c>
      <c r="K178">
        <v>79.099999999999994</v>
      </c>
      <c r="L178">
        <v>190</v>
      </c>
      <c r="M178">
        <v>98.7</v>
      </c>
      <c r="N178">
        <v>7.6</v>
      </c>
      <c r="O178">
        <v>2.6</v>
      </c>
      <c r="P178">
        <v>1</v>
      </c>
      <c r="Q178" t="s">
        <v>25</v>
      </c>
      <c r="R178" t="s">
        <v>26</v>
      </c>
    </row>
    <row r="179" spans="1:18" x14ac:dyDescent="0.25">
      <c r="A179" t="s">
        <v>207</v>
      </c>
      <c r="B179">
        <v>63.6</v>
      </c>
      <c r="C179">
        <v>77</v>
      </c>
      <c r="D179">
        <v>60.1</v>
      </c>
      <c r="E179">
        <v>61.3</v>
      </c>
      <c r="F179">
        <v>67.400000000000006</v>
      </c>
      <c r="G179">
        <v>64.349999999999994</v>
      </c>
      <c r="H179" t="s">
        <v>19</v>
      </c>
      <c r="I179">
        <v>4</v>
      </c>
      <c r="J179" t="s">
        <v>38</v>
      </c>
      <c r="K179">
        <v>63.3</v>
      </c>
      <c r="L179">
        <v>152</v>
      </c>
      <c r="M179">
        <v>90.7</v>
      </c>
      <c r="N179">
        <v>8.1999999999999993</v>
      </c>
      <c r="O179">
        <v>2.2999999999999998</v>
      </c>
      <c r="P179">
        <v>5</v>
      </c>
      <c r="Q179" t="s">
        <v>28</v>
      </c>
      <c r="R179" t="s">
        <v>22</v>
      </c>
    </row>
    <row r="180" spans="1:18" x14ac:dyDescent="0.25">
      <c r="A180" t="s">
        <v>208</v>
      </c>
      <c r="B180">
        <v>94.4</v>
      </c>
      <c r="C180">
        <v>96.8</v>
      </c>
      <c r="D180">
        <v>97.2</v>
      </c>
      <c r="E180">
        <v>91.5</v>
      </c>
      <c r="F180">
        <v>100</v>
      </c>
      <c r="G180">
        <v>95.75</v>
      </c>
      <c r="H180" t="s">
        <v>19</v>
      </c>
      <c r="I180">
        <v>5</v>
      </c>
      <c r="J180" t="s">
        <v>24</v>
      </c>
      <c r="K180">
        <v>76.900000000000006</v>
      </c>
      <c r="L180">
        <v>185</v>
      </c>
      <c r="M180">
        <v>106.3</v>
      </c>
      <c r="N180">
        <v>6.4</v>
      </c>
      <c r="O180">
        <v>5.8</v>
      </c>
      <c r="P180">
        <v>1</v>
      </c>
      <c r="Q180" t="s">
        <v>25</v>
      </c>
      <c r="R180" t="s">
        <v>26</v>
      </c>
    </row>
    <row r="181" spans="1:18" x14ac:dyDescent="0.25">
      <c r="A181" t="s">
        <v>209</v>
      </c>
      <c r="B181">
        <v>49.8</v>
      </c>
      <c r="C181">
        <v>48.7</v>
      </c>
      <c r="D181">
        <v>42</v>
      </c>
      <c r="E181">
        <v>47.6</v>
      </c>
      <c r="F181">
        <v>55.4</v>
      </c>
      <c r="G181">
        <v>51.5</v>
      </c>
      <c r="H181" t="s">
        <v>19</v>
      </c>
      <c r="I181">
        <v>3</v>
      </c>
      <c r="J181" t="s">
        <v>20</v>
      </c>
      <c r="K181">
        <v>65.599999999999994</v>
      </c>
      <c r="L181">
        <v>157</v>
      </c>
      <c r="M181">
        <v>75.7</v>
      </c>
      <c r="N181">
        <v>7.3</v>
      </c>
      <c r="O181">
        <v>5.6</v>
      </c>
      <c r="P181">
        <v>5</v>
      </c>
      <c r="Q181" t="s">
        <v>28</v>
      </c>
      <c r="R181" t="s">
        <v>33</v>
      </c>
    </row>
    <row r="182" spans="1:18" x14ac:dyDescent="0.25">
      <c r="A182" t="s">
        <v>210</v>
      </c>
      <c r="B182">
        <v>62</v>
      </c>
      <c r="C182">
        <v>58.5</v>
      </c>
      <c r="D182">
        <v>54.6</v>
      </c>
      <c r="E182">
        <v>58.8</v>
      </c>
      <c r="F182">
        <v>70.3</v>
      </c>
      <c r="G182">
        <v>64.55</v>
      </c>
      <c r="H182" t="s">
        <v>19</v>
      </c>
      <c r="I182">
        <v>3</v>
      </c>
      <c r="J182" t="s">
        <v>20</v>
      </c>
      <c r="K182">
        <v>67.5</v>
      </c>
      <c r="L182">
        <v>162</v>
      </c>
      <c r="M182">
        <v>79.7</v>
      </c>
      <c r="N182">
        <v>6.3</v>
      </c>
      <c r="O182">
        <v>3.3</v>
      </c>
      <c r="P182">
        <v>2</v>
      </c>
      <c r="Q182" t="s">
        <v>25</v>
      </c>
      <c r="R182" t="s">
        <v>22</v>
      </c>
    </row>
    <row r="183" spans="1:18" x14ac:dyDescent="0.25">
      <c r="A183" t="s">
        <v>211</v>
      </c>
      <c r="B183">
        <v>52.9</v>
      </c>
      <c r="C183">
        <v>47.7</v>
      </c>
      <c r="D183">
        <v>43.2</v>
      </c>
      <c r="E183">
        <v>46.2</v>
      </c>
      <c r="F183">
        <v>64.8</v>
      </c>
      <c r="G183">
        <v>55.5</v>
      </c>
      <c r="H183" t="s">
        <v>19</v>
      </c>
      <c r="I183">
        <v>5</v>
      </c>
      <c r="J183" t="s">
        <v>24</v>
      </c>
      <c r="K183">
        <v>64.099999999999994</v>
      </c>
      <c r="L183">
        <v>154</v>
      </c>
      <c r="M183">
        <v>90.5</v>
      </c>
      <c r="N183">
        <v>5.9</v>
      </c>
      <c r="O183">
        <v>5.2</v>
      </c>
      <c r="P183">
        <v>1</v>
      </c>
      <c r="Q183" t="s">
        <v>25</v>
      </c>
      <c r="R183" t="s">
        <v>22</v>
      </c>
    </row>
    <row r="184" spans="1:18" x14ac:dyDescent="0.25">
      <c r="A184" t="s">
        <v>212</v>
      </c>
      <c r="B184">
        <v>91.8</v>
      </c>
      <c r="C184">
        <v>93.5</v>
      </c>
      <c r="D184">
        <v>88.2</v>
      </c>
      <c r="E184">
        <v>90.9</v>
      </c>
      <c r="F184">
        <v>90.7</v>
      </c>
      <c r="G184">
        <v>90.8</v>
      </c>
      <c r="H184" t="s">
        <v>19</v>
      </c>
      <c r="I184">
        <v>3</v>
      </c>
      <c r="J184" t="s">
        <v>38</v>
      </c>
      <c r="K184">
        <v>85.3</v>
      </c>
      <c r="L184">
        <v>205</v>
      </c>
      <c r="M184">
        <v>76.7</v>
      </c>
      <c r="N184">
        <v>7.4</v>
      </c>
      <c r="O184">
        <v>3.3</v>
      </c>
      <c r="P184">
        <v>4</v>
      </c>
      <c r="Q184" t="s">
        <v>28</v>
      </c>
      <c r="R184" t="s">
        <v>26</v>
      </c>
    </row>
    <row r="185" spans="1:18" x14ac:dyDescent="0.25">
      <c r="A185" t="s">
        <v>213</v>
      </c>
      <c r="B185">
        <v>91.8</v>
      </c>
      <c r="C185">
        <v>91.5</v>
      </c>
      <c r="D185">
        <v>83</v>
      </c>
      <c r="E185">
        <v>88.3</v>
      </c>
      <c r="F185">
        <v>93.9</v>
      </c>
      <c r="G185">
        <v>91.1</v>
      </c>
      <c r="H185" t="s">
        <v>19</v>
      </c>
      <c r="I185">
        <v>4</v>
      </c>
      <c r="J185" t="s">
        <v>38</v>
      </c>
      <c r="K185">
        <v>79.2</v>
      </c>
      <c r="L185">
        <v>190</v>
      </c>
      <c r="M185">
        <v>88.8</v>
      </c>
      <c r="N185">
        <v>7.2</v>
      </c>
      <c r="O185">
        <v>3.1</v>
      </c>
      <c r="P185">
        <v>1</v>
      </c>
      <c r="Q185" t="s">
        <v>25</v>
      </c>
      <c r="R185" t="s">
        <v>22</v>
      </c>
    </row>
    <row r="186" spans="1:18" x14ac:dyDescent="0.25">
      <c r="A186" t="s">
        <v>214</v>
      </c>
      <c r="B186">
        <v>53.7</v>
      </c>
      <c r="C186">
        <v>57</v>
      </c>
      <c r="D186">
        <v>60.3</v>
      </c>
      <c r="E186">
        <v>54.2</v>
      </c>
      <c r="F186">
        <v>60.8</v>
      </c>
      <c r="G186">
        <v>57.5</v>
      </c>
      <c r="H186" t="s">
        <v>19</v>
      </c>
      <c r="I186">
        <v>2</v>
      </c>
      <c r="J186" t="s">
        <v>20</v>
      </c>
      <c r="K186">
        <v>66.900000000000006</v>
      </c>
      <c r="L186">
        <v>161</v>
      </c>
      <c r="M186">
        <v>75.599999999999994</v>
      </c>
      <c r="N186">
        <v>8.1</v>
      </c>
      <c r="O186">
        <v>1.8</v>
      </c>
      <c r="P186">
        <v>6</v>
      </c>
      <c r="Q186" t="s">
        <v>21</v>
      </c>
      <c r="R186" t="s">
        <v>22</v>
      </c>
    </row>
    <row r="187" spans="1:18" x14ac:dyDescent="0.25">
      <c r="A187" t="s">
        <v>215</v>
      </c>
      <c r="B187">
        <v>83.5</v>
      </c>
      <c r="C187">
        <v>76.7</v>
      </c>
      <c r="D187">
        <v>75</v>
      </c>
      <c r="E187">
        <v>76.3</v>
      </c>
      <c r="F187">
        <v>82</v>
      </c>
      <c r="G187">
        <v>79.150000000000006</v>
      </c>
      <c r="H187" t="s">
        <v>19</v>
      </c>
      <c r="I187">
        <v>3</v>
      </c>
      <c r="J187" t="s">
        <v>20</v>
      </c>
      <c r="K187">
        <v>72</v>
      </c>
      <c r="L187">
        <v>173</v>
      </c>
      <c r="M187">
        <v>76.599999999999994</v>
      </c>
      <c r="N187">
        <v>7.1</v>
      </c>
      <c r="O187">
        <v>3.1</v>
      </c>
      <c r="P187">
        <v>2</v>
      </c>
      <c r="Q187" t="s">
        <v>25</v>
      </c>
      <c r="R187" t="s">
        <v>26</v>
      </c>
    </row>
    <row r="188" spans="1:18" x14ac:dyDescent="0.25">
      <c r="A188" t="s">
        <v>216</v>
      </c>
      <c r="B188">
        <v>81.599999999999994</v>
      </c>
      <c r="C188">
        <v>84</v>
      </c>
      <c r="D188">
        <v>86.7</v>
      </c>
      <c r="E188">
        <v>84.9</v>
      </c>
      <c r="F188">
        <v>77.599999999999994</v>
      </c>
      <c r="G188">
        <v>81.25</v>
      </c>
      <c r="H188" t="s">
        <v>19</v>
      </c>
      <c r="I188">
        <v>2</v>
      </c>
      <c r="J188" t="s">
        <v>20</v>
      </c>
      <c r="K188">
        <v>89.4</v>
      </c>
      <c r="L188">
        <v>215</v>
      </c>
      <c r="M188">
        <v>63.8</v>
      </c>
      <c r="N188">
        <v>6.5</v>
      </c>
      <c r="O188">
        <v>3.7</v>
      </c>
      <c r="P188">
        <v>5</v>
      </c>
      <c r="Q188" t="s">
        <v>28</v>
      </c>
      <c r="R188" t="s">
        <v>33</v>
      </c>
    </row>
    <row r="189" spans="1:18" x14ac:dyDescent="0.25">
      <c r="A189" t="s">
        <v>217</v>
      </c>
      <c r="B189">
        <v>79.5</v>
      </c>
      <c r="C189">
        <v>69.8</v>
      </c>
      <c r="D189">
        <v>67.7</v>
      </c>
      <c r="E189">
        <v>70.5</v>
      </c>
      <c r="F189">
        <v>75.5</v>
      </c>
      <c r="G189">
        <v>73</v>
      </c>
      <c r="H189" t="s">
        <v>19</v>
      </c>
      <c r="I189">
        <v>2</v>
      </c>
      <c r="J189" t="s">
        <v>20</v>
      </c>
      <c r="K189">
        <v>68.5</v>
      </c>
      <c r="L189">
        <v>164</v>
      </c>
      <c r="M189">
        <v>66.2</v>
      </c>
      <c r="N189">
        <v>7.6</v>
      </c>
      <c r="O189">
        <v>1.1000000000000001</v>
      </c>
      <c r="P189">
        <v>5</v>
      </c>
      <c r="Q189" t="s">
        <v>28</v>
      </c>
      <c r="R189" t="s">
        <v>33</v>
      </c>
    </row>
    <row r="190" spans="1:18" x14ac:dyDescent="0.25">
      <c r="A190" t="s">
        <v>218</v>
      </c>
      <c r="B190">
        <v>68.900000000000006</v>
      </c>
      <c r="C190">
        <v>68.2</v>
      </c>
      <c r="D190">
        <v>60</v>
      </c>
      <c r="E190">
        <v>69.099999999999994</v>
      </c>
      <c r="F190">
        <v>63.6</v>
      </c>
      <c r="G190">
        <v>66.349999999999994</v>
      </c>
      <c r="H190" t="s">
        <v>19</v>
      </c>
      <c r="I190">
        <v>1</v>
      </c>
      <c r="J190" t="s">
        <v>140</v>
      </c>
      <c r="K190">
        <v>73.599999999999994</v>
      </c>
      <c r="L190">
        <v>177</v>
      </c>
      <c r="M190">
        <v>57.4</v>
      </c>
      <c r="N190">
        <v>6.3</v>
      </c>
      <c r="O190">
        <v>3.2</v>
      </c>
      <c r="P190">
        <v>3</v>
      </c>
      <c r="Q190" t="s">
        <v>28</v>
      </c>
      <c r="R190" t="s">
        <v>26</v>
      </c>
    </row>
    <row r="191" spans="1:18" x14ac:dyDescent="0.25">
      <c r="A191" t="s">
        <v>219</v>
      </c>
      <c r="B191">
        <v>46.1</v>
      </c>
      <c r="C191">
        <v>59</v>
      </c>
      <c r="D191">
        <v>54.7</v>
      </c>
      <c r="E191">
        <v>53.3</v>
      </c>
      <c r="F191">
        <v>54.7</v>
      </c>
      <c r="G191">
        <v>54</v>
      </c>
      <c r="H191" t="s">
        <v>19</v>
      </c>
      <c r="I191">
        <v>1</v>
      </c>
      <c r="J191" t="s">
        <v>20</v>
      </c>
      <c r="K191">
        <v>61.4</v>
      </c>
      <c r="L191">
        <v>147</v>
      </c>
      <c r="M191">
        <v>63</v>
      </c>
      <c r="N191">
        <v>6</v>
      </c>
      <c r="O191">
        <v>4.9000000000000004</v>
      </c>
      <c r="P191">
        <v>1</v>
      </c>
      <c r="Q191" t="s">
        <v>25</v>
      </c>
      <c r="R191" t="s">
        <v>33</v>
      </c>
    </row>
    <row r="192" spans="1:18" x14ac:dyDescent="0.25">
      <c r="A192" t="s">
        <v>220</v>
      </c>
      <c r="B192">
        <v>45.8</v>
      </c>
      <c r="C192">
        <v>48.1</v>
      </c>
      <c r="D192">
        <v>35.6</v>
      </c>
      <c r="E192">
        <v>45.1</v>
      </c>
      <c r="F192">
        <v>68.2</v>
      </c>
      <c r="G192">
        <v>56.65</v>
      </c>
      <c r="H192" t="s">
        <v>19</v>
      </c>
      <c r="I192">
        <v>5</v>
      </c>
      <c r="J192" t="s">
        <v>24</v>
      </c>
      <c r="K192">
        <v>65.400000000000006</v>
      </c>
      <c r="L192">
        <v>157</v>
      </c>
      <c r="M192">
        <v>91.6</v>
      </c>
      <c r="N192">
        <v>7.2</v>
      </c>
      <c r="O192">
        <v>4.4000000000000004</v>
      </c>
      <c r="P192">
        <v>1</v>
      </c>
      <c r="Q192" t="s">
        <v>25</v>
      </c>
      <c r="R192" t="s">
        <v>33</v>
      </c>
    </row>
    <row r="193" spans="1:18" x14ac:dyDescent="0.25">
      <c r="A193" t="s">
        <v>221</v>
      </c>
      <c r="B193">
        <v>85.9</v>
      </c>
      <c r="C193">
        <v>74.599999999999994</v>
      </c>
      <c r="D193">
        <v>89</v>
      </c>
      <c r="E193">
        <v>89.3</v>
      </c>
      <c r="F193">
        <v>72.599999999999994</v>
      </c>
      <c r="G193">
        <v>80.95</v>
      </c>
      <c r="H193" t="s">
        <v>19</v>
      </c>
      <c r="I193">
        <v>2</v>
      </c>
      <c r="J193" t="s">
        <v>20</v>
      </c>
      <c r="K193">
        <v>83</v>
      </c>
      <c r="L193">
        <v>199</v>
      </c>
      <c r="M193">
        <v>76.099999999999994</v>
      </c>
      <c r="N193">
        <v>7.2</v>
      </c>
      <c r="O193">
        <v>4.2</v>
      </c>
      <c r="P193">
        <v>6</v>
      </c>
      <c r="Q193" t="s">
        <v>21</v>
      </c>
      <c r="R193" t="s">
        <v>33</v>
      </c>
    </row>
    <row r="194" spans="1:18" x14ac:dyDescent="0.25">
      <c r="A194" t="s">
        <v>222</v>
      </c>
      <c r="B194">
        <v>93.7</v>
      </c>
      <c r="C194">
        <v>92.8</v>
      </c>
      <c r="D194">
        <v>82.7</v>
      </c>
      <c r="E194">
        <v>89.5</v>
      </c>
      <c r="F194">
        <v>96.8</v>
      </c>
      <c r="G194">
        <v>93.15</v>
      </c>
      <c r="H194" t="s">
        <v>19</v>
      </c>
      <c r="I194">
        <v>4</v>
      </c>
      <c r="J194" t="s">
        <v>38</v>
      </c>
      <c r="K194">
        <v>82.2</v>
      </c>
      <c r="L194">
        <v>197</v>
      </c>
      <c r="M194">
        <v>83.2</v>
      </c>
      <c r="N194">
        <v>6.5</v>
      </c>
      <c r="O194">
        <v>5.5</v>
      </c>
      <c r="P194">
        <v>1</v>
      </c>
      <c r="Q194" t="s">
        <v>25</v>
      </c>
      <c r="R194" t="s">
        <v>22</v>
      </c>
    </row>
    <row r="195" spans="1:18" x14ac:dyDescent="0.25">
      <c r="A195" t="s">
        <v>223</v>
      </c>
      <c r="B195">
        <v>71.599999999999994</v>
      </c>
      <c r="C195">
        <v>75.8</v>
      </c>
      <c r="D195">
        <v>84.8</v>
      </c>
      <c r="E195">
        <v>74.8</v>
      </c>
      <c r="F195">
        <v>78.599999999999994</v>
      </c>
      <c r="G195">
        <v>76.7</v>
      </c>
      <c r="H195" t="s">
        <v>19</v>
      </c>
      <c r="I195">
        <v>4</v>
      </c>
      <c r="J195" t="s">
        <v>24</v>
      </c>
      <c r="K195">
        <v>81.7</v>
      </c>
      <c r="L195">
        <v>196</v>
      </c>
      <c r="M195">
        <v>97.2</v>
      </c>
      <c r="N195">
        <v>6.8</v>
      </c>
      <c r="O195">
        <v>1.1000000000000001</v>
      </c>
      <c r="P195">
        <v>6</v>
      </c>
      <c r="Q195" t="s">
        <v>28</v>
      </c>
      <c r="R195" t="s">
        <v>22</v>
      </c>
    </row>
    <row r="196" spans="1:18" x14ac:dyDescent="0.25">
      <c r="A196" t="s">
        <v>224</v>
      </c>
      <c r="B196">
        <v>56.4</v>
      </c>
      <c r="C196">
        <v>58.6</v>
      </c>
      <c r="D196">
        <v>63.2</v>
      </c>
      <c r="E196">
        <v>58.6</v>
      </c>
      <c r="F196">
        <v>62.1</v>
      </c>
      <c r="G196">
        <v>60.35</v>
      </c>
      <c r="H196" t="s">
        <v>19</v>
      </c>
      <c r="I196">
        <v>3</v>
      </c>
      <c r="J196" t="s">
        <v>38</v>
      </c>
      <c r="K196">
        <v>69.5</v>
      </c>
      <c r="L196">
        <v>167</v>
      </c>
      <c r="M196">
        <v>75.7</v>
      </c>
      <c r="N196">
        <v>6.7</v>
      </c>
      <c r="O196">
        <v>3.8</v>
      </c>
      <c r="P196">
        <v>4</v>
      </c>
      <c r="Q196" t="s">
        <v>28</v>
      </c>
      <c r="R196" t="s">
        <v>22</v>
      </c>
    </row>
    <row r="197" spans="1:18" x14ac:dyDescent="0.25">
      <c r="A197" t="s">
        <v>225</v>
      </c>
      <c r="B197">
        <v>49.8</v>
      </c>
      <c r="C197">
        <v>57.3</v>
      </c>
      <c r="D197">
        <v>59.7</v>
      </c>
      <c r="E197">
        <v>59.2</v>
      </c>
      <c r="F197">
        <v>47.2</v>
      </c>
      <c r="G197">
        <v>53.2</v>
      </c>
      <c r="H197" t="s">
        <v>19</v>
      </c>
      <c r="I197">
        <v>2</v>
      </c>
      <c r="J197" t="s">
        <v>20</v>
      </c>
      <c r="K197">
        <v>72.2</v>
      </c>
      <c r="L197">
        <v>173</v>
      </c>
      <c r="M197">
        <v>69.5</v>
      </c>
      <c r="N197">
        <v>5.9</v>
      </c>
      <c r="O197">
        <v>4.9000000000000004</v>
      </c>
      <c r="P197">
        <v>5</v>
      </c>
      <c r="Q197" t="s">
        <v>28</v>
      </c>
      <c r="R197" t="s">
        <v>33</v>
      </c>
    </row>
    <row r="198" spans="1:18" x14ac:dyDescent="0.25">
      <c r="A198" t="s">
        <v>226</v>
      </c>
      <c r="B198">
        <v>77.7</v>
      </c>
      <c r="C198">
        <v>85.5</v>
      </c>
      <c r="D198">
        <v>86.2</v>
      </c>
      <c r="E198">
        <v>79.900000000000006</v>
      </c>
      <c r="F198">
        <v>93.7</v>
      </c>
      <c r="G198">
        <v>86.8</v>
      </c>
      <c r="H198" t="s">
        <v>19</v>
      </c>
      <c r="I198">
        <v>4</v>
      </c>
      <c r="J198" t="s">
        <v>38</v>
      </c>
      <c r="K198">
        <v>75.099999999999994</v>
      </c>
      <c r="L198">
        <v>180</v>
      </c>
      <c r="M198">
        <v>92.5</v>
      </c>
      <c r="N198">
        <v>7.5</v>
      </c>
      <c r="O198">
        <v>3.7</v>
      </c>
      <c r="P198">
        <v>1</v>
      </c>
      <c r="Q198" t="s">
        <v>25</v>
      </c>
      <c r="R198" t="s">
        <v>22</v>
      </c>
    </row>
    <row r="199" spans="1:18" x14ac:dyDescent="0.25">
      <c r="A199" t="s">
        <v>227</v>
      </c>
      <c r="B199">
        <v>77.2</v>
      </c>
      <c r="C199">
        <v>94.1</v>
      </c>
      <c r="D199">
        <v>85.1</v>
      </c>
      <c r="E199">
        <v>89.3</v>
      </c>
      <c r="F199">
        <v>87</v>
      </c>
      <c r="G199">
        <v>88.15</v>
      </c>
      <c r="H199" t="s">
        <v>19</v>
      </c>
      <c r="I199">
        <v>3</v>
      </c>
      <c r="J199" t="s">
        <v>38</v>
      </c>
      <c r="K199">
        <v>77.599999999999994</v>
      </c>
      <c r="L199">
        <v>186</v>
      </c>
      <c r="M199">
        <v>85.9</v>
      </c>
      <c r="N199">
        <v>6.9</v>
      </c>
      <c r="O199">
        <v>2.6</v>
      </c>
      <c r="P199">
        <v>1</v>
      </c>
      <c r="Q199" t="s">
        <v>25</v>
      </c>
      <c r="R199" t="s">
        <v>33</v>
      </c>
    </row>
    <row r="200" spans="1:18" x14ac:dyDescent="0.25">
      <c r="A200" t="s">
        <v>228</v>
      </c>
      <c r="B200">
        <v>80.900000000000006</v>
      </c>
      <c r="C200">
        <v>84.9</v>
      </c>
      <c r="D200">
        <v>91.5</v>
      </c>
      <c r="E200">
        <v>88.8</v>
      </c>
      <c r="F200">
        <v>90.6</v>
      </c>
      <c r="G200">
        <v>89.7</v>
      </c>
      <c r="H200" t="s">
        <v>19</v>
      </c>
      <c r="I200">
        <v>4</v>
      </c>
      <c r="J200" t="s">
        <v>38</v>
      </c>
      <c r="K200">
        <v>84.9</v>
      </c>
      <c r="L200">
        <v>204</v>
      </c>
      <c r="M200">
        <v>84.3</v>
      </c>
      <c r="N200">
        <v>7</v>
      </c>
      <c r="O200">
        <v>1.7</v>
      </c>
      <c r="P200">
        <v>4</v>
      </c>
      <c r="Q200" t="s">
        <v>28</v>
      </c>
      <c r="R200" t="s">
        <v>26</v>
      </c>
    </row>
    <row r="201" spans="1:18" x14ac:dyDescent="0.25">
      <c r="A201" t="s">
        <v>229</v>
      </c>
      <c r="B201">
        <v>86.7</v>
      </c>
      <c r="C201">
        <v>84.9</v>
      </c>
      <c r="D201">
        <v>83.9</v>
      </c>
      <c r="E201">
        <v>82.9</v>
      </c>
      <c r="F201">
        <v>88.5</v>
      </c>
      <c r="G201">
        <v>85.7</v>
      </c>
      <c r="H201" t="s">
        <v>19</v>
      </c>
      <c r="I201">
        <v>4</v>
      </c>
      <c r="J201" t="s">
        <v>24</v>
      </c>
      <c r="K201">
        <v>79.900000000000006</v>
      </c>
      <c r="L201">
        <v>192</v>
      </c>
      <c r="M201">
        <v>92</v>
      </c>
      <c r="N201">
        <v>6.4</v>
      </c>
      <c r="O201">
        <v>5.4</v>
      </c>
      <c r="P201">
        <v>4</v>
      </c>
      <c r="Q201" t="s">
        <v>28</v>
      </c>
      <c r="R201" t="s">
        <v>33</v>
      </c>
    </row>
    <row r="202" spans="1:18" x14ac:dyDescent="0.25">
      <c r="A202" t="s">
        <v>230</v>
      </c>
      <c r="B202">
        <v>79.2</v>
      </c>
      <c r="C202">
        <v>70.5</v>
      </c>
      <c r="D202">
        <v>76.599999999999994</v>
      </c>
      <c r="E202">
        <v>75.3</v>
      </c>
      <c r="F202">
        <v>82.2</v>
      </c>
      <c r="G202">
        <v>78.75</v>
      </c>
      <c r="H202" t="s">
        <v>19</v>
      </c>
      <c r="I202">
        <v>5</v>
      </c>
      <c r="J202" t="s">
        <v>24</v>
      </c>
      <c r="K202">
        <v>80.8</v>
      </c>
      <c r="L202">
        <v>194</v>
      </c>
      <c r="M202">
        <v>93.1</v>
      </c>
      <c r="N202">
        <v>6.7</v>
      </c>
      <c r="O202">
        <v>3.4</v>
      </c>
      <c r="P202">
        <v>5</v>
      </c>
      <c r="Q202" t="s">
        <v>28</v>
      </c>
      <c r="R202" t="s">
        <v>22</v>
      </c>
    </row>
    <row r="203" spans="1:18" x14ac:dyDescent="0.25">
      <c r="A203" t="s">
        <v>231</v>
      </c>
      <c r="B203">
        <v>46.8</v>
      </c>
      <c r="C203">
        <v>37.700000000000003</v>
      </c>
      <c r="D203">
        <v>51</v>
      </c>
      <c r="E203">
        <v>44.6</v>
      </c>
      <c r="F203">
        <v>54.6</v>
      </c>
      <c r="G203">
        <v>49.6</v>
      </c>
      <c r="H203" t="s">
        <v>32</v>
      </c>
      <c r="I203">
        <v>3</v>
      </c>
      <c r="J203" t="s">
        <v>38</v>
      </c>
      <c r="K203">
        <v>61.9</v>
      </c>
      <c r="L203">
        <v>149</v>
      </c>
      <c r="M203">
        <v>81.7</v>
      </c>
      <c r="N203">
        <v>7.1</v>
      </c>
      <c r="O203">
        <v>5.4</v>
      </c>
      <c r="P203">
        <v>4</v>
      </c>
      <c r="Q203" t="s">
        <v>28</v>
      </c>
      <c r="R203" t="s">
        <v>33</v>
      </c>
    </row>
    <row r="204" spans="1:18" x14ac:dyDescent="0.25">
      <c r="A204" t="s">
        <v>232</v>
      </c>
      <c r="B204">
        <v>44.1</v>
      </c>
      <c r="C204">
        <v>45.8</v>
      </c>
      <c r="D204">
        <v>52.6</v>
      </c>
      <c r="E204">
        <v>48.9</v>
      </c>
      <c r="F204">
        <v>56.1</v>
      </c>
      <c r="G204">
        <v>52.5</v>
      </c>
      <c r="H204" t="s">
        <v>19</v>
      </c>
      <c r="I204">
        <v>2</v>
      </c>
      <c r="J204" t="s">
        <v>20</v>
      </c>
      <c r="K204">
        <v>65.5</v>
      </c>
      <c r="L204">
        <v>157</v>
      </c>
      <c r="M204">
        <v>78.8</v>
      </c>
      <c r="N204">
        <v>6.5</v>
      </c>
      <c r="O204">
        <v>3.9</v>
      </c>
      <c r="P204">
        <v>2</v>
      </c>
      <c r="Q204" t="s">
        <v>25</v>
      </c>
      <c r="R204" t="s">
        <v>22</v>
      </c>
    </row>
    <row r="205" spans="1:18" x14ac:dyDescent="0.25">
      <c r="A205" t="s">
        <v>233</v>
      </c>
      <c r="B205">
        <v>89.2</v>
      </c>
      <c r="C205">
        <v>93.7</v>
      </c>
      <c r="D205">
        <v>90.9</v>
      </c>
      <c r="E205">
        <v>89.4</v>
      </c>
      <c r="F205">
        <v>83.9</v>
      </c>
      <c r="G205">
        <v>86.65</v>
      </c>
      <c r="H205" t="s">
        <v>19</v>
      </c>
      <c r="I205">
        <v>4</v>
      </c>
      <c r="J205" t="s">
        <v>38</v>
      </c>
      <c r="K205">
        <v>76.599999999999994</v>
      </c>
      <c r="L205">
        <v>184</v>
      </c>
      <c r="M205">
        <v>89.9</v>
      </c>
      <c r="N205">
        <v>6</v>
      </c>
      <c r="O205">
        <v>4.4000000000000004</v>
      </c>
      <c r="P205">
        <v>4</v>
      </c>
      <c r="Q205" t="s">
        <v>28</v>
      </c>
      <c r="R205" t="s">
        <v>22</v>
      </c>
    </row>
    <row r="206" spans="1:18" x14ac:dyDescent="0.25">
      <c r="A206" t="s">
        <v>234</v>
      </c>
      <c r="B206">
        <v>73.3</v>
      </c>
      <c r="C206">
        <v>78.099999999999994</v>
      </c>
      <c r="D206">
        <v>65.099999999999994</v>
      </c>
      <c r="E206">
        <v>73.400000000000006</v>
      </c>
      <c r="F206">
        <v>73.099999999999994</v>
      </c>
      <c r="G206">
        <v>73.25</v>
      </c>
      <c r="H206" t="s">
        <v>19</v>
      </c>
      <c r="I206">
        <v>1</v>
      </c>
      <c r="J206" t="s">
        <v>20</v>
      </c>
      <c r="K206">
        <v>86.1</v>
      </c>
      <c r="L206">
        <v>207</v>
      </c>
      <c r="M206">
        <v>62.8</v>
      </c>
      <c r="N206">
        <v>5.4</v>
      </c>
      <c r="O206">
        <v>5</v>
      </c>
      <c r="P206">
        <v>2</v>
      </c>
      <c r="Q206" t="s">
        <v>25</v>
      </c>
      <c r="R206" t="s">
        <v>26</v>
      </c>
    </row>
    <row r="207" spans="1:18" x14ac:dyDescent="0.25">
      <c r="A207" t="s">
        <v>235</v>
      </c>
      <c r="B207">
        <v>34.700000000000003</v>
      </c>
      <c r="C207">
        <v>43.1</v>
      </c>
      <c r="D207">
        <v>35.700000000000003</v>
      </c>
      <c r="E207">
        <v>40.5</v>
      </c>
      <c r="F207">
        <v>60.5</v>
      </c>
      <c r="G207">
        <v>50.5</v>
      </c>
      <c r="H207" t="s">
        <v>19</v>
      </c>
      <c r="I207">
        <v>5</v>
      </c>
      <c r="J207" t="s">
        <v>24</v>
      </c>
      <c r="K207">
        <v>59.4</v>
      </c>
      <c r="L207">
        <v>143</v>
      </c>
      <c r="M207">
        <v>91</v>
      </c>
      <c r="N207">
        <v>6.7</v>
      </c>
      <c r="O207">
        <v>4.3</v>
      </c>
      <c r="P207">
        <v>5</v>
      </c>
      <c r="Q207" t="s">
        <v>28</v>
      </c>
      <c r="R207" t="s">
        <v>26</v>
      </c>
    </row>
    <row r="208" spans="1:18" x14ac:dyDescent="0.25">
      <c r="A208" t="s">
        <v>236</v>
      </c>
      <c r="B208">
        <v>53.1</v>
      </c>
      <c r="C208">
        <v>49.2</v>
      </c>
      <c r="D208">
        <v>45</v>
      </c>
      <c r="E208">
        <v>45.6</v>
      </c>
      <c r="F208">
        <v>59.1</v>
      </c>
      <c r="G208">
        <v>52.35</v>
      </c>
      <c r="H208" t="s">
        <v>19</v>
      </c>
      <c r="I208">
        <v>2</v>
      </c>
      <c r="J208" t="s">
        <v>20</v>
      </c>
      <c r="K208">
        <v>66.3</v>
      </c>
      <c r="L208">
        <v>159</v>
      </c>
      <c r="M208">
        <v>68</v>
      </c>
      <c r="N208">
        <v>6.8</v>
      </c>
      <c r="O208">
        <v>3</v>
      </c>
      <c r="P208">
        <v>1</v>
      </c>
      <c r="Q208" t="s">
        <v>25</v>
      </c>
      <c r="R208" t="s">
        <v>22</v>
      </c>
    </row>
    <row r="209" spans="1:18" x14ac:dyDescent="0.25">
      <c r="A209" t="s">
        <v>237</v>
      </c>
      <c r="B209">
        <v>80.900000000000006</v>
      </c>
      <c r="C209">
        <v>79.099999999999994</v>
      </c>
      <c r="D209">
        <v>77</v>
      </c>
      <c r="E209">
        <v>76.5</v>
      </c>
      <c r="F209">
        <v>72.8</v>
      </c>
      <c r="G209">
        <v>74.650000000000006</v>
      </c>
      <c r="H209" t="s">
        <v>19</v>
      </c>
      <c r="I209">
        <v>2</v>
      </c>
      <c r="J209" t="s">
        <v>20</v>
      </c>
      <c r="K209">
        <v>74.099999999999994</v>
      </c>
      <c r="L209">
        <v>178</v>
      </c>
      <c r="M209">
        <v>73.2</v>
      </c>
      <c r="N209">
        <v>6.2</v>
      </c>
      <c r="O209">
        <v>3.6</v>
      </c>
      <c r="P209">
        <v>2</v>
      </c>
      <c r="Q209" t="s">
        <v>25</v>
      </c>
      <c r="R209" t="s">
        <v>33</v>
      </c>
    </row>
    <row r="210" spans="1:18" x14ac:dyDescent="0.25">
      <c r="A210" t="s">
        <v>238</v>
      </c>
      <c r="B210">
        <v>39.200000000000003</v>
      </c>
      <c r="C210">
        <v>37.1</v>
      </c>
      <c r="D210">
        <v>34.6</v>
      </c>
      <c r="E210">
        <v>40.299999999999997</v>
      </c>
      <c r="F210">
        <v>42.7</v>
      </c>
      <c r="G210">
        <v>41.5</v>
      </c>
      <c r="H210" t="s">
        <v>32</v>
      </c>
      <c r="I210">
        <v>4</v>
      </c>
      <c r="J210" t="s">
        <v>24</v>
      </c>
      <c r="K210">
        <v>61.7</v>
      </c>
      <c r="L210">
        <v>148</v>
      </c>
      <c r="M210">
        <v>81</v>
      </c>
      <c r="N210">
        <v>7.1</v>
      </c>
      <c r="O210">
        <v>5</v>
      </c>
      <c r="P210">
        <v>4</v>
      </c>
      <c r="Q210" t="s">
        <v>28</v>
      </c>
      <c r="R210" t="s">
        <v>26</v>
      </c>
    </row>
    <row r="211" spans="1:18" x14ac:dyDescent="0.25">
      <c r="A211" t="s">
        <v>239</v>
      </c>
      <c r="B211">
        <v>49</v>
      </c>
      <c r="C211">
        <v>51</v>
      </c>
      <c r="D211">
        <v>60.9</v>
      </c>
      <c r="E211">
        <v>48.8</v>
      </c>
      <c r="F211">
        <v>58.1</v>
      </c>
      <c r="G211">
        <v>53.45</v>
      </c>
      <c r="H211" t="s">
        <v>19</v>
      </c>
      <c r="I211">
        <v>3</v>
      </c>
      <c r="J211" t="s">
        <v>38</v>
      </c>
      <c r="K211">
        <v>57.9</v>
      </c>
      <c r="L211">
        <v>139</v>
      </c>
      <c r="M211">
        <v>87.8</v>
      </c>
      <c r="N211">
        <v>7.5</v>
      </c>
      <c r="O211">
        <v>2.9</v>
      </c>
      <c r="P211">
        <v>1</v>
      </c>
      <c r="Q211" t="s">
        <v>25</v>
      </c>
      <c r="R211" t="s">
        <v>26</v>
      </c>
    </row>
    <row r="212" spans="1:18" x14ac:dyDescent="0.25">
      <c r="A212" t="s">
        <v>240</v>
      </c>
      <c r="B212">
        <v>71.2</v>
      </c>
      <c r="C212">
        <v>74.2</v>
      </c>
      <c r="D212">
        <v>77.8</v>
      </c>
      <c r="E212">
        <v>70.2</v>
      </c>
      <c r="F212">
        <v>77.2</v>
      </c>
      <c r="G212">
        <v>73.7</v>
      </c>
      <c r="H212" t="s">
        <v>19</v>
      </c>
      <c r="I212">
        <v>3</v>
      </c>
      <c r="J212" t="s">
        <v>20</v>
      </c>
      <c r="K212">
        <v>77.400000000000006</v>
      </c>
      <c r="L212">
        <v>186</v>
      </c>
      <c r="M212">
        <v>75.599999999999994</v>
      </c>
      <c r="N212">
        <v>7.1</v>
      </c>
      <c r="O212">
        <v>2.9</v>
      </c>
      <c r="P212">
        <v>1</v>
      </c>
      <c r="Q212" t="s">
        <v>25</v>
      </c>
      <c r="R212" t="s">
        <v>22</v>
      </c>
    </row>
    <row r="213" spans="1:18" x14ac:dyDescent="0.25">
      <c r="A213" t="s">
        <v>241</v>
      </c>
      <c r="B213">
        <v>67.8</v>
      </c>
      <c r="C213">
        <v>81.8</v>
      </c>
      <c r="D213">
        <v>81.099999999999994</v>
      </c>
      <c r="E213">
        <v>78.099999999999994</v>
      </c>
      <c r="F213">
        <v>82.3</v>
      </c>
      <c r="G213">
        <v>80.2</v>
      </c>
      <c r="H213" t="s">
        <v>19</v>
      </c>
      <c r="I213">
        <v>3</v>
      </c>
      <c r="J213" t="s">
        <v>20</v>
      </c>
      <c r="K213">
        <v>77.2</v>
      </c>
      <c r="L213">
        <v>185</v>
      </c>
      <c r="M213">
        <v>84.9</v>
      </c>
      <c r="N213">
        <v>8.1999999999999993</v>
      </c>
      <c r="O213">
        <v>1.5</v>
      </c>
      <c r="P213">
        <v>5</v>
      </c>
      <c r="Q213" t="s">
        <v>28</v>
      </c>
      <c r="R213" t="s">
        <v>33</v>
      </c>
    </row>
    <row r="214" spans="1:18" x14ac:dyDescent="0.25">
      <c r="A214" t="s">
        <v>242</v>
      </c>
      <c r="B214">
        <v>74.599999999999994</v>
      </c>
      <c r="C214">
        <v>81.8</v>
      </c>
      <c r="D214">
        <v>76.2</v>
      </c>
      <c r="E214">
        <v>75.900000000000006</v>
      </c>
      <c r="F214">
        <v>72.599999999999994</v>
      </c>
      <c r="G214">
        <v>74.25</v>
      </c>
      <c r="H214" t="s">
        <v>19</v>
      </c>
      <c r="I214">
        <v>4</v>
      </c>
      <c r="J214" t="s">
        <v>24</v>
      </c>
      <c r="K214">
        <v>78.099999999999994</v>
      </c>
      <c r="L214">
        <v>187</v>
      </c>
      <c r="M214">
        <v>88.7</v>
      </c>
      <c r="N214">
        <v>6.7</v>
      </c>
      <c r="O214">
        <v>5.6</v>
      </c>
      <c r="P214">
        <v>6</v>
      </c>
      <c r="Q214" t="s">
        <v>28</v>
      </c>
      <c r="R214" t="s">
        <v>26</v>
      </c>
    </row>
    <row r="215" spans="1:18" x14ac:dyDescent="0.25">
      <c r="A215" t="s">
        <v>243</v>
      </c>
      <c r="B215">
        <v>48.9</v>
      </c>
      <c r="C215">
        <v>55.9</v>
      </c>
      <c r="D215">
        <v>51.3</v>
      </c>
      <c r="E215">
        <v>52.3</v>
      </c>
      <c r="F215">
        <v>70.599999999999994</v>
      </c>
      <c r="G215">
        <v>61.45</v>
      </c>
      <c r="H215" t="s">
        <v>19</v>
      </c>
      <c r="I215">
        <v>2</v>
      </c>
      <c r="J215" t="s">
        <v>20</v>
      </c>
      <c r="K215">
        <v>69.7</v>
      </c>
      <c r="L215">
        <v>167</v>
      </c>
      <c r="M215">
        <v>57.7</v>
      </c>
      <c r="N215">
        <v>7.2</v>
      </c>
      <c r="O215">
        <v>1.5</v>
      </c>
      <c r="P215">
        <v>1</v>
      </c>
      <c r="Q215" t="s">
        <v>25</v>
      </c>
      <c r="R215" t="s">
        <v>26</v>
      </c>
    </row>
    <row r="216" spans="1:18" x14ac:dyDescent="0.25">
      <c r="A216" t="s">
        <v>244</v>
      </c>
      <c r="B216">
        <v>74.2</v>
      </c>
      <c r="C216">
        <v>80.900000000000006</v>
      </c>
      <c r="D216">
        <v>74.400000000000006</v>
      </c>
      <c r="E216">
        <v>79.2</v>
      </c>
      <c r="F216">
        <v>80.8</v>
      </c>
      <c r="G216">
        <v>80</v>
      </c>
      <c r="H216" t="s">
        <v>19</v>
      </c>
      <c r="I216">
        <v>5</v>
      </c>
      <c r="J216" t="s">
        <v>24</v>
      </c>
      <c r="K216">
        <v>73.400000000000006</v>
      </c>
      <c r="L216">
        <v>176</v>
      </c>
      <c r="M216">
        <v>96.2</v>
      </c>
      <c r="N216">
        <v>6.2</v>
      </c>
      <c r="O216">
        <v>4.2</v>
      </c>
      <c r="P216">
        <v>4</v>
      </c>
      <c r="Q216" t="s">
        <v>28</v>
      </c>
      <c r="R216" t="s">
        <v>33</v>
      </c>
    </row>
    <row r="217" spans="1:18" x14ac:dyDescent="0.25">
      <c r="A217" t="s">
        <v>245</v>
      </c>
      <c r="B217">
        <v>51.6</v>
      </c>
      <c r="C217">
        <v>58.4</v>
      </c>
      <c r="D217">
        <v>53.4</v>
      </c>
      <c r="E217">
        <v>53</v>
      </c>
      <c r="F217">
        <v>51.9</v>
      </c>
      <c r="G217">
        <v>52.45</v>
      </c>
      <c r="H217" t="s">
        <v>19</v>
      </c>
      <c r="I217">
        <v>1</v>
      </c>
      <c r="J217" t="s">
        <v>20</v>
      </c>
      <c r="K217">
        <v>63.1</v>
      </c>
      <c r="L217">
        <v>151</v>
      </c>
      <c r="M217">
        <v>65</v>
      </c>
      <c r="N217">
        <v>7.5</v>
      </c>
      <c r="O217">
        <v>3.1</v>
      </c>
      <c r="P217">
        <v>5</v>
      </c>
      <c r="Q217" t="s">
        <v>28</v>
      </c>
      <c r="R217" t="s">
        <v>26</v>
      </c>
    </row>
    <row r="218" spans="1:18" x14ac:dyDescent="0.25">
      <c r="A218" t="s">
        <v>246</v>
      </c>
      <c r="B218">
        <v>66.900000000000006</v>
      </c>
      <c r="C218">
        <v>57.8</v>
      </c>
      <c r="D218">
        <v>59.2</v>
      </c>
      <c r="E218">
        <v>57.9</v>
      </c>
      <c r="F218">
        <v>69.5</v>
      </c>
      <c r="G218">
        <v>63.7</v>
      </c>
      <c r="H218" t="s">
        <v>19</v>
      </c>
      <c r="I218">
        <v>4</v>
      </c>
      <c r="J218" t="s">
        <v>24</v>
      </c>
      <c r="K218">
        <v>71.2</v>
      </c>
      <c r="L218">
        <v>171</v>
      </c>
      <c r="M218">
        <v>82.6</v>
      </c>
      <c r="N218">
        <v>7.3</v>
      </c>
      <c r="O218">
        <v>3</v>
      </c>
      <c r="P218">
        <v>5</v>
      </c>
      <c r="Q218" t="s">
        <v>28</v>
      </c>
      <c r="R218" t="s">
        <v>33</v>
      </c>
    </row>
    <row r="219" spans="1:18" x14ac:dyDescent="0.25">
      <c r="A219" t="s">
        <v>247</v>
      </c>
      <c r="B219">
        <v>84.3</v>
      </c>
      <c r="C219">
        <v>76.599999999999994</v>
      </c>
      <c r="D219">
        <v>74.8</v>
      </c>
      <c r="E219">
        <v>81.099999999999994</v>
      </c>
      <c r="F219">
        <v>93</v>
      </c>
      <c r="G219">
        <v>87.05</v>
      </c>
      <c r="H219" t="s">
        <v>19</v>
      </c>
      <c r="I219">
        <v>4</v>
      </c>
      <c r="J219" t="s">
        <v>24</v>
      </c>
      <c r="K219">
        <v>91</v>
      </c>
      <c r="L219">
        <v>218</v>
      </c>
      <c r="M219">
        <v>89</v>
      </c>
      <c r="N219">
        <v>6.8</v>
      </c>
      <c r="O219">
        <v>4.4000000000000004</v>
      </c>
      <c r="P219">
        <v>2</v>
      </c>
      <c r="Q219" t="s">
        <v>25</v>
      </c>
      <c r="R219" t="s">
        <v>22</v>
      </c>
    </row>
    <row r="220" spans="1:18" x14ac:dyDescent="0.25">
      <c r="A220" t="s">
        <v>248</v>
      </c>
      <c r="B220">
        <v>72.900000000000006</v>
      </c>
      <c r="C220">
        <v>74.900000000000006</v>
      </c>
      <c r="D220">
        <v>77.400000000000006</v>
      </c>
      <c r="E220">
        <v>75.7</v>
      </c>
      <c r="F220">
        <v>76.5</v>
      </c>
      <c r="G220">
        <v>76.099999999999994</v>
      </c>
      <c r="H220" t="s">
        <v>19</v>
      </c>
      <c r="I220">
        <v>2</v>
      </c>
      <c r="J220" t="s">
        <v>20</v>
      </c>
      <c r="K220">
        <v>77.2</v>
      </c>
      <c r="L220">
        <v>185</v>
      </c>
      <c r="M220">
        <v>81</v>
      </c>
      <c r="N220">
        <v>7.2</v>
      </c>
      <c r="O220">
        <v>1.3</v>
      </c>
      <c r="P220">
        <v>2</v>
      </c>
      <c r="Q220" t="s">
        <v>25</v>
      </c>
      <c r="R220" t="s">
        <v>26</v>
      </c>
    </row>
    <row r="221" spans="1:18" x14ac:dyDescent="0.25">
      <c r="A221" t="s">
        <v>249</v>
      </c>
      <c r="B221">
        <v>89.6</v>
      </c>
      <c r="C221">
        <v>83</v>
      </c>
      <c r="D221">
        <v>85.9</v>
      </c>
      <c r="E221">
        <v>86.7</v>
      </c>
      <c r="F221">
        <v>78.7</v>
      </c>
      <c r="G221">
        <v>82.7</v>
      </c>
      <c r="H221" t="s">
        <v>19</v>
      </c>
      <c r="I221">
        <v>3</v>
      </c>
      <c r="J221" t="s">
        <v>20</v>
      </c>
      <c r="K221">
        <v>86.3</v>
      </c>
      <c r="L221">
        <v>207</v>
      </c>
      <c r="M221">
        <v>75.7</v>
      </c>
      <c r="N221">
        <v>7.1</v>
      </c>
      <c r="O221">
        <v>4</v>
      </c>
      <c r="P221">
        <v>1</v>
      </c>
      <c r="Q221" t="s">
        <v>25</v>
      </c>
      <c r="R221" t="s">
        <v>22</v>
      </c>
    </row>
    <row r="222" spans="1:18" x14ac:dyDescent="0.25">
      <c r="A222" t="s">
        <v>250</v>
      </c>
      <c r="B222">
        <v>83.2</v>
      </c>
      <c r="C222">
        <v>72.8</v>
      </c>
      <c r="D222">
        <v>66.599999999999994</v>
      </c>
      <c r="E222">
        <v>76.2</v>
      </c>
      <c r="F222">
        <v>71.3</v>
      </c>
      <c r="G222">
        <v>73.75</v>
      </c>
      <c r="H222" t="s">
        <v>19</v>
      </c>
      <c r="I222">
        <v>2</v>
      </c>
      <c r="J222" t="s">
        <v>20</v>
      </c>
      <c r="K222">
        <v>77.5</v>
      </c>
      <c r="L222">
        <v>186</v>
      </c>
      <c r="M222">
        <v>70.3</v>
      </c>
      <c r="N222">
        <v>6.2</v>
      </c>
      <c r="O222">
        <v>4.9000000000000004</v>
      </c>
      <c r="P222">
        <v>2</v>
      </c>
      <c r="Q222" t="s">
        <v>25</v>
      </c>
      <c r="R222" t="s">
        <v>33</v>
      </c>
    </row>
    <row r="223" spans="1:18" x14ac:dyDescent="0.25">
      <c r="A223" t="s">
        <v>251</v>
      </c>
      <c r="B223">
        <v>75.900000000000006</v>
      </c>
      <c r="C223">
        <v>70.5</v>
      </c>
      <c r="D223">
        <v>67</v>
      </c>
      <c r="E223">
        <v>71.3</v>
      </c>
      <c r="F223">
        <v>67.3</v>
      </c>
      <c r="G223">
        <v>69.3</v>
      </c>
      <c r="H223" t="s">
        <v>19</v>
      </c>
      <c r="I223">
        <v>4</v>
      </c>
      <c r="J223" t="s">
        <v>38</v>
      </c>
      <c r="K223">
        <v>85.3</v>
      </c>
      <c r="L223">
        <v>205</v>
      </c>
      <c r="M223">
        <v>85</v>
      </c>
      <c r="N223">
        <v>6.4</v>
      </c>
      <c r="O223">
        <v>5.0999999999999996</v>
      </c>
      <c r="P223">
        <v>5</v>
      </c>
      <c r="Q223" t="s">
        <v>28</v>
      </c>
      <c r="R223" t="s">
        <v>22</v>
      </c>
    </row>
    <row r="224" spans="1:18" x14ac:dyDescent="0.25">
      <c r="A224" t="s">
        <v>252</v>
      </c>
      <c r="B224">
        <v>45.5</v>
      </c>
      <c r="C224">
        <v>41.2</v>
      </c>
      <c r="D224">
        <v>43.1</v>
      </c>
      <c r="E224">
        <v>45.2</v>
      </c>
      <c r="F224">
        <v>56.7</v>
      </c>
      <c r="G224">
        <v>50.95</v>
      </c>
      <c r="H224" t="s">
        <v>19</v>
      </c>
      <c r="I224">
        <v>3</v>
      </c>
      <c r="J224" t="s">
        <v>38</v>
      </c>
      <c r="K224">
        <v>53.8</v>
      </c>
      <c r="L224">
        <v>129</v>
      </c>
      <c r="M224">
        <v>71</v>
      </c>
      <c r="N224">
        <v>8.1999999999999993</v>
      </c>
      <c r="O224">
        <v>1.9</v>
      </c>
      <c r="P224">
        <v>2</v>
      </c>
      <c r="Q224" t="s">
        <v>25</v>
      </c>
      <c r="R224" t="s">
        <v>22</v>
      </c>
    </row>
    <row r="225" spans="1:18" x14ac:dyDescent="0.25">
      <c r="A225" t="s">
        <v>253</v>
      </c>
      <c r="B225">
        <v>57</v>
      </c>
      <c r="C225">
        <v>58.7</v>
      </c>
      <c r="D225">
        <v>69.7</v>
      </c>
      <c r="E225">
        <v>60.2</v>
      </c>
      <c r="F225">
        <v>72.099999999999994</v>
      </c>
      <c r="G225">
        <v>66.150000000000006</v>
      </c>
      <c r="H225" t="s">
        <v>19</v>
      </c>
      <c r="I225">
        <v>4</v>
      </c>
      <c r="J225" t="s">
        <v>38</v>
      </c>
      <c r="K225">
        <v>70.599999999999994</v>
      </c>
      <c r="L225">
        <v>169</v>
      </c>
      <c r="M225">
        <v>84.6</v>
      </c>
      <c r="N225">
        <v>6</v>
      </c>
      <c r="O225">
        <v>5.5</v>
      </c>
      <c r="P225">
        <v>2</v>
      </c>
      <c r="Q225" t="s">
        <v>25</v>
      </c>
      <c r="R225" t="s">
        <v>22</v>
      </c>
    </row>
    <row r="226" spans="1:18" x14ac:dyDescent="0.25">
      <c r="A226" t="s">
        <v>254</v>
      </c>
      <c r="B226">
        <v>58.1</v>
      </c>
      <c r="C226">
        <v>45.1</v>
      </c>
      <c r="D226">
        <v>57.4</v>
      </c>
      <c r="E226">
        <v>54.6</v>
      </c>
      <c r="F226">
        <v>47</v>
      </c>
      <c r="G226">
        <v>50.8</v>
      </c>
      <c r="H226" t="s">
        <v>19</v>
      </c>
      <c r="I226">
        <v>2</v>
      </c>
      <c r="J226" t="s">
        <v>20</v>
      </c>
      <c r="K226">
        <v>59.2</v>
      </c>
      <c r="L226">
        <v>142</v>
      </c>
      <c r="M226">
        <v>66.5</v>
      </c>
      <c r="N226">
        <v>5.9</v>
      </c>
      <c r="O226">
        <v>4.3</v>
      </c>
      <c r="P226">
        <v>7</v>
      </c>
      <c r="Q226" t="s">
        <v>21</v>
      </c>
      <c r="R226" t="s">
        <v>33</v>
      </c>
    </row>
    <row r="227" spans="1:18" x14ac:dyDescent="0.25">
      <c r="A227" t="s">
        <v>255</v>
      </c>
      <c r="B227">
        <v>55.4</v>
      </c>
      <c r="C227">
        <v>54.5</v>
      </c>
      <c r="D227">
        <v>46.7</v>
      </c>
      <c r="E227">
        <v>53.4</v>
      </c>
      <c r="F227">
        <v>57.3</v>
      </c>
      <c r="G227">
        <v>55.35</v>
      </c>
      <c r="H227" t="s">
        <v>19</v>
      </c>
      <c r="I227">
        <v>2</v>
      </c>
      <c r="J227" t="s">
        <v>20</v>
      </c>
      <c r="K227">
        <v>54.2</v>
      </c>
      <c r="L227">
        <v>130</v>
      </c>
      <c r="M227">
        <v>66.5</v>
      </c>
      <c r="N227">
        <v>5.9</v>
      </c>
      <c r="O227">
        <v>5.4</v>
      </c>
      <c r="P227">
        <v>6</v>
      </c>
      <c r="Q227" t="s">
        <v>21</v>
      </c>
      <c r="R227" t="s">
        <v>33</v>
      </c>
    </row>
    <row r="228" spans="1:18" x14ac:dyDescent="0.25">
      <c r="A228" t="s">
        <v>256</v>
      </c>
      <c r="B228">
        <v>98</v>
      </c>
      <c r="C228">
        <v>93.5</v>
      </c>
      <c r="D228">
        <v>95.9</v>
      </c>
      <c r="E228">
        <v>93.5</v>
      </c>
      <c r="F228">
        <v>77.2</v>
      </c>
      <c r="G228">
        <v>85.35</v>
      </c>
      <c r="H228" t="s">
        <v>19</v>
      </c>
      <c r="I228">
        <v>1</v>
      </c>
      <c r="J228" t="s">
        <v>20</v>
      </c>
      <c r="K228">
        <v>88.2</v>
      </c>
      <c r="L228">
        <v>212</v>
      </c>
      <c r="M228">
        <v>61.1</v>
      </c>
      <c r="N228">
        <v>7.5</v>
      </c>
      <c r="O228">
        <v>3.4</v>
      </c>
      <c r="P228">
        <v>5</v>
      </c>
      <c r="Q228" t="s">
        <v>28</v>
      </c>
      <c r="R228" t="s">
        <v>33</v>
      </c>
    </row>
    <row r="229" spans="1:18" x14ac:dyDescent="0.25">
      <c r="A229" t="s">
        <v>257</v>
      </c>
      <c r="B229">
        <v>64.8</v>
      </c>
      <c r="C229">
        <v>57.5</v>
      </c>
      <c r="D229">
        <v>53.9</v>
      </c>
      <c r="E229">
        <v>61.6</v>
      </c>
      <c r="F229">
        <v>53.9</v>
      </c>
      <c r="G229">
        <v>57.75</v>
      </c>
      <c r="H229" t="s">
        <v>19</v>
      </c>
      <c r="I229">
        <v>2</v>
      </c>
      <c r="J229" t="s">
        <v>20</v>
      </c>
      <c r="K229">
        <v>71.5</v>
      </c>
      <c r="L229">
        <v>172</v>
      </c>
      <c r="M229">
        <v>74.2</v>
      </c>
      <c r="N229">
        <v>7</v>
      </c>
      <c r="O229">
        <v>3.7</v>
      </c>
      <c r="P229">
        <v>3</v>
      </c>
      <c r="Q229" t="s">
        <v>25</v>
      </c>
      <c r="R229" t="s">
        <v>33</v>
      </c>
    </row>
    <row r="230" spans="1:18" x14ac:dyDescent="0.25">
      <c r="A230" t="s">
        <v>258</v>
      </c>
      <c r="B230">
        <v>94.3</v>
      </c>
      <c r="C230">
        <v>92.4</v>
      </c>
      <c r="D230">
        <v>94.5</v>
      </c>
      <c r="E230">
        <v>89.1</v>
      </c>
      <c r="F230">
        <v>95.1</v>
      </c>
      <c r="G230">
        <v>92.1</v>
      </c>
      <c r="H230" t="s">
        <v>19</v>
      </c>
      <c r="I230">
        <v>3</v>
      </c>
      <c r="J230" t="s">
        <v>38</v>
      </c>
      <c r="K230">
        <v>83.1</v>
      </c>
      <c r="L230">
        <v>199</v>
      </c>
      <c r="M230">
        <v>81.599999999999994</v>
      </c>
      <c r="N230">
        <v>6.3</v>
      </c>
      <c r="O230">
        <v>5.6</v>
      </c>
      <c r="P230">
        <v>1</v>
      </c>
      <c r="Q230" t="s">
        <v>25</v>
      </c>
      <c r="R230" t="s">
        <v>33</v>
      </c>
    </row>
    <row r="231" spans="1:18" x14ac:dyDescent="0.25">
      <c r="A231" t="s">
        <v>259</v>
      </c>
      <c r="B231">
        <v>72</v>
      </c>
      <c r="C231">
        <v>79.400000000000006</v>
      </c>
      <c r="D231">
        <v>72.400000000000006</v>
      </c>
      <c r="E231">
        <v>74.7</v>
      </c>
      <c r="F231">
        <v>88.6</v>
      </c>
      <c r="G231">
        <v>81.650000000000006</v>
      </c>
      <c r="H231" t="s">
        <v>19</v>
      </c>
      <c r="I231">
        <v>4</v>
      </c>
      <c r="J231" t="s">
        <v>24</v>
      </c>
      <c r="K231">
        <v>76.8</v>
      </c>
      <c r="L231">
        <v>184</v>
      </c>
      <c r="M231">
        <v>88</v>
      </c>
      <c r="N231">
        <v>6.1</v>
      </c>
      <c r="O231">
        <v>5.5</v>
      </c>
      <c r="P231">
        <v>3</v>
      </c>
      <c r="Q231" t="s">
        <v>25</v>
      </c>
      <c r="R231" t="s">
        <v>26</v>
      </c>
    </row>
    <row r="232" spans="1:18" x14ac:dyDescent="0.25">
      <c r="A232" t="s">
        <v>260</v>
      </c>
      <c r="B232">
        <v>90.3</v>
      </c>
      <c r="C232">
        <v>75.7</v>
      </c>
      <c r="D232">
        <v>83.2</v>
      </c>
      <c r="E232">
        <v>83.7</v>
      </c>
      <c r="F232">
        <v>96</v>
      </c>
      <c r="G232">
        <v>89.85</v>
      </c>
      <c r="H232" t="s">
        <v>19</v>
      </c>
      <c r="I232">
        <v>4</v>
      </c>
      <c r="J232" t="s">
        <v>38</v>
      </c>
      <c r="K232">
        <v>97.3</v>
      </c>
      <c r="L232">
        <v>234</v>
      </c>
      <c r="M232">
        <v>89.1</v>
      </c>
      <c r="N232">
        <v>7.3</v>
      </c>
      <c r="O232">
        <v>3.2</v>
      </c>
      <c r="P232">
        <v>1</v>
      </c>
      <c r="Q232" t="s">
        <v>25</v>
      </c>
      <c r="R232" t="s">
        <v>26</v>
      </c>
    </row>
    <row r="233" spans="1:18" x14ac:dyDescent="0.25">
      <c r="A233" t="s">
        <v>261</v>
      </c>
      <c r="B233">
        <v>68.599999999999994</v>
      </c>
      <c r="C233">
        <v>63.8</v>
      </c>
      <c r="D233">
        <v>74.3</v>
      </c>
      <c r="E233">
        <v>67.599999999999994</v>
      </c>
      <c r="F233">
        <v>59.1</v>
      </c>
      <c r="G233">
        <v>63.35</v>
      </c>
      <c r="H233" t="s">
        <v>19</v>
      </c>
      <c r="I233">
        <v>3</v>
      </c>
      <c r="J233" t="s">
        <v>20</v>
      </c>
      <c r="K233">
        <v>72.5</v>
      </c>
      <c r="L233">
        <v>174</v>
      </c>
      <c r="M233">
        <v>67.7</v>
      </c>
      <c r="N233">
        <v>6.9</v>
      </c>
      <c r="O233">
        <v>2.4</v>
      </c>
      <c r="P233">
        <v>9</v>
      </c>
      <c r="Q233" t="s">
        <v>21</v>
      </c>
      <c r="R233" t="s">
        <v>26</v>
      </c>
    </row>
    <row r="234" spans="1:18" x14ac:dyDescent="0.25">
      <c r="A234" t="s">
        <v>262</v>
      </c>
      <c r="B234">
        <v>82.1</v>
      </c>
      <c r="C234">
        <v>67.900000000000006</v>
      </c>
      <c r="D234">
        <v>65.3</v>
      </c>
      <c r="E234">
        <v>71.7</v>
      </c>
      <c r="F234">
        <v>89.1</v>
      </c>
      <c r="G234">
        <v>80.400000000000006</v>
      </c>
      <c r="H234" t="s">
        <v>19</v>
      </c>
      <c r="I234">
        <v>5</v>
      </c>
      <c r="J234" t="s">
        <v>24</v>
      </c>
      <c r="K234">
        <v>78.400000000000006</v>
      </c>
      <c r="L234">
        <v>188</v>
      </c>
      <c r="M234">
        <v>87.9</v>
      </c>
      <c r="N234">
        <v>7.3</v>
      </c>
      <c r="O234">
        <v>3</v>
      </c>
      <c r="P234">
        <v>1</v>
      </c>
      <c r="Q234" t="s">
        <v>25</v>
      </c>
      <c r="R234" t="s">
        <v>22</v>
      </c>
    </row>
    <row r="235" spans="1:18" x14ac:dyDescent="0.25">
      <c r="A235" t="s">
        <v>263</v>
      </c>
      <c r="B235">
        <v>63.6</v>
      </c>
      <c r="C235">
        <v>62.4</v>
      </c>
      <c r="D235">
        <v>60.1</v>
      </c>
      <c r="E235">
        <v>67.099999999999994</v>
      </c>
      <c r="F235">
        <v>87.2</v>
      </c>
      <c r="G235">
        <v>77.150000000000006</v>
      </c>
      <c r="H235" t="s">
        <v>19</v>
      </c>
      <c r="I235">
        <v>4</v>
      </c>
      <c r="J235" t="s">
        <v>38</v>
      </c>
      <c r="K235">
        <v>70.3</v>
      </c>
      <c r="L235">
        <v>169</v>
      </c>
      <c r="M235">
        <v>92.5</v>
      </c>
      <c r="N235">
        <v>6.8</v>
      </c>
      <c r="O235">
        <v>2.9</v>
      </c>
      <c r="P235">
        <v>1</v>
      </c>
      <c r="Q235" t="s">
        <v>25</v>
      </c>
      <c r="R235" t="s">
        <v>22</v>
      </c>
    </row>
    <row r="236" spans="1:18" x14ac:dyDescent="0.25">
      <c r="A236" t="s">
        <v>264</v>
      </c>
      <c r="B236">
        <v>59.4</v>
      </c>
      <c r="C236">
        <v>54.9</v>
      </c>
      <c r="D236">
        <v>47.8</v>
      </c>
      <c r="E236">
        <v>50.7</v>
      </c>
      <c r="F236">
        <v>61.1</v>
      </c>
      <c r="G236">
        <v>55.9</v>
      </c>
      <c r="H236" t="s">
        <v>19</v>
      </c>
      <c r="I236">
        <v>5</v>
      </c>
      <c r="J236" t="s">
        <v>24</v>
      </c>
      <c r="K236">
        <v>66.8</v>
      </c>
      <c r="L236">
        <v>160</v>
      </c>
      <c r="M236">
        <v>99.7</v>
      </c>
      <c r="N236">
        <v>6.8</v>
      </c>
      <c r="O236">
        <v>2.4</v>
      </c>
      <c r="P236">
        <v>4</v>
      </c>
      <c r="Q236" t="s">
        <v>28</v>
      </c>
      <c r="R236" t="s">
        <v>33</v>
      </c>
    </row>
    <row r="237" spans="1:18" x14ac:dyDescent="0.25">
      <c r="A237" t="s">
        <v>265</v>
      </c>
      <c r="B237">
        <v>80.7</v>
      </c>
      <c r="C237">
        <v>78.8</v>
      </c>
      <c r="D237">
        <v>84.9</v>
      </c>
      <c r="E237">
        <v>79.7</v>
      </c>
      <c r="F237">
        <v>87.2</v>
      </c>
      <c r="G237">
        <v>83.45</v>
      </c>
      <c r="H237" t="s">
        <v>19</v>
      </c>
      <c r="I237">
        <v>3</v>
      </c>
      <c r="J237" t="s">
        <v>38</v>
      </c>
      <c r="K237">
        <v>78.7</v>
      </c>
      <c r="L237">
        <v>189</v>
      </c>
      <c r="M237">
        <v>80.8</v>
      </c>
      <c r="N237">
        <v>7</v>
      </c>
      <c r="O237">
        <v>2.2999999999999998</v>
      </c>
      <c r="P237">
        <v>2</v>
      </c>
      <c r="Q237" t="s">
        <v>25</v>
      </c>
      <c r="R237" t="s">
        <v>33</v>
      </c>
    </row>
    <row r="238" spans="1:18" x14ac:dyDescent="0.25">
      <c r="A238" t="s">
        <v>266</v>
      </c>
      <c r="B238">
        <v>52.2</v>
      </c>
      <c r="C238">
        <v>54.1</v>
      </c>
      <c r="D238">
        <v>47.8</v>
      </c>
      <c r="E238">
        <v>55.4</v>
      </c>
      <c r="F238">
        <v>57</v>
      </c>
      <c r="G238">
        <v>56.2</v>
      </c>
      <c r="H238" t="s">
        <v>19</v>
      </c>
      <c r="I238">
        <v>2</v>
      </c>
      <c r="J238" t="s">
        <v>20</v>
      </c>
      <c r="K238">
        <v>65.7</v>
      </c>
      <c r="L238">
        <v>158</v>
      </c>
      <c r="M238">
        <v>63.4</v>
      </c>
      <c r="N238">
        <v>6.2</v>
      </c>
      <c r="O238">
        <v>5.3</v>
      </c>
      <c r="P238">
        <v>3</v>
      </c>
      <c r="Q238" t="s">
        <v>28</v>
      </c>
      <c r="R238" t="s">
        <v>26</v>
      </c>
    </row>
    <row r="239" spans="1:18" x14ac:dyDescent="0.25">
      <c r="A239" t="s">
        <v>267</v>
      </c>
      <c r="B239">
        <v>38.9</v>
      </c>
      <c r="C239">
        <v>31.3</v>
      </c>
      <c r="D239">
        <v>27.2</v>
      </c>
      <c r="E239">
        <v>41.3</v>
      </c>
      <c r="F239">
        <v>50.3</v>
      </c>
      <c r="G239">
        <v>45.8</v>
      </c>
      <c r="H239" t="s">
        <v>32</v>
      </c>
      <c r="I239">
        <v>1</v>
      </c>
      <c r="J239" t="s">
        <v>20</v>
      </c>
      <c r="K239">
        <v>69.8</v>
      </c>
      <c r="L239">
        <v>168</v>
      </c>
      <c r="M239">
        <v>58.6</v>
      </c>
      <c r="N239">
        <v>7.6</v>
      </c>
      <c r="O239">
        <v>1.3</v>
      </c>
      <c r="P239">
        <v>1</v>
      </c>
      <c r="Q239" t="s">
        <v>25</v>
      </c>
      <c r="R239" t="s">
        <v>33</v>
      </c>
    </row>
    <row r="240" spans="1:18" x14ac:dyDescent="0.25">
      <c r="A240" t="s">
        <v>268</v>
      </c>
      <c r="B240">
        <v>73.900000000000006</v>
      </c>
      <c r="C240">
        <v>78.7</v>
      </c>
      <c r="D240">
        <v>73.2</v>
      </c>
      <c r="E240">
        <v>75.5</v>
      </c>
      <c r="F240">
        <v>84.3</v>
      </c>
      <c r="G240">
        <v>79.900000000000006</v>
      </c>
      <c r="H240" t="s">
        <v>19</v>
      </c>
      <c r="I240">
        <v>4</v>
      </c>
      <c r="J240" t="s">
        <v>38</v>
      </c>
      <c r="K240">
        <v>83.6</v>
      </c>
      <c r="L240">
        <v>201</v>
      </c>
      <c r="M240">
        <v>87.7</v>
      </c>
      <c r="N240">
        <v>6.8</v>
      </c>
      <c r="O240">
        <v>4.4000000000000004</v>
      </c>
      <c r="P240">
        <v>2</v>
      </c>
      <c r="Q240" t="s">
        <v>25</v>
      </c>
      <c r="R240" t="s">
        <v>22</v>
      </c>
    </row>
    <row r="241" spans="1:18" x14ac:dyDescent="0.25">
      <c r="A241" t="s">
        <v>269</v>
      </c>
      <c r="B241">
        <v>51.9</v>
      </c>
      <c r="C241">
        <v>43.5</v>
      </c>
      <c r="D241">
        <v>52.5</v>
      </c>
      <c r="E241">
        <v>49.7</v>
      </c>
      <c r="F241">
        <v>54.7</v>
      </c>
      <c r="G241">
        <v>52.2</v>
      </c>
      <c r="H241" t="s">
        <v>19</v>
      </c>
      <c r="I241">
        <v>2</v>
      </c>
      <c r="J241" t="s">
        <v>20</v>
      </c>
      <c r="K241">
        <v>65.599999999999994</v>
      </c>
      <c r="L241">
        <v>157</v>
      </c>
      <c r="M241">
        <v>56.9</v>
      </c>
      <c r="N241">
        <v>5.6</v>
      </c>
      <c r="O241">
        <v>1.9</v>
      </c>
      <c r="P241">
        <v>1</v>
      </c>
      <c r="Q241" t="s">
        <v>25</v>
      </c>
      <c r="R241" t="s">
        <v>33</v>
      </c>
    </row>
    <row r="242" spans="1:18" x14ac:dyDescent="0.25">
      <c r="A242" t="s">
        <v>270</v>
      </c>
      <c r="B242">
        <v>94.3</v>
      </c>
      <c r="C242">
        <v>92</v>
      </c>
      <c r="D242">
        <v>97.7</v>
      </c>
      <c r="E242">
        <v>91.7</v>
      </c>
      <c r="F242">
        <v>87.1</v>
      </c>
      <c r="G242">
        <v>89.4</v>
      </c>
      <c r="H242" t="s">
        <v>19</v>
      </c>
      <c r="I242">
        <v>2</v>
      </c>
      <c r="J242" t="s">
        <v>20</v>
      </c>
      <c r="K242">
        <v>74.3</v>
      </c>
      <c r="L242">
        <v>178</v>
      </c>
      <c r="M242">
        <v>68.400000000000006</v>
      </c>
      <c r="N242">
        <v>6.8</v>
      </c>
      <c r="O242">
        <v>2.7</v>
      </c>
      <c r="P242">
        <v>2</v>
      </c>
      <c r="Q242" t="s">
        <v>25</v>
      </c>
      <c r="R242" t="s">
        <v>26</v>
      </c>
    </row>
    <row r="243" spans="1:18" x14ac:dyDescent="0.25">
      <c r="A243" t="s">
        <v>271</v>
      </c>
      <c r="B243">
        <v>89.6</v>
      </c>
      <c r="C243">
        <v>93.9</v>
      </c>
      <c r="D243">
        <v>90.2</v>
      </c>
      <c r="E243">
        <v>92.5</v>
      </c>
      <c r="F243">
        <v>88.2</v>
      </c>
      <c r="G243">
        <v>90.35</v>
      </c>
      <c r="H243" t="s">
        <v>19</v>
      </c>
      <c r="I243">
        <v>3</v>
      </c>
      <c r="J243" t="s">
        <v>38</v>
      </c>
      <c r="K243">
        <v>84.4</v>
      </c>
      <c r="L243">
        <v>203</v>
      </c>
      <c r="M243">
        <v>84.6</v>
      </c>
      <c r="N243">
        <v>7.4</v>
      </c>
      <c r="O243">
        <v>1.3</v>
      </c>
      <c r="P243">
        <v>6</v>
      </c>
      <c r="Q243" t="s">
        <v>28</v>
      </c>
      <c r="R243" t="s">
        <v>33</v>
      </c>
    </row>
    <row r="244" spans="1:18" x14ac:dyDescent="0.25">
      <c r="A244" t="s">
        <v>272</v>
      </c>
      <c r="B244">
        <v>90.2</v>
      </c>
      <c r="C244">
        <v>97.1</v>
      </c>
      <c r="D244">
        <v>88.3</v>
      </c>
      <c r="E244">
        <v>90.3</v>
      </c>
      <c r="F244">
        <v>95.7</v>
      </c>
      <c r="G244">
        <v>93</v>
      </c>
      <c r="H244" t="s">
        <v>19</v>
      </c>
      <c r="I244">
        <v>3</v>
      </c>
      <c r="J244" t="s">
        <v>38</v>
      </c>
      <c r="K244">
        <v>98.7</v>
      </c>
      <c r="L244">
        <v>237</v>
      </c>
      <c r="M244">
        <v>89.7</v>
      </c>
      <c r="N244">
        <v>8</v>
      </c>
      <c r="O244">
        <v>2.2999999999999998</v>
      </c>
      <c r="P244">
        <v>3</v>
      </c>
      <c r="Q244" t="s">
        <v>28</v>
      </c>
      <c r="R244" t="s">
        <v>22</v>
      </c>
    </row>
    <row r="245" spans="1:18" x14ac:dyDescent="0.25">
      <c r="A245" t="s">
        <v>273</v>
      </c>
      <c r="B245">
        <v>71.099999999999994</v>
      </c>
      <c r="C245">
        <v>53.8</v>
      </c>
      <c r="D245">
        <v>66.099999999999994</v>
      </c>
      <c r="E245">
        <v>60.4</v>
      </c>
      <c r="F245">
        <v>75.8</v>
      </c>
      <c r="G245">
        <v>68.099999999999994</v>
      </c>
      <c r="H245" t="s">
        <v>19</v>
      </c>
      <c r="I245">
        <v>3</v>
      </c>
      <c r="J245" t="s">
        <v>38</v>
      </c>
      <c r="K245">
        <v>69</v>
      </c>
      <c r="L245">
        <v>166</v>
      </c>
      <c r="M245">
        <v>81.900000000000006</v>
      </c>
      <c r="N245">
        <v>6</v>
      </c>
      <c r="O245">
        <v>4.8</v>
      </c>
      <c r="P245">
        <v>5</v>
      </c>
      <c r="Q245" t="s">
        <v>28</v>
      </c>
      <c r="R245" t="s">
        <v>26</v>
      </c>
    </row>
    <row r="246" spans="1:18" x14ac:dyDescent="0.25">
      <c r="A246" t="s">
        <v>274</v>
      </c>
      <c r="B246">
        <v>49.5</v>
      </c>
      <c r="C246">
        <v>25.8</v>
      </c>
      <c r="D246">
        <v>31.5</v>
      </c>
      <c r="E246">
        <v>40.9</v>
      </c>
      <c r="F246">
        <v>40.1</v>
      </c>
      <c r="G246">
        <v>40.5</v>
      </c>
      <c r="H246" t="s">
        <v>32</v>
      </c>
      <c r="I246">
        <v>2</v>
      </c>
      <c r="J246" t="s">
        <v>20</v>
      </c>
      <c r="K246">
        <v>65.900000000000006</v>
      </c>
      <c r="L246">
        <v>158</v>
      </c>
      <c r="M246">
        <v>70.400000000000006</v>
      </c>
      <c r="N246">
        <v>6.5</v>
      </c>
      <c r="O246">
        <v>5.4</v>
      </c>
      <c r="P246">
        <v>3</v>
      </c>
      <c r="Q246" t="s">
        <v>25</v>
      </c>
      <c r="R246" t="s">
        <v>33</v>
      </c>
    </row>
    <row r="247" spans="1:18" x14ac:dyDescent="0.25">
      <c r="A247" t="s">
        <v>275</v>
      </c>
      <c r="B247">
        <v>93.2</v>
      </c>
      <c r="C247">
        <v>92</v>
      </c>
      <c r="D247">
        <v>89.1</v>
      </c>
      <c r="E247">
        <v>91.1</v>
      </c>
      <c r="F247">
        <v>100</v>
      </c>
      <c r="G247">
        <v>95.55</v>
      </c>
      <c r="H247" t="s">
        <v>19</v>
      </c>
      <c r="I247">
        <v>3</v>
      </c>
      <c r="J247" t="s">
        <v>20</v>
      </c>
      <c r="K247">
        <v>92.7</v>
      </c>
      <c r="L247">
        <v>222</v>
      </c>
      <c r="M247">
        <v>65.599999999999994</v>
      </c>
      <c r="N247">
        <v>8.1</v>
      </c>
      <c r="O247">
        <v>2.1</v>
      </c>
      <c r="P247">
        <v>2</v>
      </c>
      <c r="Q247" t="s">
        <v>25</v>
      </c>
      <c r="R247" t="s">
        <v>22</v>
      </c>
    </row>
    <row r="248" spans="1:18" x14ac:dyDescent="0.25">
      <c r="A248" t="s">
        <v>276</v>
      </c>
      <c r="B248">
        <v>63.7</v>
      </c>
      <c r="C248">
        <v>72.599999999999994</v>
      </c>
      <c r="D248">
        <v>64.5</v>
      </c>
      <c r="E248">
        <v>63.6</v>
      </c>
      <c r="F248">
        <v>77.400000000000006</v>
      </c>
      <c r="G248">
        <v>70.5</v>
      </c>
      <c r="H248" t="s">
        <v>19</v>
      </c>
      <c r="I248">
        <v>4</v>
      </c>
      <c r="J248" t="s">
        <v>38</v>
      </c>
      <c r="K248">
        <v>72.900000000000006</v>
      </c>
      <c r="L248">
        <v>175</v>
      </c>
      <c r="M248">
        <v>88</v>
      </c>
      <c r="N248">
        <v>6.3</v>
      </c>
      <c r="O248">
        <v>3.3</v>
      </c>
      <c r="P248">
        <v>1</v>
      </c>
      <c r="Q248" t="s">
        <v>25</v>
      </c>
      <c r="R248" t="s">
        <v>26</v>
      </c>
    </row>
    <row r="249" spans="1:18" x14ac:dyDescent="0.25">
      <c r="A249" t="s">
        <v>277</v>
      </c>
      <c r="B249">
        <v>93.8</v>
      </c>
      <c r="C249">
        <v>99.4</v>
      </c>
      <c r="D249">
        <v>95.4</v>
      </c>
      <c r="E249">
        <v>93.2</v>
      </c>
      <c r="F249">
        <v>89.8</v>
      </c>
      <c r="G249">
        <v>91.5</v>
      </c>
      <c r="H249" t="s">
        <v>19</v>
      </c>
      <c r="I249">
        <v>5</v>
      </c>
      <c r="J249" t="s">
        <v>24</v>
      </c>
      <c r="K249">
        <v>82.4</v>
      </c>
      <c r="L249">
        <v>198</v>
      </c>
      <c r="M249">
        <v>94.8</v>
      </c>
      <c r="N249">
        <v>7.2</v>
      </c>
      <c r="O249">
        <v>3.4</v>
      </c>
      <c r="P249">
        <v>6</v>
      </c>
      <c r="Q249" t="s">
        <v>21</v>
      </c>
      <c r="R249" t="s">
        <v>26</v>
      </c>
    </row>
    <row r="250" spans="1:18" x14ac:dyDescent="0.25">
      <c r="A250" t="s">
        <v>278</v>
      </c>
      <c r="B250">
        <v>96.1</v>
      </c>
      <c r="C250">
        <v>94</v>
      </c>
      <c r="D250">
        <v>90.5</v>
      </c>
      <c r="E250">
        <v>93</v>
      </c>
      <c r="F250">
        <v>100</v>
      </c>
      <c r="G250">
        <v>96.5</v>
      </c>
      <c r="H250" t="s">
        <v>19</v>
      </c>
      <c r="I250">
        <v>4</v>
      </c>
      <c r="J250" t="s">
        <v>38</v>
      </c>
      <c r="K250">
        <v>74.3</v>
      </c>
      <c r="L250">
        <v>178</v>
      </c>
      <c r="M250">
        <v>90.6</v>
      </c>
      <c r="N250">
        <v>6</v>
      </c>
      <c r="O250">
        <v>5.4</v>
      </c>
      <c r="P250">
        <v>2</v>
      </c>
      <c r="Q250" t="s">
        <v>25</v>
      </c>
      <c r="R250" t="s">
        <v>22</v>
      </c>
    </row>
    <row r="251" spans="1:18" x14ac:dyDescent="0.25">
      <c r="A251" t="s">
        <v>279</v>
      </c>
      <c r="B251">
        <v>81.8</v>
      </c>
      <c r="C251">
        <v>84.5</v>
      </c>
      <c r="D251">
        <v>87.1</v>
      </c>
      <c r="E251">
        <v>86.9</v>
      </c>
      <c r="F251">
        <v>100</v>
      </c>
      <c r="G251">
        <v>93.45</v>
      </c>
      <c r="H251" t="s">
        <v>19</v>
      </c>
      <c r="I251">
        <v>5</v>
      </c>
      <c r="J251" t="s">
        <v>24</v>
      </c>
      <c r="K251">
        <v>86.9</v>
      </c>
      <c r="L251">
        <v>209</v>
      </c>
      <c r="M251">
        <v>95.7</v>
      </c>
      <c r="N251">
        <v>6.3</v>
      </c>
      <c r="O251">
        <v>4.8</v>
      </c>
      <c r="P251">
        <v>1</v>
      </c>
      <c r="Q251" t="s">
        <v>25</v>
      </c>
      <c r="R251" t="s">
        <v>33</v>
      </c>
    </row>
    <row r="252" spans="1:18" x14ac:dyDescent="0.25">
      <c r="A252" t="s">
        <v>280</v>
      </c>
      <c r="B252">
        <v>54.9</v>
      </c>
      <c r="C252">
        <v>60.2</v>
      </c>
      <c r="D252">
        <v>43.8</v>
      </c>
      <c r="E252">
        <v>56.2</v>
      </c>
      <c r="F252">
        <v>76.900000000000006</v>
      </c>
      <c r="G252">
        <v>66.55</v>
      </c>
      <c r="H252" t="s">
        <v>19</v>
      </c>
      <c r="I252">
        <v>4</v>
      </c>
      <c r="J252" t="s">
        <v>38</v>
      </c>
      <c r="K252">
        <v>64</v>
      </c>
      <c r="L252">
        <v>154</v>
      </c>
      <c r="M252">
        <v>97.1</v>
      </c>
      <c r="N252">
        <v>6.5</v>
      </c>
      <c r="O252">
        <v>3.6</v>
      </c>
      <c r="P252">
        <v>1</v>
      </c>
      <c r="Q252" t="s">
        <v>25</v>
      </c>
      <c r="R252" t="s">
        <v>33</v>
      </c>
    </row>
    <row r="253" spans="1:18" x14ac:dyDescent="0.25">
      <c r="A253" t="s">
        <v>281</v>
      </c>
      <c r="B253">
        <v>52.8</v>
      </c>
      <c r="C253">
        <v>56.3</v>
      </c>
      <c r="D253">
        <v>57.9</v>
      </c>
      <c r="E253">
        <v>61.2</v>
      </c>
      <c r="F253">
        <v>64.7</v>
      </c>
      <c r="G253">
        <v>62.95</v>
      </c>
      <c r="H253" t="s">
        <v>19</v>
      </c>
      <c r="I253">
        <v>3</v>
      </c>
      <c r="J253" t="s">
        <v>38</v>
      </c>
      <c r="K253">
        <v>71.5</v>
      </c>
      <c r="L253">
        <v>172</v>
      </c>
      <c r="M253">
        <v>79.3</v>
      </c>
      <c r="N253">
        <v>6.3</v>
      </c>
      <c r="O253">
        <v>4.4000000000000004</v>
      </c>
      <c r="P253">
        <v>6</v>
      </c>
      <c r="Q253" t="s">
        <v>21</v>
      </c>
      <c r="R253" t="s">
        <v>33</v>
      </c>
    </row>
    <row r="254" spans="1:18" x14ac:dyDescent="0.25">
      <c r="A254" t="s">
        <v>282</v>
      </c>
      <c r="B254">
        <v>88.8</v>
      </c>
      <c r="C254">
        <v>89.2</v>
      </c>
      <c r="D254">
        <v>89.1</v>
      </c>
      <c r="E254">
        <v>86.8</v>
      </c>
      <c r="F254">
        <v>72.7</v>
      </c>
      <c r="G254">
        <v>79.75</v>
      </c>
      <c r="H254" t="s">
        <v>19</v>
      </c>
      <c r="I254">
        <v>2</v>
      </c>
      <c r="J254" t="s">
        <v>20</v>
      </c>
      <c r="K254">
        <v>77.2</v>
      </c>
      <c r="L254">
        <v>185</v>
      </c>
      <c r="M254">
        <v>70.8</v>
      </c>
      <c r="N254">
        <v>7.8</v>
      </c>
      <c r="O254">
        <v>5.2</v>
      </c>
      <c r="P254">
        <v>7</v>
      </c>
      <c r="Q254" t="s">
        <v>21</v>
      </c>
      <c r="R254" t="s">
        <v>26</v>
      </c>
    </row>
    <row r="255" spans="1:18" x14ac:dyDescent="0.25">
      <c r="A255" t="s">
        <v>283</v>
      </c>
      <c r="B255">
        <v>60.7</v>
      </c>
      <c r="C255">
        <v>60</v>
      </c>
      <c r="D255">
        <v>52.5</v>
      </c>
      <c r="E255">
        <v>57.4</v>
      </c>
      <c r="F255">
        <v>69.8</v>
      </c>
      <c r="G255">
        <v>63.6</v>
      </c>
      <c r="H255" t="s">
        <v>19</v>
      </c>
      <c r="I255">
        <v>4</v>
      </c>
      <c r="J255" t="s">
        <v>38</v>
      </c>
      <c r="K255">
        <v>67.400000000000006</v>
      </c>
      <c r="L255">
        <v>162</v>
      </c>
      <c r="M255">
        <v>85.3</v>
      </c>
      <c r="N255">
        <v>8.1</v>
      </c>
      <c r="O255">
        <v>1</v>
      </c>
      <c r="P255">
        <v>4</v>
      </c>
      <c r="Q255" t="s">
        <v>28</v>
      </c>
      <c r="R255" t="s">
        <v>26</v>
      </c>
    </row>
    <row r="256" spans="1:18" x14ac:dyDescent="0.25">
      <c r="A256" t="s">
        <v>284</v>
      </c>
      <c r="B256">
        <v>46.9</v>
      </c>
      <c r="C256">
        <v>54.6</v>
      </c>
      <c r="D256">
        <v>49.6</v>
      </c>
      <c r="E256">
        <v>49.3</v>
      </c>
      <c r="F256">
        <v>59.1</v>
      </c>
      <c r="G256">
        <v>54.2</v>
      </c>
      <c r="H256" t="s">
        <v>19</v>
      </c>
      <c r="I256">
        <v>4</v>
      </c>
      <c r="J256" t="s">
        <v>38</v>
      </c>
      <c r="K256">
        <v>64.8</v>
      </c>
      <c r="L256">
        <v>156</v>
      </c>
      <c r="M256">
        <v>84.1</v>
      </c>
      <c r="N256">
        <v>7.6</v>
      </c>
      <c r="O256">
        <v>3</v>
      </c>
      <c r="P256">
        <v>2</v>
      </c>
      <c r="Q256" t="s">
        <v>25</v>
      </c>
      <c r="R256" t="s">
        <v>33</v>
      </c>
    </row>
    <row r="257" spans="1:18" x14ac:dyDescent="0.25">
      <c r="A257" t="s">
        <v>285</v>
      </c>
      <c r="B257">
        <v>78.5</v>
      </c>
      <c r="C257">
        <v>84.4</v>
      </c>
      <c r="D257">
        <v>72.900000000000006</v>
      </c>
      <c r="E257">
        <v>70.599999999999994</v>
      </c>
      <c r="F257">
        <v>79.5</v>
      </c>
      <c r="G257">
        <v>75.05</v>
      </c>
      <c r="H257" t="s">
        <v>19</v>
      </c>
      <c r="I257">
        <v>3</v>
      </c>
      <c r="J257" t="s">
        <v>38</v>
      </c>
      <c r="K257">
        <v>76.7</v>
      </c>
      <c r="L257">
        <v>184</v>
      </c>
      <c r="M257">
        <v>83.2</v>
      </c>
      <c r="N257">
        <v>6.6</v>
      </c>
      <c r="O257">
        <v>5.5</v>
      </c>
      <c r="P257">
        <v>2</v>
      </c>
      <c r="Q257" t="s">
        <v>25</v>
      </c>
      <c r="R257" t="s">
        <v>26</v>
      </c>
    </row>
    <row r="258" spans="1:18" x14ac:dyDescent="0.25">
      <c r="A258" t="s">
        <v>286</v>
      </c>
      <c r="B258">
        <v>85.4</v>
      </c>
      <c r="C258">
        <v>93.5</v>
      </c>
      <c r="D258">
        <v>89.8</v>
      </c>
      <c r="E258">
        <v>91.5</v>
      </c>
      <c r="F258">
        <v>92.4</v>
      </c>
      <c r="G258">
        <v>91.95</v>
      </c>
      <c r="H258" t="s">
        <v>19</v>
      </c>
      <c r="I258">
        <v>3</v>
      </c>
      <c r="J258" t="s">
        <v>20</v>
      </c>
      <c r="K258">
        <v>80.2</v>
      </c>
      <c r="L258">
        <v>192</v>
      </c>
      <c r="M258">
        <v>75.400000000000006</v>
      </c>
      <c r="N258">
        <v>5.8</v>
      </c>
      <c r="O258">
        <v>4.7</v>
      </c>
      <c r="P258">
        <v>1</v>
      </c>
      <c r="Q258" t="s">
        <v>25</v>
      </c>
      <c r="R258" t="s">
        <v>26</v>
      </c>
    </row>
    <row r="259" spans="1:18" x14ac:dyDescent="0.25">
      <c r="A259" t="s">
        <v>287</v>
      </c>
      <c r="B259">
        <v>71</v>
      </c>
      <c r="C259">
        <v>75.7</v>
      </c>
      <c r="D259">
        <v>79.099999999999994</v>
      </c>
      <c r="E259">
        <v>78.3</v>
      </c>
      <c r="F259">
        <v>74.2</v>
      </c>
      <c r="G259">
        <v>76.25</v>
      </c>
      <c r="H259" t="s">
        <v>19</v>
      </c>
      <c r="I259">
        <v>3</v>
      </c>
      <c r="J259" t="s">
        <v>38</v>
      </c>
      <c r="K259">
        <v>85.1</v>
      </c>
      <c r="L259">
        <v>204</v>
      </c>
      <c r="M259">
        <v>81.099999999999994</v>
      </c>
      <c r="N259">
        <v>7.1</v>
      </c>
      <c r="O259">
        <v>3.7</v>
      </c>
      <c r="P259">
        <v>4</v>
      </c>
      <c r="Q259" t="s">
        <v>28</v>
      </c>
      <c r="R259" t="s">
        <v>22</v>
      </c>
    </row>
    <row r="260" spans="1:18" x14ac:dyDescent="0.25">
      <c r="A260" t="s">
        <v>288</v>
      </c>
      <c r="B260">
        <v>72.5</v>
      </c>
      <c r="C260">
        <v>71.2</v>
      </c>
      <c r="D260">
        <v>66.5</v>
      </c>
      <c r="E260">
        <v>71.400000000000006</v>
      </c>
      <c r="F260">
        <v>68.3</v>
      </c>
      <c r="G260">
        <v>69.849999999999994</v>
      </c>
      <c r="H260" t="s">
        <v>19</v>
      </c>
      <c r="I260">
        <v>2</v>
      </c>
      <c r="J260" t="s">
        <v>20</v>
      </c>
      <c r="K260">
        <v>72.7</v>
      </c>
      <c r="L260">
        <v>174</v>
      </c>
      <c r="M260">
        <v>73.099999999999994</v>
      </c>
      <c r="N260">
        <v>7.4</v>
      </c>
      <c r="O260">
        <v>3.6</v>
      </c>
      <c r="P260">
        <v>5</v>
      </c>
      <c r="Q260" t="s">
        <v>28</v>
      </c>
      <c r="R260" t="s">
        <v>33</v>
      </c>
    </row>
    <row r="261" spans="1:18" x14ac:dyDescent="0.25">
      <c r="A261" t="s">
        <v>289</v>
      </c>
      <c r="B261">
        <v>50.6</v>
      </c>
      <c r="C261">
        <v>36.5</v>
      </c>
      <c r="D261">
        <v>44.3</v>
      </c>
      <c r="E261">
        <v>45.3</v>
      </c>
      <c r="F261">
        <v>61.3</v>
      </c>
      <c r="G261">
        <v>53.3</v>
      </c>
      <c r="H261" t="s">
        <v>19</v>
      </c>
      <c r="I261">
        <v>3</v>
      </c>
      <c r="J261" t="s">
        <v>38</v>
      </c>
      <c r="K261">
        <v>54.3</v>
      </c>
      <c r="L261">
        <v>130</v>
      </c>
      <c r="M261">
        <v>82</v>
      </c>
      <c r="N261">
        <v>6.8</v>
      </c>
      <c r="O261">
        <v>2.7</v>
      </c>
      <c r="P261">
        <v>2</v>
      </c>
      <c r="Q261" t="s">
        <v>25</v>
      </c>
      <c r="R261" t="s">
        <v>33</v>
      </c>
    </row>
    <row r="262" spans="1:18" x14ac:dyDescent="0.25">
      <c r="A262" t="s">
        <v>290</v>
      </c>
      <c r="B262">
        <v>82.2</v>
      </c>
      <c r="C262">
        <v>70.400000000000006</v>
      </c>
      <c r="D262">
        <v>76.900000000000006</v>
      </c>
      <c r="E262">
        <v>73.8</v>
      </c>
      <c r="F262">
        <v>81.099999999999994</v>
      </c>
      <c r="G262">
        <v>77.45</v>
      </c>
      <c r="H262" t="s">
        <v>19</v>
      </c>
      <c r="I262">
        <v>2</v>
      </c>
      <c r="J262" t="s">
        <v>20</v>
      </c>
      <c r="K262">
        <v>76.400000000000006</v>
      </c>
      <c r="L262">
        <v>183</v>
      </c>
      <c r="M262">
        <v>68.3</v>
      </c>
      <c r="N262">
        <v>7.4</v>
      </c>
      <c r="O262">
        <v>3.6</v>
      </c>
      <c r="P262">
        <v>1</v>
      </c>
      <c r="Q262" t="s">
        <v>25</v>
      </c>
      <c r="R262" t="s">
        <v>33</v>
      </c>
    </row>
    <row r="263" spans="1:18" x14ac:dyDescent="0.25">
      <c r="A263" t="s">
        <v>291</v>
      </c>
      <c r="B263">
        <v>92.2</v>
      </c>
      <c r="C263">
        <v>92.4</v>
      </c>
      <c r="D263">
        <v>95.2</v>
      </c>
      <c r="E263">
        <v>94.5</v>
      </c>
      <c r="F263">
        <v>98.6</v>
      </c>
      <c r="G263">
        <v>96.55</v>
      </c>
      <c r="H263" t="s">
        <v>19</v>
      </c>
      <c r="I263">
        <v>4</v>
      </c>
      <c r="J263" t="s">
        <v>24</v>
      </c>
      <c r="K263">
        <v>87.4</v>
      </c>
      <c r="L263">
        <v>210</v>
      </c>
      <c r="M263">
        <v>96.2</v>
      </c>
      <c r="N263">
        <v>7.1</v>
      </c>
      <c r="O263">
        <v>4.3</v>
      </c>
      <c r="P263">
        <v>1</v>
      </c>
      <c r="Q263" t="s">
        <v>25</v>
      </c>
      <c r="R263" t="s">
        <v>26</v>
      </c>
    </row>
    <row r="264" spans="1:18" x14ac:dyDescent="0.25">
      <c r="A264" t="s">
        <v>292</v>
      </c>
      <c r="B264">
        <v>53.1</v>
      </c>
      <c r="C264">
        <v>45.1</v>
      </c>
      <c r="D264">
        <v>44.8</v>
      </c>
      <c r="E264">
        <v>47.7</v>
      </c>
      <c r="F264">
        <v>52.9</v>
      </c>
      <c r="G264">
        <v>50.3</v>
      </c>
      <c r="H264" t="s">
        <v>19</v>
      </c>
      <c r="I264">
        <v>2</v>
      </c>
      <c r="J264" t="s">
        <v>20</v>
      </c>
      <c r="K264">
        <v>64.7</v>
      </c>
      <c r="L264">
        <v>155</v>
      </c>
      <c r="M264">
        <v>72</v>
      </c>
      <c r="N264">
        <v>8</v>
      </c>
      <c r="O264">
        <v>3.1</v>
      </c>
      <c r="P264">
        <v>2</v>
      </c>
      <c r="Q264" t="s">
        <v>25</v>
      </c>
      <c r="R264" t="s">
        <v>26</v>
      </c>
    </row>
    <row r="265" spans="1:18" x14ac:dyDescent="0.25">
      <c r="A265" t="s">
        <v>293</v>
      </c>
      <c r="B265">
        <v>68.3</v>
      </c>
      <c r="C265">
        <v>69.3</v>
      </c>
      <c r="D265">
        <v>69.599999999999994</v>
      </c>
      <c r="E265">
        <v>68.5</v>
      </c>
      <c r="F265">
        <v>63.8</v>
      </c>
      <c r="G265">
        <v>66.150000000000006</v>
      </c>
      <c r="H265" t="s">
        <v>19</v>
      </c>
      <c r="I265">
        <v>1</v>
      </c>
      <c r="J265" t="s">
        <v>20</v>
      </c>
      <c r="K265">
        <v>81.099999999999994</v>
      </c>
      <c r="L265">
        <v>195</v>
      </c>
      <c r="M265">
        <v>58.1</v>
      </c>
      <c r="N265">
        <v>6.4</v>
      </c>
      <c r="O265">
        <v>4.5999999999999996</v>
      </c>
      <c r="P265">
        <v>1</v>
      </c>
      <c r="Q265" t="s">
        <v>25</v>
      </c>
      <c r="R265" t="s">
        <v>26</v>
      </c>
    </row>
    <row r="266" spans="1:18" x14ac:dyDescent="0.25">
      <c r="A266" t="s">
        <v>294</v>
      </c>
      <c r="B266">
        <v>87.4</v>
      </c>
      <c r="C266">
        <v>84.1</v>
      </c>
      <c r="D266">
        <v>91.8</v>
      </c>
      <c r="E266">
        <v>88.3</v>
      </c>
      <c r="F266">
        <v>86.5</v>
      </c>
      <c r="G266">
        <v>87.4</v>
      </c>
      <c r="H266" t="s">
        <v>19</v>
      </c>
      <c r="I266">
        <v>3</v>
      </c>
      <c r="J266" t="s">
        <v>20</v>
      </c>
      <c r="K266">
        <v>82.9</v>
      </c>
      <c r="L266">
        <v>199</v>
      </c>
      <c r="M266">
        <v>81.8</v>
      </c>
      <c r="N266">
        <v>5.9</v>
      </c>
      <c r="O266">
        <v>5.3</v>
      </c>
      <c r="P266">
        <v>3</v>
      </c>
      <c r="Q266" t="s">
        <v>28</v>
      </c>
      <c r="R266" t="s">
        <v>33</v>
      </c>
    </row>
    <row r="267" spans="1:18" x14ac:dyDescent="0.25">
      <c r="A267" t="s">
        <v>295</v>
      </c>
      <c r="B267">
        <v>85.2</v>
      </c>
      <c r="C267">
        <v>86.3</v>
      </c>
      <c r="D267">
        <v>70.5</v>
      </c>
      <c r="E267">
        <v>80.7</v>
      </c>
      <c r="F267">
        <v>82.1</v>
      </c>
      <c r="G267">
        <v>81.400000000000006</v>
      </c>
      <c r="H267" t="s">
        <v>19</v>
      </c>
      <c r="I267">
        <v>4</v>
      </c>
      <c r="J267" t="s">
        <v>38</v>
      </c>
      <c r="K267">
        <v>79.8</v>
      </c>
      <c r="L267">
        <v>192</v>
      </c>
      <c r="M267">
        <v>80.400000000000006</v>
      </c>
      <c r="N267">
        <v>7.3</v>
      </c>
      <c r="O267">
        <v>1.8</v>
      </c>
      <c r="P267">
        <v>1</v>
      </c>
      <c r="Q267" t="s">
        <v>25</v>
      </c>
      <c r="R267" t="s">
        <v>26</v>
      </c>
    </row>
    <row r="268" spans="1:18" x14ac:dyDescent="0.25">
      <c r="A268" t="s">
        <v>296</v>
      </c>
      <c r="B268">
        <v>81.599999999999994</v>
      </c>
      <c r="C268">
        <v>78.3</v>
      </c>
      <c r="D268">
        <v>84.1</v>
      </c>
      <c r="E268">
        <v>78.3</v>
      </c>
      <c r="F268">
        <v>73.599999999999994</v>
      </c>
      <c r="G268">
        <v>75.95</v>
      </c>
      <c r="H268" t="s">
        <v>19</v>
      </c>
      <c r="I268">
        <v>3</v>
      </c>
      <c r="J268" t="s">
        <v>20</v>
      </c>
      <c r="K268">
        <v>73.7</v>
      </c>
      <c r="L268">
        <v>177</v>
      </c>
      <c r="M268">
        <v>80.400000000000006</v>
      </c>
      <c r="N268">
        <v>7.7</v>
      </c>
      <c r="O268">
        <v>3.3</v>
      </c>
      <c r="P268">
        <v>4</v>
      </c>
      <c r="Q268" t="s">
        <v>28</v>
      </c>
      <c r="R268" t="s">
        <v>33</v>
      </c>
    </row>
    <row r="269" spans="1:18" x14ac:dyDescent="0.25">
      <c r="A269" t="s">
        <v>297</v>
      </c>
      <c r="B269">
        <v>70.8</v>
      </c>
      <c r="C269">
        <v>78.599999999999994</v>
      </c>
      <c r="D269">
        <v>77</v>
      </c>
      <c r="E269">
        <v>78.599999999999994</v>
      </c>
      <c r="F269">
        <v>70.099999999999994</v>
      </c>
      <c r="G269">
        <v>74.349999999999994</v>
      </c>
      <c r="H269" t="s">
        <v>19</v>
      </c>
      <c r="I269">
        <v>2</v>
      </c>
      <c r="J269" t="s">
        <v>20</v>
      </c>
      <c r="K269">
        <v>83.4</v>
      </c>
      <c r="L269">
        <v>200</v>
      </c>
      <c r="M269">
        <v>74.2</v>
      </c>
      <c r="N269">
        <v>6.2</v>
      </c>
      <c r="O269">
        <v>3</v>
      </c>
      <c r="P269">
        <v>5</v>
      </c>
      <c r="Q269" t="s">
        <v>28</v>
      </c>
      <c r="R269" t="s">
        <v>26</v>
      </c>
    </row>
    <row r="270" spans="1:18" x14ac:dyDescent="0.25">
      <c r="A270" t="s">
        <v>298</v>
      </c>
      <c r="B270">
        <v>67.2</v>
      </c>
      <c r="C270">
        <v>58.1</v>
      </c>
      <c r="D270">
        <v>61.9</v>
      </c>
      <c r="E270">
        <v>59.8</v>
      </c>
      <c r="F270">
        <v>70</v>
      </c>
      <c r="G270">
        <v>64.900000000000006</v>
      </c>
      <c r="H270" t="s">
        <v>19</v>
      </c>
      <c r="I270">
        <v>3</v>
      </c>
      <c r="J270" t="s">
        <v>38</v>
      </c>
      <c r="K270">
        <v>70.8</v>
      </c>
      <c r="L270">
        <v>170</v>
      </c>
      <c r="M270">
        <v>72.8</v>
      </c>
      <c r="N270">
        <v>5.6</v>
      </c>
      <c r="O270">
        <v>4.4000000000000004</v>
      </c>
      <c r="P270">
        <v>3</v>
      </c>
      <c r="Q270" t="s">
        <v>25</v>
      </c>
      <c r="R270" t="s">
        <v>33</v>
      </c>
    </row>
    <row r="271" spans="1:18" x14ac:dyDescent="0.25">
      <c r="A271" t="s">
        <v>299</v>
      </c>
      <c r="B271">
        <v>63</v>
      </c>
      <c r="C271">
        <v>56.9</v>
      </c>
      <c r="D271">
        <v>62.1</v>
      </c>
      <c r="E271">
        <v>56.1</v>
      </c>
      <c r="F271">
        <v>55.1</v>
      </c>
      <c r="G271">
        <v>55.6</v>
      </c>
      <c r="H271" t="s">
        <v>19</v>
      </c>
      <c r="I271">
        <v>2</v>
      </c>
      <c r="J271" t="s">
        <v>20</v>
      </c>
      <c r="K271">
        <v>66</v>
      </c>
      <c r="L271">
        <v>158</v>
      </c>
      <c r="M271">
        <v>74.3</v>
      </c>
      <c r="N271">
        <v>7.4</v>
      </c>
      <c r="O271">
        <v>2.2000000000000002</v>
      </c>
      <c r="P271">
        <v>6</v>
      </c>
      <c r="Q271" t="s">
        <v>21</v>
      </c>
      <c r="R271" t="s">
        <v>22</v>
      </c>
    </row>
    <row r="272" spans="1:18" x14ac:dyDescent="0.25">
      <c r="A272" t="s">
        <v>300</v>
      </c>
      <c r="B272">
        <v>81.400000000000006</v>
      </c>
      <c r="C272">
        <v>88.6</v>
      </c>
      <c r="D272">
        <v>77.7</v>
      </c>
      <c r="E272">
        <v>84.5</v>
      </c>
      <c r="F272">
        <v>95.7</v>
      </c>
      <c r="G272">
        <v>90.1</v>
      </c>
      <c r="H272" t="s">
        <v>19</v>
      </c>
      <c r="I272">
        <v>5</v>
      </c>
      <c r="J272" t="s">
        <v>24</v>
      </c>
      <c r="K272">
        <v>72.7</v>
      </c>
      <c r="L272">
        <v>174</v>
      </c>
      <c r="M272">
        <v>95</v>
      </c>
      <c r="N272">
        <v>6.5</v>
      </c>
      <c r="O272">
        <v>4.2</v>
      </c>
      <c r="P272">
        <v>3</v>
      </c>
      <c r="Q272" t="s">
        <v>25</v>
      </c>
      <c r="R272" t="s">
        <v>26</v>
      </c>
    </row>
    <row r="273" spans="1:18" x14ac:dyDescent="0.25">
      <c r="A273" t="s">
        <v>301</v>
      </c>
      <c r="B273">
        <v>86.5</v>
      </c>
      <c r="C273">
        <v>80.2</v>
      </c>
      <c r="D273">
        <v>81</v>
      </c>
      <c r="E273">
        <v>84.6</v>
      </c>
      <c r="F273">
        <v>83.1</v>
      </c>
      <c r="G273">
        <v>83.85</v>
      </c>
      <c r="H273" t="s">
        <v>19</v>
      </c>
      <c r="I273">
        <v>5</v>
      </c>
      <c r="J273" t="s">
        <v>24</v>
      </c>
      <c r="K273">
        <v>89.5</v>
      </c>
      <c r="L273">
        <v>215</v>
      </c>
      <c r="M273">
        <v>93.1</v>
      </c>
      <c r="N273">
        <v>6.4</v>
      </c>
      <c r="O273">
        <v>5.4</v>
      </c>
      <c r="P273">
        <v>6</v>
      </c>
      <c r="Q273" t="s">
        <v>21</v>
      </c>
      <c r="R273" t="s">
        <v>33</v>
      </c>
    </row>
    <row r="274" spans="1:18" x14ac:dyDescent="0.25">
      <c r="A274" t="s">
        <v>302</v>
      </c>
      <c r="B274">
        <v>90.2</v>
      </c>
      <c r="C274">
        <v>84.4</v>
      </c>
      <c r="D274">
        <v>86.2</v>
      </c>
      <c r="E274">
        <v>87.7</v>
      </c>
      <c r="F274">
        <v>81.5</v>
      </c>
      <c r="G274">
        <v>84.6</v>
      </c>
      <c r="H274" t="s">
        <v>19</v>
      </c>
      <c r="I274">
        <v>3</v>
      </c>
      <c r="J274" t="s">
        <v>20</v>
      </c>
      <c r="K274">
        <v>77.7</v>
      </c>
      <c r="L274">
        <v>186</v>
      </c>
      <c r="M274">
        <v>86.8</v>
      </c>
      <c r="N274">
        <v>7.5</v>
      </c>
      <c r="O274">
        <v>3.1</v>
      </c>
      <c r="P274">
        <v>4</v>
      </c>
      <c r="Q274" t="s">
        <v>28</v>
      </c>
      <c r="R274" t="s">
        <v>22</v>
      </c>
    </row>
    <row r="275" spans="1:18" x14ac:dyDescent="0.25">
      <c r="A275" t="s">
        <v>303</v>
      </c>
      <c r="B275">
        <v>91.5</v>
      </c>
      <c r="C275">
        <v>88.7</v>
      </c>
      <c r="D275">
        <v>86.3</v>
      </c>
      <c r="E275">
        <v>90.2</v>
      </c>
      <c r="F275">
        <v>79.099999999999994</v>
      </c>
      <c r="G275">
        <v>84.65</v>
      </c>
      <c r="H275" t="s">
        <v>19</v>
      </c>
      <c r="I275">
        <v>2</v>
      </c>
      <c r="J275" t="s">
        <v>20</v>
      </c>
      <c r="K275">
        <v>82.2</v>
      </c>
      <c r="L275">
        <v>197</v>
      </c>
      <c r="M275">
        <v>69.8</v>
      </c>
      <c r="N275">
        <v>6.1</v>
      </c>
      <c r="O275">
        <v>5.6</v>
      </c>
      <c r="P275">
        <v>4</v>
      </c>
      <c r="Q275" t="s">
        <v>28</v>
      </c>
      <c r="R275" t="s">
        <v>22</v>
      </c>
    </row>
    <row r="276" spans="1:18" x14ac:dyDescent="0.25">
      <c r="A276" t="s">
        <v>304</v>
      </c>
      <c r="B276">
        <v>65.400000000000006</v>
      </c>
      <c r="C276">
        <v>61.4</v>
      </c>
      <c r="D276">
        <v>76.8</v>
      </c>
      <c r="E276">
        <v>68.099999999999994</v>
      </c>
      <c r="F276">
        <v>69.8</v>
      </c>
      <c r="G276">
        <v>68.95</v>
      </c>
      <c r="H276" t="s">
        <v>19</v>
      </c>
      <c r="I276">
        <v>4</v>
      </c>
      <c r="J276" t="s">
        <v>38</v>
      </c>
      <c r="K276">
        <v>75.900000000000006</v>
      </c>
      <c r="L276">
        <v>182</v>
      </c>
      <c r="M276">
        <v>85.5</v>
      </c>
      <c r="N276">
        <v>5.3</v>
      </c>
      <c r="O276">
        <v>6</v>
      </c>
      <c r="P276">
        <v>2</v>
      </c>
      <c r="Q276" t="s">
        <v>25</v>
      </c>
      <c r="R276" t="s">
        <v>26</v>
      </c>
    </row>
    <row r="277" spans="1:18" x14ac:dyDescent="0.25">
      <c r="A277" t="s">
        <v>305</v>
      </c>
      <c r="B277">
        <v>64.2</v>
      </c>
      <c r="C277">
        <v>63.5</v>
      </c>
      <c r="D277">
        <v>63.3</v>
      </c>
      <c r="E277">
        <v>67.599999999999994</v>
      </c>
      <c r="F277">
        <v>75.3</v>
      </c>
      <c r="G277">
        <v>71.45</v>
      </c>
      <c r="H277" t="s">
        <v>19</v>
      </c>
      <c r="I277">
        <v>1</v>
      </c>
      <c r="J277" t="s">
        <v>20</v>
      </c>
      <c r="K277">
        <v>67.8</v>
      </c>
      <c r="L277">
        <v>163</v>
      </c>
      <c r="M277">
        <v>61.8</v>
      </c>
      <c r="N277">
        <v>8.6</v>
      </c>
      <c r="O277">
        <v>1.5</v>
      </c>
      <c r="P277">
        <v>3</v>
      </c>
      <c r="Q277" t="s">
        <v>25</v>
      </c>
      <c r="R277" t="s">
        <v>33</v>
      </c>
    </row>
    <row r="278" spans="1:18" x14ac:dyDescent="0.25">
      <c r="A278" t="s">
        <v>306</v>
      </c>
      <c r="B278">
        <v>83.8</v>
      </c>
      <c r="C278">
        <v>81.5</v>
      </c>
      <c r="D278">
        <v>81.099999999999994</v>
      </c>
      <c r="E278">
        <v>83.9</v>
      </c>
      <c r="F278">
        <v>90.5</v>
      </c>
      <c r="G278">
        <v>87.2</v>
      </c>
      <c r="H278" t="s">
        <v>19</v>
      </c>
      <c r="I278">
        <v>3</v>
      </c>
      <c r="J278" t="s">
        <v>20</v>
      </c>
      <c r="K278">
        <v>74.5</v>
      </c>
      <c r="L278">
        <v>179</v>
      </c>
      <c r="M278">
        <v>82.4</v>
      </c>
      <c r="N278">
        <v>6.9</v>
      </c>
      <c r="O278">
        <v>2.2000000000000002</v>
      </c>
      <c r="P278">
        <v>3</v>
      </c>
      <c r="Q278" t="s">
        <v>25</v>
      </c>
      <c r="R278" t="s">
        <v>26</v>
      </c>
    </row>
    <row r="279" spans="1:18" x14ac:dyDescent="0.25">
      <c r="A279" t="s">
        <v>307</v>
      </c>
      <c r="B279">
        <v>81.599999999999994</v>
      </c>
      <c r="C279">
        <v>80.099999999999994</v>
      </c>
      <c r="D279">
        <v>76.8</v>
      </c>
      <c r="E279">
        <v>75.7</v>
      </c>
      <c r="F279">
        <v>73.3</v>
      </c>
      <c r="G279">
        <v>74.5</v>
      </c>
      <c r="H279" t="s">
        <v>19</v>
      </c>
      <c r="I279">
        <v>2</v>
      </c>
      <c r="J279" t="s">
        <v>20</v>
      </c>
      <c r="K279">
        <v>67.3</v>
      </c>
      <c r="L279">
        <v>162</v>
      </c>
      <c r="M279">
        <v>72.7</v>
      </c>
      <c r="N279">
        <v>5.7</v>
      </c>
      <c r="O279">
        <v>5.8</v>
      </c>
      <c r="P279">
        <v>5</v>
      </c>
      <c r="Q279" t="s">
        <v>28</v>
      </c>
      <c r="R279" t="s">
        <v>22</v>
      </c>
    </row>
    <row r="280" spans="1:18" x14ac:dyDescent="0.25">
      <c r="A280" t="s">
        <v>308</v>
      </c>
      <c r="B280">
        <v>81.3</v>
      </c>
      <c r="C280">
        <v>79.900000000000006</v>
      </c>
      <c r="D280">
        <v>72.599999999999994</v>
      </c>
      <c r="E280">
        <v>78.599999999999994</v>
      </c>
      <c r="F280">
        <v>74.400000000000006</v>
      </c>
      <c r="G280">
        <v>76.5</v>
      </c>
      <c r="H280" t="s">
        <v>19</v>
      </c>
      <c r="I280">
        <v>5</v>
      </c>
      <c r="J280" t="s">
        <v>24</v>
      </c>
      <c r="K280">
        <v>82.9</v>
      </c>
      <c r="L280">
        <v>199</v>
      </c>
      <c r="M280">
        <v>102.7</v>
      </c>
      <c r="N280">
        <v>6.8</v>
      </c>
      <c r="O280">
        <v>5.8</v>
      </c>
      <c r="P280">
        <v>4</v>
      </c>
      <c r="Q280" t="s">
        <v>28</v>
      </c>
      <c r="R280" t="s">
        <v>26</v>
      </c>
    </row>
    <row r="281" spans="1:18" x14ac:dyDescent="0.25">
      <c r="A281" t="s">
        <v>309</v>
      </c>
      <c r="B281">
        <v>81.900000000000006</v>
      </c>
      <c r="C281">
        <v>84.7</v>
      </c>
      <c r="D281">
        <v>81.8</v>
      </c>
      <c r="E281">
        <v>83.8</v>
      </c>
      <c r="F281">
        <v>76.599999999999994</v>
      </c>
      <c r="G281">
        <v>80.2</v>
      </c>
      <c r="H281" t="s">
        <v>19</v>
      </c>
      <c r="I281">
        <v>1</v>
      </c>
      <c r="J281" t="s">
        <v>140</v>
      </c>
      <c r="K281">
        <v>79.2</v>
      </c>
      <c r="L281">
        <v>190</v>
      </c>
      <c r="M281">
        <v>63.1</v>
      </c>
      <c r="N281">
        <v>7.4</v>
      </c>
      <c r="O281">
        <v>1.5</v>
      </c>
      <c r="P281">
        <v>2</v>
      </c>
      <c r="Q281" t="s">
        <v>25</v>
      </c>
      <c r="R281" t="s">
        <v>33</v>
      </c>
    </row>
    <row r="282" spans="1:18" x14ac:dyDescent="0.25">
      <c r="A282" t="s">
        <v>310</v>
      </c>
      <c r="B282">
        <v>92.8</v>
      </c>
      <c r="C282">
        <v>93.2</v>
      </c>
      <c r="D282">
        <v>90.5</v>
      </c>
      <c r="E282">
        <v>89</v>
      </c>
      <c r="F282">
        <v>86.6</v>
      </c>
      <c r="G282">
        <v>87.8</v>
      </c>
      <c r="H282" t="s">
        <v>19</v>
      </c>
      <c r="I282">
        <v>3</v>
      </c>
      <c r="J282" t="s">
        <v>38</v>
      </c>
      <c r="K282">
        <v>99.1</v>
      </c>
      <c r="L282">
        <v>238</v>
      </c>
      <c r="M282">
        <v>71.2</v>
      </c>
      <c r="N282">
        <v>7.6</v>
      </c>
      <c r="O282">
        <v>1.1000000000000001</v>
      </c>
      <c r="P282">
        <v>3</v>
      </c>
      <c r="Q282" t="s">
        <v>25</v>
      </c>
      <c r="R282" t="s">
        <v>22</v>
      </c>
    </row>
    <row r="283" spans="1:18" x14ac:dyDescent="0.25">
      <c r="A283" t="s">
        <v>311</v>
      </c>
      <c r="B283">
        <v>44.3</v>
      </c>
      <c r="C283">
        <v>57.9</v>
      </c>
      <c r="D283">
        <v>56.9</v>
      </c>
      <c r="E283">
        <v>58.6</v>
      </c>
      <c r="F283">
        <v>63</v>
      </c>
      <c r="G283">
        <v>60.8</v>
      </c>
      <c r="H283" t="s">
        <v>19</v>
      </c>
      <c r="I283">
        <v>4</v>
      </c>
      <c r="J283" t="s">
        <v>38</v>
      </c>
      <c r="K283">
        <v>64.3</v>
      </c>
      <c r="L283">
        <v>154</v>
      </c>
      <c r="M283">
        <v>87</v>
      </c>
      <c r="N283">
        <v>7.7</v>
      </c>
      <c r="O283">
        <v>1.8</v>
      </c>
      <c r="P283">
        <v>4</v>
      </c>
      <c r="Q283" t="s">
        <v>28</v>
      </c>
      <c r="R283" t="s">
        <v>26</v>
      </c>
    </row>
    <row r="284" spans="1:18" x14ac:dyDescent="0.25">
      <c r="A284" t="s">
        <v>312</v>
      </c>
      <c r="B284">
        <v>66.400000000000006</v>
      </c>
      <c r="C284">
        <v>62.6</v>
      </c>
      <c r="D284">
        <v>60.2</v>
      </c>
      <c r="E284">
        <v>60.7</v>
      </c>
      <c r="F284">
        <v>52.9</v>
      </c>
      <c r="G284">
        <v>56.8</v>
      </c>
      <c r="H284" t="s">
        <v>19</v>
      </c>
      <c r="I284">
        <v>3</v>
      </c>
      <c r="J284" t="s">
        <v>20</v>
      </c>
      <c r="K284">
        <v>65.7</v>
      </c>
      <c r="L284">
        <v>158</v>
      </c>
      <c r="M284">
        <v>76.599999999999994</v>
      </c>
      <c r="N284">
        <v>6.7</v>
      </c>
      <c r="O284">
        <v>6</v>
      </c>
      <c r="P284">
        <v>7</v>
      </c>
      <c r="Q284" t="s">
        <v>21</v>
      </c>
      <c r="R284" t="s">
        <v>26</v>
      </c>
    </row>
    <row r="285" spans="1:18" x14ac:dyDescent="0.25">
      <c r="A285" t="s">
        <v>313</v>
      </c>
      <c r="B285">
        <v>36.5</v>
      </c>
      <c r="C285">
        <v>44.7</v>
      </c>
      <c r="D285">
        <v>42.5</v>
      </c>
      <c r="E285">
        <v>45.2</v>
      </c>
      <c r="F285">
        <v>49.5</v>
      </c>
      <c r="G285">
        <v>47.35</v>
      </c>
      <c r="H285" t="s">
        <v>32</v>
      </c>
      <c r="I285">
        <v>1</v>
      </c>
      <c r="J285" t="s">
        <v>20</v>
      </c>
      <c r="K285">
        <v>59.8</v>
      </c>
      <c r="L285">
        <v>144</v>
      </c>
      <c r="M285">
        <v>65.8</v>
      </c>
      <c r="N285">
        <v>7.3</v>
      </c>
      <c r="O285">
        <v>1.9</v>
      </c>
      <c r="P285">
        <v>1</v>
      </c>
      <c r="Q285" t="s">
        <v>25</v>
      </c>
      <c r="R285" t="s">
        <v>26</v>
      </c>
    </row>
    <row r="286" spans="1:18" x14ac:dyDescent="0.25">
      <c r="A286" t="s">
        <v>314</v>
      </c>
      <c r="B286">
        <v>70</v>
      </c>
      <c r="C286">
        <v>73.099999999999994</v>
      </c>
      <c r="D286">
        <v>64.2</v>
      </c>
      <c r="E286">
        <v>71.8</v>
      </c>
      <c r="F286">
        <v>79.099999999999994</v>
      </c>
      <c r="G286">
        <v>75.45</v>
      </c>
      <c r="H286" t="s">
        <v>19</v>
      </c>
      <c r="I286">
        <v>5</v>
      </c>
      <c r="J286" t="s">
        <v>24</v>
      </c>
      <c r="K286">
        <v>77.099999999999994</v>
      </c>
      <c r="L286">
        <v>185</v>
      </c>
      <c r="M286">
        <v>85.8</v>
      </c>
      <c r="N286">
        <v>7.7</v>
      </c>
      <c r="O286">
        <v>3.5</v>
      </c>
      <c r="P286">
        <v>1</v>
      </c>
      <c r="Q286" t="s">
        <v>25</v>
      </c>
      <c r="R286" t="s">
        <v>26</v>
      </c>
    </row>
    <row r="287" spans="1:18" x14ac:dyDescent="0.25">
      <c r="A287" t="s">
        <v>315</v>
      </c>
      <c r="B287">
        <v>36.4</v>
      </c>
      <c r="C287">
        <v>39.1</v>
      </c>
      <c r="D287">
        <v>43.6</v>
      </c>
      <c r="E287">
        <v>42</v>
      </c>
      <c r="F287">
        <v>44.2</v>
      </c>
      <c r="G287">
        <v>43.1</v>
      </c>
      <c r="H287" t="s">
        <v>32</v>
      </c>
      <c r="I287">
        <v>3</v>
      </c>
      <c r="J287" t="s">
        <v>38</v>
      </c>
      <c r="K287">
        <v>58.6</v>
      </c>
      <c r="L287">
        <v>141</v>
      </c>
      <c r="M287">
        <v>93.5</v>
      </c>
      <c r="N287">
        <v>5.4</v>
      </c>
      <c r="O287">
        <v>5.2</v>
      </c>
      <c r="P287">
        <v>6</v>
      </c>
      <c r="Q287" t="s">
        <v>21</v>
      </c>
      <c r="R287" t="s">
        <v>26</v>
      </c>
    </row>
    <row r="288" spans="1:18" x14ac:dyDescent="0.25">
      <c r="A288" t="s">
        <v>316</v>
      </c>
      <c r="B288">
        <v>59.1</v>
      </c>
      <c r="C288">
        <v>53.4</v>
      </c>
      <c r="D288">
        <v>74.400000000000006</v>
      </c>
      <c r="E288">
        <v>65.599999999999994</v>
      </c>
      <c r="F288">
        <v>63.5</v>
      </c>
      <c r="G288">
        <v>64.55</v>
      </c>
      <c r="H288" t="s">
        <v>19</v>
      </c>
      <c r="I288">
        <v>4</v>
      </c>
      <c r="J288" t="s">
        <v>38</v>
      </c>
      <c r="K288">
        <v>75.900000000000006</v>
      </c>
      <c r="L288">
        <v>182</v>
      </c>
      <c r="M288">
        <v>87.2</v>
      </c>
      <c r="N288">
        <v>8</v>
      </c>
      <c r="O288">
        <v>1.1000000000000001</v>
      </c>
      <c r="P288">
        <v>7</v>
      </c>
      <c r="Q288" t="s">
        <v>21</v>
      </c>
      <c r="R288" t="s">
        <v>22</v>
      </c>
    </row>
    <row r="289" spans="1:18" x14ac:dyDescent="0.25">
      <c r="A289" t="s">
        <v>317</v>
      </c>
      <c r="B289">
        <v>75.599999999999994</v>
      </c>
      <c r="C289">
        <v>69.2</v>
      </c>
      <c r="D289">
        <v>69.900000000000006</v>
      </c>
      <c r="E289">
        <v>69.8</v>
      </c>
      <c r="F289">
        <v>74.8</v>
      </c>
      <c r="G289">
        <v>72.3</v>
      </c>
      <c r="H289" t="s">
        <v>19</v>
      </c>
      <c r="I289">
        <v>2</v>
      </c>
      <c r="J289" t="s">
        <v>20</v>
      </c>
      <c r="K289">
        <v>70</v>
      </c>
      <c r="L289">
        <v>168</v>
      </c>
      <c r="M289">
        <v>70.2</v>
      </c>
      <c r="N289">
        <v>6.4</v>
      </c>
      <c r="O289">
        <v>4</v>
      </c>
      <c r="P289">
        <v>1</v>
      </c>
      <c r="Q289" t="s">
        <v>25</v>
      </c>
      <c r="R289" t="s">
        <v>22</v>
      </c>
    </row>
    <row r="290" spans="1:18" x14ac:dyDescent="0.25">
      <c r="A290" t="s">
        <v>318</v>
      </c>
      <c r="B290">
        <v>53.4</v>
      </c>
      <c r="C290">
        <v>62.9</v>
      </c>
      <c r="D290">
        <v>56.9</v>
      </c>
      <c r="E290">
        <v>55.8</v>
      </c>
      <c r="F290">
        <v>74.7</v>
      </c>
      <c r="G290">
        <v>65.25</v>
      </c>
      <c r="H290" t="s">
        <v>19</v>
      </c>
      <c r="I290">
        <v>3</v>
      </c>
      <c r="J290" t="s">
        <v>20</v>
      </c>
      <c r="K290">
        <v>61</v>
      </c>
      <c r="L290">
        <v>146</v>
      </c>
      <c r="M290">
        <v>85.2</v>
      </c>
      <c r="N290">
        <v>8</v>
      </c>
      <c r="O290">
        <v>2.4</v>
      </c>
      <c r="P290">
        <v>1</v>
      </c>
      <c r="Q290" t="s">
        <v>25</v>
      </c>
      <c r="R290" t="s">
        <v>33</v>
      </c>
    </row>
    <row r="291" spans="1:18" x14ac:dyDescent="0.25">
      <c r="A291" t="s">
        <v>319</v>
      </c>
      <c r="B291">
        <v>74.2</v>
      </c>
      <c r="C291">
        <v>77.099999999999994</v>
      </c>
      <c r="D291">
        <v>76</v>
      </c>
      <c r="E291">
        <v>72.5</v>
      </c>
      <c r="F291">
        <v>77.3</v>
      </c>
      <c r="G291">
        <v>74.900000000000006</v>
      </c>
      <c r="H291" t="s">
        <v>19</v>
      </c>
      <c r="I291">
        <v>3</v>
      </c>
      <c r="J291" t="s">
        <v>20</v>
      </c>
      <c r="K291">
        <v>67.3</v>
      </c>
      <c r="L291">
        <v>162</v>
      </c>
      <c r="M291">
        <v>88.9</v>
      </c>
      <c r="N291">
        <v>6.5</v>
      </c>
      <c r="O291">
        <v>5.3</v>
      </c>
      <c r="P291">
        <v>4</v>
      </c>
      <c r="Q291" t="s">
        <v>28</v>
      </c>
      <c r="R291" t="s">
        <v>26</v>
      </c>
    </row>
    <row r="292" spans="1:18" x14ac:dyDescent="0.25">
      <c r="A292" t="s">
        <v>320</v>
      </c>
      <c r="B292">
        <v>41.4</v>
      </c>
      <c r="C292">
        <v>46.5</v>
      </c>
      <c r="D292">
        <v>35.299999999999997</v>
      </c>
      <c r="E292">
        <v>41.7</v>
      </c>
      <c r="F292">
        <v>43.1</v>
      </c>
      <c r="G292">
        <v>42.4</v>
      </c>
      <c r="H292" t="s">
        <v>32</v>
      </c>
      <c r="I292">
        <v>1</v>
      </c>
      <c r="J292" t="s">
        <v>20</v>
      </c>
      <c r="K292">
        <v>49.7</v>
      </c>
      <c r="L292">
        <v>119</v>
      </c>
      <c r="M292">
        <v>67.3</v>
      </c>
      <c r="N292">
        <v>6.9</v>
      </c>
      <c r="O292">
        <v>2.4</v>
      </c>
      <c r="P292">
        <v>3</v>
      </c>
      <c r="Q292" t="s">
        <v>28</v>
      </c>
      <c r="R292" t="s">
        <v>33</v>
      </c>
    </row>
    <row r="293" spans="1:18" x14ac:dyDescent="0.25">
      <c r="A293" t="s">
        <v>321</v>
      </c>
      <c r="B293">
        <v>44.4</v>
      </c>
      <c r="C293">
        <v>48.2</v>
      </c>
      <c r="D293">
        <v>50.6</v>
      </c>
      <c r="E293">
        <v>42.1</v>
      </c>
      <c r="F293">
        <v>54.4</v>
      </c>
      <c r="G293">
        <v>48.25</v>
      </c>
      <c r="H293" t="s">
        <v>32</v>
      </c>
      <c r="I293">
        <v>1</v>
      </c>
      <c r="J293" t="s">
        <v>20</v>
      </c>
      <c r="K293">
        <v>58.4</v>
      </c>
      <c r="L293">
        <v>140</v>
      </c>
      <c r="M293">
        <v>69</v>
      </c>
      <c r="N293">
        <v>7</v>
      </c>
      <c r="O293">
        <v>4.4000000000000004</v>
      </c>
      <c r="P293">
        <v>1</v>
      </c>
      <c r="Q293" t="s">
        <v>25</v>
      </c>
      <c r="R293" t="s">
        <v>22</v>
      </c>
    </row>
    <row r="294" spans="1:18" x14ac:dyDescent="0.25">
      <c r="A294" t="s">
        <v>322</v>
      </c>
      <c r="B294">
        <v>85.6</v>
      </c>
      <c r="C294">
        <v>85.7</v>
      </c>
      <c r="D294">
        <v>86.3</v>
      </c>
      <c r="E294">
        <v>85.2</v>
      </c>
      <c r="F294">
        <v>90.8</v>
      </c>
      <c r="G294">
        <v>88</v>
      </c>
      <c r="H294" t="s">
        <v>19</v>
      </c>
      <c r="I294">
        <v>4</v>
      </c>
      <c r="J294" t="s">
        <v>24</v>
      </c>
      <c r="K294">
        <v>81.099999999999994</v>
      </c>
      <c r="L294">
        <v>195</v>
      </c>
      <c r="M294">
        <v>94.2</v>
      </c>
      <c r="N294">
        <v>7.1</v>
      </c>
      <c r="O294">
        <v>4.4000000000000004</v>
      </c>
      <c r="P294">
        <v>1</v>
      </c>
      <c r="Q294" t="s">
        <v>25</v>
      </c>
      <c r="R294" t="s">
        <v>26</v>
      </c>
    </row>
    <row r="295" spans="1:18" x14ac:dyDescent="0.25">
      <c r="A295" t="s">
        <v>323</v>
      </c>
      <c r="B295">
        <v>53.4</v>
      </c>
      <c r="C295">
        <v>60.8</v>
      </c>
      <c r="D295">
        <v>68</v>
      </c>
      <c r="E295">
        <v>59.8</v>
      </c>
      <c r="F295">
        <v>59.1</v>
      </c>
      <c r="G295">
        <v>59.45</v>
      </c>
      <c r="H295" t="s">
        <v>19</v>
      </c>
      <c r="I295">
        <v>2</v>
      </c>
      <c r="J295" t="s">
        <v>20</v>
      </c>
      <c r="K295">
        <v>66.7</v>
      </c>
      <c r="L295">
        <v>160</v>
      </c>
      <c r="M295">
        <v>68.900000000000006</v>
      </c>
      <c r="N295">
        <v>7.7</v>
      </c>
      <c r="O295">
        <v>2.1</v>
      </c>
      <c r="P295">
        <v>4</v>
      </c>
      <c r="Q295" t="s">
        <v>28</v>
      </c>
      <c r="R295" t="s">
        <v>33</v>
      </c>
    </row>
    <row r="296" spans="1:18" x14ac:dyDescent="0.25">
      <c r="A296" t="s">
        <v>324</v>
      </c>
      <c r="B296">
        <v>52</v>
      </c>
      <c r="C296">
        <v>43.9</v>
      </c>
      <c r="D296">
        <v>43.3</v>
      </c>
      <c r="E296">
        <v>47</v>
      </c>
      <c r="F296">
        <v>54.4</v>
      </c>
      <c r="G296">
        <v>50.7</v>
      </c>
      <c r="H296" t="s">
        <v>19</v>
      </c>
      <c r="I296">
        <v>2</v>
      </c>
      <c r="J296" t="s">
        <v>20</v>
      </c>
      <c r="K296">
        <v>69.7</v>
      </c>
      <c r="L296">
        <v>167</v>
      </c>
      <c r="M296">
        <v>65.400000000000006</v>
      </c>
      <c r="N296">
        <v>7.1</v>
      </c>
      <c r="O296">
        <v>1.2</v>
      </c>
      <c r="P296">
        <v>4</v>
      </c>
      <c r="Q296" t="s">
        <v>28</v>
      </c>
      <c r="R296" t="s">
        <v>26</v>
      </c>
    </row>
    <row r="297" spans="1:18" x14ac:dyDescent="0.25">
      <c r="A297" t="s">
        <v>325</v>
      </c>
      <c r="B297">
        <v>66.3</v>
      </c>
      <c r="C297">
        <v>67.099999999999994</v>
      </c>
      <c r="D297">
        <v>77.8</v>
      </c>
      <c r="E297">
        <v>68.7</v>
      </c>
      <c r="F297">
        <v>69.400000000000006</v>
      </c>
      <c r="G297">
        <v>69.05</v>
      </c>
      <c r="H297" t="s">
        <v>19</v>
      </c>
      <c r="I297">
        <v>3</v>
      </c>
      <c r="J297" t="s">
        <v>20</v>
      </c>
      <c r="K297">
        <v>80.5</v>
      </c>
      <c r="L297">
        <v>193</v>
      </c>
      <c r="M297">
        <v>76.099999999999994</v>
      </c>
      <c r="N297">
        <v>6.8</v>
      </c>
      <c r="O297">
        <v>3</v>
      </c>
      <c r="P297">
        <v>6</v>
      </c>
      <c r="Q297" t="s">
        <v>28</v>
      </c>
      <c r="R297" t="s">
        <v>26</v>
      </c>
    </row>
    <row r="298" spans="1:18" x14ac:dyDescent="0.25">
      <c r="A298" t="s">
        <v>326</v>
      </c>
      <c r="B298">
        <v>74.599999999999994</v>
      </c>
      <c r="C298">
        <v>85.4</v>
      </c>
      <c r="D298">
        <v>86.2</v>
      </c>
      <c r="E298">
        <v>82.3</v>
      </c>
      <c r="F298">
        <v>89.3</v>
      </c>
      <c r="G298">
        <v>85.8</v>
      </c>
      <c r="H298" t="s">
        <v>19</v>
      </c>
      <c r="I298">
        <v>4</v>
      </c>
      <c r="J298" t="s">
        <v>24</v>
      </c>
      <c r="K298">
        <v>79.5</v>
      </c>
      <c r="L298">
        <v>191</v>
      </c>
      <c r="M298">
        <v>87.3</v>
      </c>
      <c r="N298">
        <v>7.3</v>
      </c>
      <c r="O298">
        <v>2.4</v>
      </c>
      <c r="P298">
        <v>1</v>
      </c>
      <c r="Q298" t="s">
        <v>25</v>
      </c>
      <c r="R298" t="s">
        <v>33</v>
      </c>
    </row>
    <row r="299" spans="1:18" x14ac:dyDescent="0.25">
      <c r="A299" t="s">
        <v>327</v>
      </c>
      <c r="B299">
        <v>49.7</v>
      </c>
      <c r="C299">
        <v>57.9</v>
      </c>
      <c r="D299">
        <v>54.6</v>
      </c>
      <c r="E299">
        <v>51.9</v>
      </c>
      <c r="F299">
        <v>46.6</v>
      </c>
      <c r="G299">
        <v>49.25</v>
      </c>
      <c r="H299" t="s">
        <v>32</v>
      </c>
      <c r="I299">
        <v>1</v>
      </c>
      <c r="J299" t="s">
        <v>20</v>
      </c>
      <c r="K299">
        <v>57</v>
      </c>
      <c r="L299">
        <v>137</v>
      </c>
      <c r="M299">
        <v>55.7</v>
      </c>
      <c r="N299">
        <v>6.5</v>
      </c>
      <c r="O299">
        <v>5</v>
      </c>
      <c r="P299">
        <v>3</v>
      </c>
      <c r="Q299" t="s">
        <v>28</v>
      </c>
      <c r="R299" t="s">
        <v>22</v>
      </c>
    </row>
    <row r="300" spans="1:18" x14ac:dyDescent="0.25">
      <c r="A300" t="s">
        <v>328</v>
      </c>
      <c r="B300">
        <v>81.8</v>
      </c>
      <c r="C300">
        <v>73.599999999999994</v>
      </c>
      <c r="D300">
        <v>75.400000000000006</v>
      </c>
      <c r="E300">
        <v>74.3</v>
      </c>
      <c r="F300">
        <v>73.400000000000006</v>
      </c>
      <c r="G300">
        <v>73.849999999999994</v>
      </c>
      <c r="H300" t="s">
        <v>19</v>
      </c>
      <c r="I300">
        <v>3</v>
      </c>
      <c r="J300" t="s">
        <v>38</v>
      </c>
      <c r="K300">
        <v>74.3</v>
      </c>
      <c r="L300">
        <v>178</v>
      </c>
      <c r="M300">
        <v>82.7</v>
      </c>
      <c r="N300">
        <v>6.9</v>
      </c>
      <c r="O300">
        <v>5</v>
      </c>
      <c r="P300">
        <v>5</v>
      </c>
      <c r="Q300" t="s">
        <v>28</v>
      </c>
      <c r="R300" t="s">
        <v>33</v>
      </c>
    </row>
    <row r="301" spans="1:18" x14ac:dyDescent="0.25">
      <c r="A301" t="s">
        <v>329</v>
      </c>
      <c r="B301">
        <v>48.9</v>
      </c>
      <c r="C301">
        <v>42.4</v>
      </c>
      <c r="D301">
        <v>43.5</v>
      </c>
      <c r="E301">
        <v>44.7</v>
      </c>
      <c r="F301">
        <v>56.1</v>
      </c>
      <c r="G301">
        <v>50.4</v>
      </c>
      <c r="H301" t="s">
        <v>19</v>
      </c>
      <c r="I301">
        <v>2</v>
      </c>
      <c r="J301" t="s">
        <v>20</v>
      </c>
      <c r="K301">
        <v>59.3</v>
      </c>
      <c r="L301">
        <v>142</v>
      </c>
      <c r="M301">
        <v>56.3</v>
      </c>
      <c r="N301">
        <v>6</v>
      </c>
      <c r="O301">
        <v>3.3</v>
      </c>
      <c r="P301">
        <v>1</v>
      </c>
      <c r="Q301" t="s">
        <v>25</v>
      </c>
      <c r="R301" t="s">
        <v>33</v>
      </c>
    </row>
    <row r="302" spans="1:18" x14ac:dyDescent="0.25">
      <c r="A302" t="s">
        <v>330</v>
      </c>
      <c r="B302">
        <v>41.1</v>
      </c>
      <c r="C302">
        <v>42.8</v>
      </c>
      <c r="D302">
        <v>48.8</v>
      </c>
      <c r="E302">
        <v>42.8</v>
      </c>
      <c r="F302">
        <v>48</v>
      </c>
      <c r="G302">
        <v>45.4</v>
      </c>
      <c r="H302" t="s">
        <v>32</v>
      </c>
      <c r="I302">
        <v>1</v>
      </c>
      <c r="J302" t="s">
        <v>20</v>
      </c>
      <c r="K302">
        <v>58.1</v>
      </c>
      <c r="L302">
        <v>139</v>
      </c>
      <c r="M302">
        <v>62.4</v>
      </c>
      <c r="N302">
        <v>7</v>
      </c>
      <c r="O302">
        <v>4</v>
      </c>
      <c r="P302">
        <v>1</v>
      </c>
      <c r="Q302" t="s">
        <v>25</v>
      </c>
      <c r="R302" t="s">
        <v>33</v>
      </c>
    </row>
    <row r="303" spans="1:18" x14ac:dyDescent="0.25">
      <c r="A303" t="s">
        <v>331</v>
      </c>
      <c r="B303">
        <v>67.5</v>
      </c>
      <c r="C303">
        <v>72.2</v>
      </c>
      <c r="D303">
        <v>69.900000000000006</v>
      </c>
      <c r="E303">
        <v>69.2</v>
      </c>
      <c r="F303">
        <v>75.7</v>
      </c>
      <c r="G303">
        <v>72.45</v>
      </c>
      <c r="H303" t="s">
        <v>19</v>
      </c>
      <c r="I303">
        <v>1</v>
      </c>
      <c r="J303" t="s">
        <v>20</v>
      </c>
      <c r="K303">
        <v>71.099999999999994</v>
      </c>
      <c r="L303">
        <v>171</v>
      </c>
      <c r="M303">
        <v>61.9</v>
      </c>
      <c r="N303">
        <v>6.6</v>
      </c>
      <c r="O303">
        <v>4</v>
      </c>
      <c r="P303">
        <v>1</v>
      </c>
      <c r="Q303" t="s">
        <v>25</v>
      </c>
      <c r="R303" t="s">
        <v>26</v>
      </c>
    </row>
    <row r="304" spans="1:18" x14ac:dyDescent="0.25">
      <c r="A304" t="s">
        <v>332</v>
      </c>
      <c r="B304">
        <v>68.099999999999994</v>
      </c>
      <c r="C304">
        <v>62.5</v>
      </c>
      <c r="D304">
        <v>59.9</v>
      </c>
      <c r="E304">
        <v>69.7</v>
      </c>
      <c r="F304">
        <v>83.3</v>
      </c>
      <c r="G304">
        <v>76.5</v>
      </c>
      <c r="H304" t="s">
        <v>19</v>
      </c>
      <c r="I304">
        <v>4</v>
      </c>
      <c r="J304" t="s">
        <v>24</v>
      </c>
      <c r="K304">
        <v>71.599999999999994</v>
      </c>
      <c r="L304">
        <v>172</v>
      </c>
      <c r="M304">
        <v>94.1</v>
      </c>
      <c r="N304">
        <v>6</v>
      </c>
      <c r="O304">
        <v>5.0999999999999996</v>
      </c>
      <c r="P304">
        <v>1</v>
      </c>
      <c r="Q304" t="s">
        <v>25</v>
      </c>
      <c r="R304" t="s">
        <v>22</v>
      </c>
    </row>
    <row r="305" spans="1:18" x14ac:dyDescent="0.25">
      <c r="A305" t="s">
        <v>333</v>
      </c>
      <c r="B305">
        <v>85.4</v>
      </c>
      <c r="C305">
        <v>63.6</v>
      </c>
      <c r="D305">
        <v>69.5</v>
      </c>
      <c r="E305">
        <v>75.099999999999994</v>
      </c>
      <c r="F305">
        <v>74</v>
      </c>
      <c r="G305">
        <v>74.55</v>
      </c>
      <c r="H305" t="s">
        <v>19</v>
      </c>
      <c r="I305">
        <v>2</v>
      </c>
      <c r="J305" t="s">
        <v>20</v>
      </c>
      <c r="K305">
        <v>75.599999999999994</v>
      </c>
      <c r="L305">
        <v>181</v>
      </c>
      <c r="M305">
        <v>62.1</v>
      </c>
      <c r="N305">
        <v>6.7</v>
      </c>
      <c r="O305">
        <v>3.1</v>
      </c>
      <c r="P305">
        <v>1</v>
      </c>
      <c r="Q305" t="s">
        <v>25</v>
      </c>
      <c r="R305" t="s">
        <v>22</v>
      </c>
    </row>
    <row r="306" spans="1:18" x14ac:dyDescent="0.25">
      <c r="A306" t="s">
        <v>334</v>
      </c>
      <c r="B306">
        <v>81.8</v>
      </c>
      <c r="C306">
        <v>77.2</v>
      </c>
      <c r="D306">
        <v>79</v>
      </c>
      <c r="E306">
        <v>79.900000000000006</v>
      </c>
      <c r="F306">
        <v>78.7</v>
      </c>
      <c r="G306">
        <v>79.3</v>
      </c>
      <c r="H306" t="s">
        <v>19</v>
      </c>
      <c r="I306">
        <v>1</v>
      </c>
      <c r="J306" t="s">
        <v>20</v>
      </c>
      <c r="K306">
        <v>76.8</v>
      </c>
      <c r="L306">
        <v>184</v>
      </c>
      <c r="M306">
        <v>77.2</v>
      </c>
      <c r="N306">
        <v>7.2</v>
      </c>
      <c r="O306">
        <v>2.4</v>
      </c>
      <c r="P306">
        <v>4</v>
      </c>
      <c r="Q306" t="s">
        <v>28</v>
      </c>
      <c r="R306" t="s">
        <v>26</v>
      </c>
    </row>
    <row r="307" spans="1:18" x14ac:dyDescent="0.25">
      <c r="A307" t="s">
        <v>335</v>
      </c>
      <c r="B307">
        <v>95.8</v>
      </c>
      <c r="C307">
        <v>87.6</v>
      </c>
      <c r="D307">
        <v>95.2</v>
      </c>
      <c r="E307">
        <v>93.7</v>
      </c>
      <c r="F307">
        <v>100</v>
      </c>
      <c r="G307">
        <v>96.85</v>
      </c>
      <c r="H307" t="s">
        <v>19</v>
      </c>
      <c r="I307">
        <v>3</v>
      </c>
      <c r="J307" t="s">
        <v>20</v>
      </c>
      <c r="K307">
        <v>87.9</v>
      </c>
      <c r="L307">
        <v>211</v>
      </c>
      <c r="M307">
        <v>84.3</v>
      </c>
      <c r="N307">
        <v>5.5</v>
      </c>
      <c r="O307">
        <v>2.2999999999999998</v>
      </c>
      <c r="P307">
        <v>1</v>
      </c>
      <c r="Q307" t="s">
        <v>25</v>
      </c>
      <c r="R307" t="s">
        <v>22</v>
      </c>
    </row>
    <row r="308" spans="1:18" x14ac:dyDescent="0.25">
      <c r="A308" t="s">
        <v>336</v>
      </c>
      <c r="B308">
        <v>73.5</v>
      </c>
      <c r="C308">
        <v>65.900000000000006</v>
      </c>
      <c r="D308">
        <v>68.099999999999994</v>
      </c>
      <c r="E308">
        <v>68.400000000000006</v>
      </c>
      <c r="F308">
        <v>93.1</v>
      </c>
      <c r="G308">
        <v>80.75</v>
      </c>
      <c r="H308" t="s">
        <v>19</v>
      </c>
      <c r="I308">
        <v>4</v>
      </c>
      <c r="J308" t="s">
        <v>24</v>
      </c>
      <c r="K308">
        <v>76</v>
      </c>
      <c r="L308">
        <v>182</v>
      </c>
      <c r="M308">
        <v>87.5</v>
      </c>
      <c r="N308">
        <v>6.5</v>
      </c>
      <c r="O308">
        <v>3.7</v>
      </c>
      <c r="P308">
        <v>1</v>
      </c>
      <c r="Q308" t="s">
        <v>25</v>
      </c>
      <c r="R308" t="s">
        <v>33</v>
      </c>
    </row>
    <row r="309" spans="1:18" x14ac:dyDescent="0.25">
      <c r="A309" t="s">
        <v>337</v>
      </c>
      <c r="B309">
        <v>59</v>
      </c>
      <c r="C309">
        <v>57</v>
      </c>
      <c r="D309">
        <v>63.9</v>
      </c>
      <c r="E309">
        <v>57.8</v>
      </c>
      <c r="F309">
        <v>65.2</v>
      </c>
      <c r="G309">
        <v>61.5</v>
      </c>
      <c r="H309" t="s">
        <v>19</v>
      </c>
      <c r="I309">
        <v>2</v>
      </c>
      <c r="J309" t="s">
        <v>20</v>
      </c>
      <c r="K309">
        <v>64.3</v>
      </c>
      <c r="L309">
        <v>154</v>
      </c>
      <c r="M309">
        <v>71.7</v>
      </c>
      <c r="N309">
        <v>6.6</v>
      </c>
      <c r="O309">
        <v>3.2</v>
      </c>
      <c r="P309">
        <v>6</v>
      </c>
      <c r="Q309" t="s">
        <v>28</v>
      </c>
      <c r="R309" t="s">
        <v>22</v>
      </c>
    </row>
    <row r="310" spans="1:18" x14ac:dyDescent="0.25">
      <c r="A310" t="s">
        <v>338</v>
      </c>
      <c r="B310">
        <v>82.4</v>
      </c>
      <c r="C310">
        <v>81.5</v>
      </c>
      <c r="D310">
        <v>74</v>
      </c>
      <c r="E310">
        <v>83.7</v>
      </c>
      <c r="F310">
        <v>70.400000000000006</v>
      </c>
      <c r="G310">
        <v>77.05</v>
      </c>
      <c r="H310" t="s">
        <v>19</v>
      </c>
      <c r="I310">
        <v>3</v>
      </c>
      <c r="J310" t="s">
        <v>20</v>
      </c>
      <c r="K310">
        <v>88.2</v>
      </c>
      <c r="L310">
        <v>212</v>
      </c>
      <c r="M310">
        <v>73.8</v>
      </c>
      <c r="N310">
        <v>7.3</v>
      </c>
      <c r="O310">
        <v>3.2</v>
      </c>
      <c r="P310">
        <v>6</v>
      </c>
      <c r="Q310" t="s">
        <v>21</v>
      </c>
      <c r="R310" t="s">
        <v>26</v>
      </c>
    </row>
    <row r="311" spans="1:18" x14ac:dyDescent="0.25">
      <c r="A311" t="s">
        <v>339</v>
      </c>
      <c r="B311">
        <v>53.9</v>
      </c>
      <c r="C311">
        <v>62.2</v>
      </c>
      <c r="D311">
        <v>55.6</v>
      </c>
      <c r="E311">
        <v>54.9</v>
      </c>
      <c r="F311">
        <v>67</v>
      </c>
      <c r="G311">
        <v>60.95</v>
      </c>
      <c r="H311" t="s">
        <v>19</v>
      </c>
      <c r="I311">
        <v>1</v>
      </c>
      <c r="J311" t="s">
        <v>20</v>
      </c>
      <c r="K311">
        <v>62.5</v>
      </c>
      <c r="L311">
        <v>150</v>
      </c>
      <c r="M311">
        <v>56.5</v>
      </c>
      <c r="N311">
        <v>7.2</v>
      </c>
      <c r="O311">
        <v>1.5</v>
      </c>
      <c r="P311">
        <v>1</v>
      </c>
      <c r="Q311" t="s">
        <v>25</v>
      </c>
      <c r="R311" t="s">
        <v>22</v>
      </c>
    </row>
    <row r="312" spans="1:18" x14ac:dyDescent="0.25">
      <c r="A312" t="s">
        <v>340</v>
      </c>
      <c r="B312">
        <v>63.8</v>
      </c>
      <c r="C312">
        <v>65.8</v>
      </c>
      <c r="D312">
        <v>55.1</v>
      </c>
      <c r="E312">
        <v>64.099999999999994</v>
      </c>
      <c r="F312">
        <v>66.099999999999994</v>
      </c>
      <c r="G312">
        <v>65.099999999999994</v>
      </c>
      <c r="H312" t="s">
        <v>19</v>
      </c>
      <c r="I312">
        <v>3</v>
      </c>
      <c r="J312" t="s">
        <v>20</v>
      </c>
      <c r="K312">
        <v>64</v>
      </c>
      <c r="L312">
        <v>154</v>
      </c>
      <c r="M312">
        <v>71.3</v>
      </c>
      <c r="N312">
        <v>6.5</v>
      </c>
      <c r="O312">
        <v>4.5999999999999996</v>
      </c>
      <c r="P312">
        <v>5</v>
      </c>
      <c r="Q312" t="s">
        <v>28</v>
      </c>
      <c r="R312" t="s">
        <v>26</v>
      </c>
    </row>
    <row r="313" spans="1:18" x14ac:dyDescent="0.25">
      <c r="A313" t="s">
        <v>341</v>
      </c>
      <c r="B313">
        <v>44.1</v>
      </c>
      <c r="C313">
        <v>45.8</v>
      </c>
      <c r="D313">
        <v>48.1</v>
      </c>
      <c r="E313">
        <v>44.3</v>
      </c>
      <c r="F313">
        <v>60.6</v>
      </c>
      <c r="G313">
        <v>52.45</v>
      </c>
      <c r="H313" t="s">
        <v>19</v>
      </c>
      <c r="I313">
        <v>3</v>
      </c>
      <c r="J313" t="s">
        <v>38</v>
      </c>
      <c r="K313">
        <v>64.099999999999994</v>
      </c>
      <c r="L313">
        <v>154</v>
      </c>
      <c r="M313">
        <v>85.3</v>
      </c>
      <c r="N313">
        <v>8.1999999999999993</v>
      </c>
      <c r="O313">
        <v>2.1</v>
      </c>
      <c r="P313">
        <v>1</v>
      </c>
      <c r="Q313" t="s">
        <v>25</v>
      </c>
      <c r="R313" t="s">
        <v>33</v>
      </c>
    </row>
    <row r="314" spans="1:18" x14ac:dyDescent="0.25">
      <c r="A314" t="s">
        <v>342</v>
      </c>
      <c r="B314">
        <v>45</v>
      </c>
      <c r="C314">
        <v>44.5</v>
      </c>
      <c r="D314">
        <v>40.9</v>
      </c>
      <c r="E314">
        <v>41.4</v>
      </c>
      <c r="F314">
        <v>49.7</v>
      </c>
      <c r="G314">
        <v>45.55</v>
      </c>
      <c r="H314" t="s">
        <v>32</v>
      </c>
      <c r="I314">
        <v>3</v>
      </c>
      <c r="J314" t="s">
        <v>38</v>
      </c>
      <c r="K314">
        <v>56.6</v>
      </c>
      <c r="L314">
        <v>136</v>
      </c>
      <c r="M314">
        <v>79.400000000000006</v>
      </c>
      <c r="N314">
        <v>7.9</v>
      </c>
      <c r="O314">
        <v>2</v>
      </c>
      <c r="P314">
        <v>6</v>
      </c>
      <c r="Q314" t="s">
        <v>28</v>
      </c>
      <c r="R314" t="s">
        <v>26</v>
      </c>
    </row>
    <row r="315" spans="1:18" x14ac:dyDescent="0.25">
      <c r="A315" t="s">
        <v>343</v>
      </c>
      <c r="B315">
        <v>93.2</v>
      </c>
      <c r="C315">
        <v>87.3</v>
      </c>
      <c r="D315">
        <v>95</v>
      </c>
      <c r="E315">
        <v>92.9</v>
      </c>
      <c r="F315">
        <v>72.2</v>
      </c>
      <c r="G315">
        <v>82.55</v>
      </c>
      <c r="H315" t="s">
        <v>19</v>
      </c>
      <c r="I315">
        <v>2</v>
      </c>
      <c r="J315" t="s">
        <v>20</v>
      </c>
      <c r="K315">
        <v>88.1</v>
      </c>
      <c r="L315">
        <v>211</v>
      </c>
      <c r="M315">
        <v>78.099999999999994</v>
      </c>
      <c r="N315">
        <v>7.5</v>
      </c>
      <c r="O315">
        <v>3.1</v>
      </c>
      <c r="P315">
        <v>6</v>
      </c>
      <c r="Q315" t="s">
        <v>28</v>
      </c>
      <c r="R315" t="s">
        <v>22</v>
      </c>
    </row>
    <row r="316" spans="1:18" x14ac:dyDescent="0.25">
      <c r="A316" t="s">
        <v>344</v>
      </c>
      <c r="B316">
        <v>89.6</v>
      </c>
      <c r="C316">
        <v>91.2</v>
      </c>
      <c r="D316">
        <v>81.7</v>
      </c>
      <c r="E316">
        <v>86</v>
      </c>
      <c r="F316">
        <v>74.3</v>
      </c>
      <c r="G316">
        <v>80.150000000000006</v>
      </c>
      <c r="H316" t="s">
        <v>19</v>
      </c>
      <c r="I316">
        <v>2</v>
      </c>
      <c r="J316" t="s">
        <v>20</v>
      </c>
      <c r="K316">
        <v>71</v>
      </c>
      <c r="L316">
        <v>170</v>
      </c>
      <c r="M316">
        <v>77.599999999999994</v>
      </c>
      <c r="N316">
        <v>7.1</v>
      </c>
      <c r="O316">
        <v>2.1</v>
      </c>
      <c r="P316">
        <v>3</v>
      </c>
      <c r="Q316" t="s">
        <v>28</v>
      </c>
      <c r="R316" t="s">
        <v>33</v>
      </c>
    </row>
    <row r="317" spans="1:18" x14ac:dyDescent="0.25">
      <c r="A317" t="s">
        <v>345</v>
      </c>
      <c r="B317">
        <v>77.900000000000006</v>
      </c>
      <c r="C317">
        <v>77.900000000000006</v>
      </c>
      <c r="D317">
        <v>84.7</v>
      </c>
      <c r="E317">
        <v>78.3</v>
      </c>
      <c r="F317">
        <v>62.6</v>
      </c>
      <c r="G317">
        <v>70.45</v>
      </c>
      <c r="H317" t="s">
        <v>19</v>
      </c>
      <c r="I317">
        <v>1</v>
      </c>
      <c r="J317" t="s">
        <v>20</v>
      </c>
      <c r="K317">
        <v>86.1</v>
      </c>
      <c r="L317">
        <v>207</v>
      </c>
      <c r="M317">
        <v>71.099999999999994</v>
      </c>
      <c r="N317">
        <v>7.1</v>
      </c>
      <c r="O317">
        <v>3.9</v>
      </c>
      <c r="P317">
        <v>5</v>
      </c>
      <c r="Q317" t="s">
        <v>28</v>
      </c>
      <c r="R317" t="s">
        <v>22</v>
      </c>
    </row>
    <row r="318" spans="1:18" x14ac:dyDescent="0.25">
      <c r="A318" t="s">
        <v>346</v>
      </c>
      <c r="B318">
        <v>62.9</v>
      </c>
      <c r="C318">
        <v>65.8</v>
      </c>
      <c r="D318">
        <v>67.7</v>
      </c>
      <c r="E318">
        <v>62.5</v>
      </c>
      <c r="F318">
        <v>72.599999999999994</v>
      </c>
      <c r="G318">
        <v>67.55</v>
      </c>
      <c r="H318" t="s">
        <v>19</v>
      </c>
      <c r="I318">
        <v>3</v>
      </c>
      <c r="J318" t="s">
        <v>20</v>
      </c>
      <c r="K318">
        <v>74.599999999999994</v>
      </c>
      <c r="L318">
        <v>179</v>
      </c>
      <c r="M318">
        <v>70.400000000000006</v>
      </c>
      <c r="N318">
        <v>7</v>
      </c>
      <c r="O318">
        <v>2.9</v>
      </c>
      <c r="P318">
        <v>2</v>
      </c>
      <c r="Q318" t="s">
        <v>25</v>
      </c>
      <c r="R318" t="s">
        <v>26</v>
      </c>
    </row>
    <row r="319" spans="1:18" x14ac:dyDescent="0.25">
      <c r="A319" t="s">
        <v>347</v>
      </c>
      <c r="B319">
        <v>39.5</v>
      </c>
      <c r="C319">
        <v>44.2</v>
      </c>
      <c r="D319">
        <v>52.4</v>
      </c>
      <c r="E319">
        <v>49.5</v>
      </c>
      <c r="F319">
        <v>53</v>
      </c>
      <c r="G319">
        <v>51.25</v>
      </c>
      <c r="H319" t="s">
        <v>19</v>
      </c>
      <c r="I319">
        <v>1</v>
      </c>
      <c r="J319" t="s">
        <v>20</v>
      </c>
      <c r="K319">
        <v>57.3</v>
      </c>
      <c r="L319">
        <v>138</v>
      </c>
      <c r="M319">
        <v>66.400000000000006</v>
      </c>
      <c r="N319">
        <v>6.9</v>
      </c>
      <c r="O319">
        <v>3.2</v>
      </c>
      <c r="P319">
        <v>2</v>
      </c>
      <c r="Q319" t="s">
        <v>25</v>
      </c>
      <c r="R319" t="s">
        <v>33</v>
      </c>
    </row>
    <row r="320" spans="1:18" x14ac:dyDescent="0.25">
      <c r="A320" t="s">
        <v>348</v>
      </c>
      <c r="B320">
        <v>53.2</v>
      </c>
      <c r="C320">
        <v>40.799999999999997</v>
      </c>
      <c r="D320">
        <v>48</v>
      </c>
      <c r="E320">
        <v>48.6</v>
      </c>
      <c r="F320">
        <v>50.2</v>
      </c>
      <c r="G320">
        <v>49.4</v>
      </c>
      <c r="H320" t="s">
        <v>32</v>
      </c>
      <c r="I320">
        <v>4</v>
      </c>
      <c r="J320" t="s">
        <v>24</v>
      </c>
      <c r="K320">
        <v>56.9</v>
      </c>
      <c r="L320">
        <v>137</v>
      </c>
      <c r="M320">
        <v>93.8</v>
      </c>
      <c r="N320">
        <v>7.1</v>
      </c>
      <c r="O320">
        <v>3.7</v>
      </c>
      <c r="P320">
        <v>8</v>
      </c>
      <c r="Q320" t="s">
        <v>21</v>
      </c>
      <c r="R320" t="s">
        <v>26</v>
      </c>
    </row>
    <row r="321" spans="1:18" x14ac:dyDescent="0.25">
      <c r="A321" t="s">
        <v>349</v>
      </c>
      <c r="B321">
        <v>55.5</v>
      </c>
      <c r="C321">
        <v>57.9</v>
      </c>
      <c r="D321">
        <v>56.7</v>
      </c>
      <c r="E321">
        <v>53.8</v>
      </c>
      <c r="F321">
        <v>73.2</v>
      </c>
      <c r="G321">
        <v>63.5</v>
      </c>
      <c r="H321" t="s">
        <v>19</v>
      </c>
      <c r="I321">
        <v>5</v>
      </c>
      <c r="J321" t="s">
        <v>24</v>
      </c>
      <c r="K321">
        <v>75.2</v>
      </c>
      <c r="L321">
        <v>180</v>
      </c>
      <c r="M321">
        <v>96.3</v>
      </c>
      <c r="N321">
        <v>7.1</v>
      </c>
      <c r="O321">
        <v>2</v>
      </c>
      <c r="P321">
        <v>6</v>
      </c>
      <c r="Q321" t="s">
        <v>21</v>
      </c>
      <c r="R321" t="s">
        <v>22</v>
      </c>
    </row>
    <row r="322" spans="1:18" x14ac:dyDescent="0.25">
      <c r="A322" t="s">
        <v>350</v>
      </c>
      <c r="B322">
        <v>75.2</v>
      </c>
      <c r="C322">
        <v>72.099999999999994</v>
      </c>
      <c r="D322">
        <v>66.7</v>
      </c>
      <c r="E322">
        <v>70.2</v>
      </c>
      <c r="F322">
        <v>85.9</v>
      </c>
      <c r="G322">
        <v>78.05</v>
      </c>
      <c r="H322" t="s">
        <v>19</v>
      </c>
      <c r="I322">
        <v>5</v>
      </c>
      <c r="J322" t="s">
        <v>24</v>
      </c>
      <c r="K322">
        <v>71.400000000000006</v>
      </c>
      <c r="L322">
        <v>171</v>
      </c>
      <c r="M322">
        <v>94.9</v>
      </c>
      <c r="N322">
        <v>8.1999999999999993</v>
      </c>
      <c r="O322">
        <v>1.8</v>
      </c>
      <c r="P322">
        <v>3</v>
      </c>
      <c r="Q322" t="s">
        <v>25</v>
      </c>
      <c r="R322" t="s">
        <v>26</v>
      </c>
    </row>
    <row r="323" spans="1:18" x14ac:dyDescent="0.25">
      <c r="A323" t="s">
        <v>351</v>
      </c>
      <c r="B323">
        <v>64.8</v>
      </c>
      <c r="C323">
        <v>74.8</v>
      </c>
      <c r="D323">
        <v>83.6</v>
      </c>
      <c r="E323">
        <v>79.3</v>
      </c>
      <c r="F323">
        <v>68.599999999999994</v>
      </c>
      <c r="G323">
        <v>73.95</v>
      </c>
      <c r="H323" t="s">
        <v>19</v>
      </c>
      <c r="I323">
        <v>5</v>
      </c>
      <c r="J323" t="s">
        <v>24</v>
      </c>
      <c r="K323">
        <v>75.5</v>
      </c>
      <c r="L323">
        <v>181</v>
      </c>
      <c r="M323">
        <v>102.7</v>
      </c>
      <c r="N323">
        <v>6.3</v>
      </c>
      <c r="O323">
        <v>5.4</v>
      </c>
      <c r="P323">
        <v>6</v>
      </c>
      <c r="Q323" t="s">
        <v>28</v>
      </c>
      <c r="R323" t="s">
        <v>22</v>
      </c>
    </row>
    <row r="324" spans="1:18" x14ac:dyDescent="0.25">
      <c r="A324" t="s">
        <v>352</v>
      </c>
      <c r="B324">
        <v>86.8</v>
      </c>
      <c r="C324">
        <v>72</v>
      </c>
      <c r="D324">
        <v>84.6</v>
      </c>
      <c r="E324">
        <v>76.3</v>
      </c>
      <c r="F324">
        <v>84.6</v>
      </c>
      <c r="G324">
        <v>80.45</v>
      </c>
      <c r="H324" t="s">
        <v>19</v>
      </c>
      <c r="I324">
        <v>3</v>
      </c>
      <c r="J324" t="s">
        <v>38</v>
      </c>
      <c r="K324">
        <v>66.8</v>
      </c>
      <c r="L324">
        <v>160</v>
      </c>
      <c r="M324">
        <v>85.2</v>
      </c>
      <c r="N324">
        <v>7.4</v>
      </c>
      <c r="O324">
        <v>3.2</v>
      </c>
      <c r="P324">
        <v>1</v>
      </c>
      <c r="Q324" t="s">
        <v>25</v>
      </c>
      <c r="R324" t="s">
        <v>22</v>
      </c>
    </row>
    <row r="325" spans="1:18" x14ac:dyDescent="0.25">
      <c r="A325" t="s">
        <v>353</v>
      </c>
      <c r="B325">
        <v>54.7</v>
      </c>
      <c r="C325">
        <v>61</v>
      </c>
      <c r="D325">
        <v>60.7</v>
      </c>
      <c r="E325">
        <v>55.4</v>
      </c>
      <c r="F325">
        <v>60.5</v>
      </c>
      <c r="G325">
        <v>57.95</v>
      </c>
      <c r="H325" t="s">
        <v>19</v>
      </c>
      <c r="I325">
        <v>4</v>
      </c>
      <c r="J325" t="s">
        <v>38</v>
      </c>
      <c r="K325">
        <v>65.900000000000006</v>
      </c>
      <c r="L325">
        <v>158</v>
      </c>
      <c r="M325">
        <v>91.2</v>
      </c>
      <c r="N325">
        <v>7.8</v>
      </c>
      <c r="O325">
        <v>3.1</v>
      </c>
      <c r="P325">
        <v>4</v>
      </c>
      <c r="Q325" t="s">
        <v>28</v>
      </c>
      <c r="R325" t="s">
        <v>33</v>
      </c>
    </row>
    <row r="326" spans="1:18" x14ac:dyDescent="0.25">
      <c r="A326" t="s">
        <v>354</v>
      </c>
      <c r="B326">
        <v>98.1</v>
      </c>
      <c r="C326">
        <v>86.6</v>
      </c>
      <c r="D326">
        <v>88.9</v>
      </c>
      <c r="E326">
        <v>92.5</v>
      </c>
      <c r="F326">
        <v>84.1</v>
      </c>
      <c r="G326">
        <v>88.3</v>
      </c>
      <c r="H326" t="s">
        <v>19</v>
      </c>
      <c r="I326">
        <v>2</v>
      </c>
      <c r="J326" t="s">
        <v>20</v>
      </c>
      <c r="K326">
        <v>85.1</v>
      </c>
      <c r="L326">
        <v>204</v>
      </c>
      <c r="M326">
        <v>67.3</v>
      </c>
      <c r="N326">
        <v>8.1999999999999993</v>
      </c>
      <c r="O326">
        <v>1.2</v>
      </c>
      <c r="P326">
        <v>6</v>
      </c>
      <c r="Q326" t="s">
        <v>28</v>
      </c>
      <c r="R326" t="s">
        <v>33</v>
      </c>
    </row>
    <row r="327" spans="1:18" x14ac:dyDescent="0.25">
      <c r="A327" t="s">
        <v>355</v>
      </c>
      <c r="B327">
        <v>75.400000000000006</v>
      </c>
      <c r="C327">
        <v>88.8</v>
      </c>
      <c r="D327">
        <v>82.4</v>
      </c>
      <c r="E327">
        <v>80.599999999999994</v>
      </c>
      <c r="F327">
        <v>82</v>
      </c>
      <c r="G327">
        <v>81.3</v>
      </c>
      <c r="H327" t="s">
        <v>19</v>
      </c>
      <c r="I327">
        <v>4</v>
      </c>
      <c r="J327" t="s">
        <v>38</v>
      </c>
      <c r="K327">
        <v>83.9</v>
      </c>
      <c r="L327">
        <v>201</v>
      </c>
      <c r="M327">
        <v>79.099999999999994</v>
      </c>
      <c r="N327">
        <v>6.2</v>
      </c>
      <c r="O327">
        <v>3.5</v>
      </c>
      <c r="P327">
        <v>4</v>
      </c>
      <c r="Q327" t="s">
        <v>28</v>
      </c>
      <c r="R327" t="s">
        <v>26</v>
      </c>
    </row>
    <row r="328" spans="1:18" x14ac:dyDescent="0.25">
      <c r="A328" t="s">
        <v>356</v>
      </c>
      <c r="B328">
        <v>73.599999999999994</v>
      </c>
      <c r="C328">
        <v>66</v>
      </c>
      <c r="D328">
        <v>64</v>
      </c>
      <c r="E328">
        <v>70.5</v>
      </c>
      <c r="F328">
        <v>60.4</v>
      </c>
      <c r="G328">
        <v>65.45</v>
      </c>
      <c r="H328" t="s">
        <v>19</v>
      </c>
      <c r="I328">
        <v>3</v>
      </c>
      <c r="J328" t="s">
        <v>20</v>
      </c>
      <c r="K328">
        <v>68.2</v>
      </c>
      <c r="L328">
        <v>164</v>
      </c>
      <c r="M328">
        <v>75.400000000000006</v>
      </c>
      <c r="N328">
        <v>7.1</v>
      </c>
      <c r="O328">
        <v>3.8</v>
      </c>
      <c r="P328">
        <v>6</v>
      </c>
      <c r="Q328" t="s">
        <v>28</v>
      </c>
      <c r="R328" t="s">
        <v>22</v>
      </c>
    </row>
    <row r="329" spans="1:18" x14ac:dyDescent="0.25">
      <c r="A329" t="s">
        <v>357</v>
      </c>
      <c r="B329">
        <v>68.400000000000006</v>
      </c>
      <c r="C329">
        <v>76.8</v>
      </c>
      <c r="D329">
        <v>76.5</v>
      </c>
      <c r="E329">
        <v>73.599999999999994</v>
      </c>
      <c r="F329">
        <v>77.599999999999994</v>
      </c>
      <c r="G329">
        <v>75.599999999999994</v>
      </c>
      <c r="H329" t="s">
        <v>19</v>
      </c>
      <c r="I329">
        <v>3</v>
      </c>
      <c r="J329" t="s">
        <v>20</v>
      </c>
      <c r="K329">
        <v>69.2</v>
      </c>
      <c r="L329">
        <v>166</v>
      </c>
      <c r="M329">
        <v>78.7</v>
      </c>
      <c r="N329">
        <v>7.3</v>
      </c>
      <c r="O329">
        <v>3.8</v>
      </c>
      <c r="P329">
        <v>5</v>
      </c>
      <c r="Q329" t="s">
        <v>28</v>
      </c>
      <c r="R329" t="s">
        <v>22</v>
      </c>
    </row>
    <row r="330" spans="1:18" x14ac:dyDescent="0.25">
      <c r="A330" t="s">
        <v>358</v>
      </c>
      <c r="B330">
        <v>60</v>
      </c>
      <c r="C330">
        <v>61.4</v>
      </c>
      <c r="D330">
        <v>65.3</v>
      </c>
      <c r="E330">
        <v>63.1</v>
      </c>
      <c r="F330">
        <v>65.400000000000006</v>
      </c>
      <c r="G330">
        <v>64.25</v>
      </c>
      <c r="H330" t="s">
        <v>19</v>
      </c>
      <c r="I330">
        <v>4</v>
      </c>
      <c r="J330" t="s">
        <v>38</v>
      </c>
      <c r="K330">
        <v>73.8</v>
      </c>
      <c r="L330">
        <v>177</v>
      </c>
      <c r="M330">
        <v>85</v>
      </c>
      <c r="N330">
        <v>7.1</v>
      </c>
      <c r="O330">
        <v>4.5</v>
      </c>
      <c r="P330">
        <v>6</v>
      </c>
      <c r="Q330" t="s">
        <v>28</v>
      </c>
      <c r="R330" t="s">
        <v>33</v>
      </c>
    </row>
    <row r="331" spans="1:18" x14ac:dyDescent="0.25">
      <c r="A331" t="s">
        <v>359</v>
      </c>
      <c r="B331">
        <v>63.2</v>
      </c>
      <c r="C331">
        <v>56.6</v>
      </c>
      <c r="D331">
        <v>44.3</v>
      </c>
      <c r="E331">
        <v>53.6</v>
      </c>
      <c r="F331">
        <v>64</v>
      </c>
      <c r="G331">
        <v>58.8</v>
      </c>
      <c r="H331" t="s">
        <v>19</v>
      </c>
      <c r="I331">
        <v>2</v>
      </c>
      <c r="J331" t="s">
        <v>20</v>
      </c>
      <c r="K331">
        <v>71.8</v>
      </c>
      <c r="L331">
        <v>172</v>
      </c>
      <c r="M331">
        <v>71.2</v>
      </c>
      <c r="N331">
        <v>6.9</v>
      </c>
      <c r="O331">
        <v>1.9</v>
      </c>
      <c r="P331">
        <v>1</v>
      </c>
      <c r="Q331" t="s">
        <v>25</v>
      </c>
      <c r="R331" t="s">
        <v>33</v>
      </c>
    </row>
    <row r="332" spans="1:18" x14ac:dyDescent="0.25">
      <c r="A332" t="s">
        <v>360</v>
      </c>
      <c r="B332">
        <v>58.6</v>
      </c>
      <c r="C332">
        <v>56.9</v>
      </c>
      <c r="D332">
        <v>53.8</v>
      </c>
      <c r="E332">
        <v>59.6</v>
      </c>
      <c r="F332">
        <v>65.400000000000006</v>
      </c>
      <c r="G332">
        <v>62.5</v>
      </c>
      <c r="H332" t="s">
        <v>19</v>
      </c>
      <c r="I332">
        <v>2</v>
      </c>
      <c r="J332" t="s">
        <v>20</v>
      </c>
      <c r="K332">
        <v>61.9</v>
      </c>
      <c r="L332">
        <v>149</v>
      </c>
      <c r="M332">
        <v>64.3</v>
      </c>
      <c r="N332">
        <v>7</v>
      </c>
      <c r="O332">
        <v>2.2999999999999998</v>
      </c>
      <c r="P332">
        <v>1</v>
      </c>
      <c r="Q332" t="s">
        <v>25</v>
      </c>
      <c r="R332" t="s">
        <v>33</v>
      </c>
    </row>
    <row r="333" spans="1:18" x14ac:dyDescent="0.25">
      <c r="A333" t="s">
        <v>361</v>
      </c>
      <c r="B333">
        <v>82.8</v>
      </c>
      <c r="C333">
        <v>80.900000000000006</v>
      </c>
      <c r="D333">
        <v>80.3</v>
      </c>
      <c r="E333">
        <v>81.7</v>
      </c>
      <c r="F333">
        <v>100</v>
      </c>
      <c r="G333">
        <v>90.85</v>
      </c>
      <c r="H333" t="s">
        <v>19</v>
      </c>
      <c r="I333">
        <v>5</v>
      </c>
      <c r="J333" t="s">
        <v>24</v>
      </c>
      <c r="K333">
        <v>86.2</v>
      </c>
      <c r="L333">
        <v>207</v>
      </c>
      <c r="M333">
        <v>91.4</v>
      </c>
      <c r="N333">
        <v>7</v>
      </c>
      <c r="O333">
        <v>5.0999999999999996</v>
      </c>
      <c r="P333">
        <v>1</v>
      </c>
      <c r="Q333" t="s">
        <v>25</v>
      </c>
      <c r="R333" t="s">
        <v>33</v>
      </c>
    </row>
    <row r="334" spans="1:18" x14ac:dyDescent="0.25">
      <c r="A334" t="s">
        <v>362</v>
      </c>
      <c r="B334">
        <v>45.1</v>
      </c>
      <c r="C334">
        <v>41</v>
      </c>
      <c r="D334">
        <v>39.299999999999997</v>
      </c>
      <c r="E334">
        <v>40.799999999999997</v>
      </c>
      <c r="F334">
        <v>47.6</v>
      </c>
      <c r="G334">
        <v>44.2</v>
      </c>
      <c r="H334" t="s">
        <v>32</v>
      </c>
      <c r="I334">
        <v>1</v>
      </c>
      <c r="J334" t="s">
        <v>20</v>
      </c>
      <c r="K334">
        <v>60.6</v>
      </c>
      <c r="L334">
        <v>145</v>
      </c>
      <c r="M334">
        <v>65.599999999999994</v>
      </c>
      <c r="N334">
        <v>5.9</v>
      </c>
      <c r="O334">
        <v>5.7</v>
      </c>
      <c r="P334">
        <v>4</v>
      </c>
      <c r="Q334" t="s">
        <v>28</v>
      </c>
      <c r="R334" t="s">
        <v>26</v>
      </c>
    </row>
    <row r="335" spans="1:18" x14ac:dyDescent="0.25">
      <c r="A335" t="s">
        <v>363</v>
      </c>
      <c r="B335">
        <v>48.9</v>
      </c>
      <c r="C335">
        <v>41.4</v>
      </c>
      <c r="D335">
        <v>40.299999999999997</v>
      </c>
      <c r="E335">
        <v>46.4</v>
      </c>
      <c r="F335">
        <v>52.6</v>
      </c>
      <c r="G335">
        <v>49.5</v>
      </c>
      <c r="H335" t="s">
        <v>32</v>
      </c>
      <c r="I335">
        <v>3</v>
      </c>
      <c r="J335" t="s">
        <v>20</v>
      </c>
      <c r="K335">
        <v>68.7</v>
      </c>
      <c r="L335">
        <v>165</v>
      </c>
      <c r="M335">
        <v>82.4</v>
      </c>
      <c r="N335">
        <v>7.3</v>
      </c>
      <c r="O335">
        <v>1.7</v>
      </c>
      <c r="P335">
        <v>4</v>
      </c>
      <c r="Q335" t="s">
        <v>28</v>
      </c>
      <c r="R335" t="s">
        <v>26</v>
      </c>
    </row>
    <row r="336" spans="1:18" x14ac:dyDescent="0.25">
      <c r="A336" t="s">
        <v>364</v>
      </c>
      <c r="B336">
        <v>43.3</v>
      </c>
      <c r="C336">
        <v>46.2</v>
      </c>
      <c r="D336">
        <v>44.5</v>
      </c>
      <c r="E336">
        <v>42.5</v>
      </c>
      <c r="F336">
        <v>56</v>
      </c>
      <c r="G336">
        <v>49.25</v>
      </c>
      <c r="H336" t="s">
        <v>32</v>
      </c>
      <c r="I336">
        <v>5</v>
      </c>
      <c r="J336" t="s">
        <v>24</v>
      </c>
      <c r="K336">
        <v>60.9</v>
      </c>
      <c r="L336">
        <v>146</v>
      </c>
      <c r="M336">
        <v>94.6</v>
      </c>
      <c r="N336">
        <v>7.7</v>
      </c>
      <c r="O336">
        <v>3.5</v>
      </c>
      <c r="P336">
        <v>2</v>
      </c>
      <c r="Q336" t="s">
        <v>25</v>
      </c>
      <c r="R336" t="s">
        <v>26</v>
      </c>
    </row>
    <row r="337" spans="1:18" x14ac:dyDescent="0.25">
      <c r="A337" t="s">
        <v>365</v>
      </c>
      <c r="B337">
        <v>44.1</v>
      </c>
      <c r="C337">
        <v>39.700000000000003</v>
      </c>
      <c r="D337">
        <v>43.5</v>
      </c>
      <c r="E337">
        <v>42.2</v>
      </c>
      <c r="F337">
        <v>53.6</v>
      </c>
      <c r="G337">
        <v>47.9</v>
      </c>
      <c r="H337" t="s">
        <v>32</v>
      </c>
      <c r="I337">
        <v>3</v>
      </c>
      <c r="J337" t="s">
        <v>38</v>
      </c>
      <c r="K337">
        <v>48.5</v>
      </c>
      <c r="L337">
        <v>116</v>
      </c>
      <c r="M337">
        <v>79.3</v>
      </c>
      <c r="N337">
        <v>7.4</v>
      </c>
      <c r="O337">
        <v>2.1</v>
      </c>
      <c r="P337">
        <v>1</v>
      </c>
      <c r="Q337" t="s">
        <v>25</v>
      </c>
      <c r="R337" t="s">
        <v>26</v>
      </c>
    </row>
    <row r="338" spans="1:18" x14ac:dyDescent="0.25">
      <c r="A338" t="s">
        <v>366</v>
      </c>
      <c r="B338">
        <v>99.1</v>
      </c>
      <c r="C338">
        <v>85.9</v>
      </c>
      <c r="D338">
        <v>86.1</v>
      </c>
      <c r="E338">
        <v>87.1</v>
      </c>
      <c r="F338">
        <v>94</v>
      </c>
      <c r="G338">
        <v>90.55</v>
      </c>
      <c r="H338" t="s">
        <v>19</v>
      </c>
      <c r="I338">
        <v>3</v>
      </c>
      <c r="J338" t="s">
        <v>38</v>
      </c>
      <c r="K338">
        <v>82.8</v>
      </c>
      <c r="L338">
        <v>199</v>
      </c>
      <c r="M338">
        <v>76.7</v>
      </c>
      <c r="N338">
        <v>7.2</v>
      </c>
      <c r="O338">
        <v>1.3</v>
      </c>
      <c r="P338">
        <v>1</v>
      </c>
      <c r="Q338" t="s">
        <v>25</v>
      </c>
      <c r="R338" t="s">
        <v>33</v>
      </c>
    </row>
    <row r="339" spans="1:18" x14ac:dyDescent="0.25">
      <c r="A339" t="s">
        <v>367</v>
      </c>
      <c r="B339">
        <v>78.400000000000006</v>
      </c>
      <c r="C339">
        <v>73.7</v>
      </c>
      <c r="D339">
        <v>74.900000000000006</v>
      </c>
      <c r="E339">
        <v>78.7</v>
      </c>
      <c r="F339">
        <v>75.099999999999994</v>
      </c>
      <c r="G339">
        <v>76.900000000000006</v>
      </c>
      <c r="H339" t="s">
        <v>19</v>
      </c>
      <c r="I339">
        <v>2</v>
      </c>
      <c r="J339" t="s">
        <v>20</v>
      </c>
      <c r="K339">
        <v>84.7</v>
      </c>
      <c r="L339">
        <v>203</v>
      </c>
      <c r="M339">
        <v>68.099999999999994</v>
      </c>
      <c r="N339">
        <v>6.8</v>
      </c>
      <c r="O339">
        <v>2.6</v>
      </c>
      <c r="P339">
        <v>4</v>
      </c>
      <c r="Q339" t="s">
        <v>28</v>
      </c>
      <c r="R339" t="s">
        <v>26</v>
      </c>
    </row>
    <row r="340" spans="1:18" x14ac:dyDescent="0.25">
      <c r="A340" t="s">
        <v>368</v>
      </c>
      <c r="B340">
        <v>67.099999999999994</v>
      </c>
      <c r="C340">
        <v>53.3</v>
      </c>
      <c r="D340">
        <v>71.3</v>
      </c>
      <c r="E340">
        <v>66.099999999999994</v>
      </c>
      <c r="F340">
        <v>66.400000000000006</v>
      </c>
      <c r="G340">
        <v>66.25</v>
      </c>
      <c r="H340" t="s">
        <v>19</v>
      </c>
      <c r="I340">
        <v>2</v>
      </c>
      <c r="J340" t="s">
        <v>20</v>
      </c>
      <c r="K340">
        <v>68.599999999999994</v>
      </c>
      <c r="L340">
        <v>165</v>
      </c>
      <c r="M340">
        <v>77</v>
      </c>
      <c r="N340">
        <v>7.7</v>
      </c>
      <c r="O340">
        <v>1.7</v>
      </c>
      <c r="P340">
        <v>5</v>
      </c>
      <c r="Q340" t="s">
        <v>28</v>
      </c>
      <c r="R340" t="s">
        <v>26</v>
      </c>
    </row>
    <row r="341" spans="1:18" x14ac:dyDescent="0.25">
      <c r="A341" t="s">
        <v>369</v>
      </c>
      <c r="B341">
        <v>50.6</v>
      </c>
      <c r="C341">
        <v>44.4</v>
      </c>
      <c r="D341">
        <v>53.7</v>
      </c>
      <c r="E341">
        <v>45.4</v>
      </c>
      <c r="F341">
        <v>61.7</v>
      </c>
      <c r="G341">
        <v>53.55</v>
      </c>
      <c r="H341" t="s">
        <v>19</v>
      </c>
      <c r="I341">
        <v>4</v>
      </c>
      <c r="J341" t="s">
        <v>24</v>
      </c>
      <c r="K341">
        <v>60.8</v>
      </c>
      <c r="L341">
        <v>146</v>
      </c>
      <c r="M341">
        <v>98.7</v>
      </c>
      <c r="N341">
        <v>6</v>
      </c>
      <c r="O341">
        <v>4.5</v>
      </c>
      <c r="P341">
        <v>2</v>
      </c>
      <c r="Q341" t="s">
        <v>25</v>
      </c>
      <c r="R341" t="s">
        <v>26</v>
      </c>
    </row>
    <row r="342" spans="1:18" x14ac:dyDescent="0.25">
      <c r="A342" t="s">
        <v>370</v>
      </c>
      <c r="B342">
        <v>72.599999999999994</v>
      </c>
      <c r="C342">
        <v>79.099999999999994</v>
      </c>
      <c r="D342">
        <v>64.599999999999994</v>
      </c>
      <c r="E342">
        <v>67</v>
      </c>
      <c r="F342">
        <v>83.4</v>
      </c>
      <c r="G342">
        <v>75.2</v>
      </c>
      <c r="H342" t="s">
        <v>19</v>
      </c>
      <c r="I342">
        <v>3</v>
      </c>
      <c r="J342" t="s">
        <v>38</v>
      </c>
      <c r="K342">
        <v>72.599999999999994</v>
      </c>
      <c r="L342">
        <v>174</v>
      </c>
      <c r="M342">
        <v>79.900000000000006</v>
      </c>
      <c r="N342">
        <v>6.8</v>
      </c>
      <c r="O342">
        <v>3.7</v>
      </c>
      <c r="P342">
        <v>1</v>
      </c>
      <c r="Q342" t="s">
        <v>25</v>
      </c>
      <c r="R342" t="s">
        <v>33</v>
      </c>
    </row>
    <row r="343" spans="1:18" x14ac:dyDescent="0.25">
      <c r="A343" t="s">
        <v>371</v>
      </c>
      <c r="B343">
        <v>72</v>
      </c>
      <c r="C343">
        <v>70</v>
      </c>
      <c r="D343">
        <v>63</v>
      </c>
      <c r="E343">
        <v>66</v>
      </c>
      <c r="F343">
        <v>71.900000000000006</v>
      </c>
      <c r="G343">
        <v>68.95</v>
      </c>
      <c r="H343" t="s">
        <v>19</v>
      </c>
      <c r="I343">
        <v>3</v>
      </c>
      <c r="J343" t="s">
        <v>38</v>
      </c>
      <c r="K343">
        <v>58.5</v>
      </c>
      <c r="L343">
        <v>140</v>
      </c>
      <c r="M343">
        <v>74.8</v>
      </c>
      <c r="N343">
        <v>7.7</v>
      </c>
      <c r="O343">
        <v>1.7</v>
      </c>
      <c r="P343">
        <v>1</v>
      </c>
      <c r="Q343" t="s">
        <v>25</v>
      </c>
      <c r="R343" t="s">
        <v>22</v>
      </c>
    </row>
    <row r="344" spans="1:18" x14ac:dyDescent="0.25">
      <c r="A344" t="s">
        <v>372</v>
      </c>
      <c r="B344">
        <v>52.7</v>
      </c>
      <c r="C344">
        <v>49.4</v>
      </c>
      <c r="D344">
        <v>52</v>
      </c>
      <c r="E344">
        <v>49.5</v>
      </c>
      <c r="F344">
        <v>56.2</v>
      </c>
      <c r="G344">
        <v>52.85</v>
      </c>
      <c r="H344" t="s">
        <v>19</v>
      </c>
      <c r="I344">
        <v>1</v>
      </c>
      <c r="J344" t="s">
        <v>20</v>
      </c>
      <c r="K344">
        <v>73.099999999999994</v>
      </c>
      <c r="L344">
        <v>175</v>
      </c>
      <c r="M344">
        <v>65.3</v>
      </c>
      <c r="N344">
        <v>8.3000000000000007</v>
      </c>
      <c r="O344">
        <v>1</v>
      </c>
      <c r="P344">
        <v>1</v>
      </c>
      <c r="Q344" t="s">
        <v>25</v>
      </c>
      <c r="R344" t="s">
        <v>33</v>
      </c>
    </row>
    <row r="345" spans="1:18" x14ac:dyDescent="0.25">
      <c r="A345" t="s">
        <v>373</v>
      </c>
      <c r="B345">
        <v>58.1</v>
      </c>
      <c r="C345">
        <v>62.5</v>
      </c>
      <c r="D345">
        <v>62.1</v>
      </c>
      <c r="E345">
        <v>63.9</v>
      </c>
      <c r="F345">
        <v>55.6</v>
      </c>
      <c r="G345">
        <v>59.75</v>
      </c>
      <c r="H345" t="s">
        <v>19</v>
      </c>
      <c r="I345">
        <v>1</v>
      </c>
      <c r="J345" t="s">
        <v>20</v>
      </c>
      <c r="K345">
        <v>67.400000000000006</v>
      </c>
      <c r="L345">
        <v>162</v>
      </c>
      <c r="M345">
        <v>56.5</v>
      </c>
      <c r="N345">
        <v>6.8</v>
      </c>
      <c r="O345">
        <v>5</v>
      </c>
      <c r="P345">
        <v>2</v>
      </c>
      <c r="Q345" t="s">
        <v>25</v>
      </c>
      <c r="R345" t="s">
        <v>22</v>
      </c>
    </row>
    <row r="346" spans="1:18" x14ac:dyDescent="0.25">
      <c r="A346" t="s">
        <v>374</v>
      </c>
      <c r="B346">
        <v>70.099999999999994</v>
      </c>
      <c r="C346">
        <v>62</v>
      </c>
      <c r="D346">
        <v>61.2</v>
      </c>
      <c r="E346">
        <v>61.9</v>
      </c>
      <c r="F346">
        <v>68.5</v>
      </c>
      <c r="G346">
        <v>65.2</v>
      </c>
      <c r="H346" t="s">
        <v>19</v>
      </c>
      <c r="I346">
        <v>5</v>
      </c>
      <c r="J346" t="s">
        <v>24</v>
      </c>
      <c r="K346">
        <v>73.5</v>
      </c>
      <c r="L346">
        <v>176</v>
      </c>
      <c r="M346">
        <v>96</v>
      </c>
      <c r="N346">
        <v>7.1</v>
      </c>
      <c r="O346">
        <v>1.9</v>
      </c>
      <c r="P346">
        <v>4</v>
      </c>
      <c r="Q346" t="s">
        <v>28</v>
      </c>
      <c r="R346" t="s">
        <v>22</v>
      </c>
    </row>
    <row r="347" spans="1:18" x14ac:dyDescent="0.25">
      <c r="A347" t="s">
        <v>375</v>
      </c>
      <c r="B347">
        <v>68.099999999999994</v>
      </c>
      <c r="C347">
        <v>76.599999999999994</v>
      </c>
      <c r="D347">
        <v>77.599999999999994</v>
      </c>
      <c r="E347">
        <v>73.900000000000006</v>
      </c>
      <c r="F347">
        <v>75.3</v>
      </c>
      <c r="G347">
        <v>74.599999999999994</v>
      </c>
      <c r="H347" t="s">
        <v>19</v>
      </c>
      <c r="I347">
        <v>3</v>
      </c>
      <c r="J347" t="s">
        <v>20</v>
      </c>
      <c r="K347">
        <v>76.5</v>
      </c>
      <c r="L347">
        <v>184</v>
      </c>
      <c r="M347">
        <v>81.7</v>
      </c>
      <c r="N347">
        <v>7.4</v>
      </c>
      <c r="O347">
        <v>4</v>
      </c>
      <c r="P347">
        <v>1</v>
      </c>
      <c r="Q347" t="s">
        <v>25</v>
      </c>
      <c r="R347" t="s">
        <v>26</v>
      </c>
    </row>
    <row r="348" spans="1:18" x14ac:dyDescent="0.25">
      <c r="A348" t="s">
        <v>376</v>
      </c>
      <c r="B348">
        <v>76.400000000000006</v>
      </c>
      <c r="C348">
        <v>69</v>
      </c>
      <c r="D348">
        <v>65.400000000000006</v>
      </c>
      <c r="E348">
        <v>74.900000000000006</v>
      </c>
      <c r="F348">
        <v>83.6</v>
      </c>
      <c r="G348">
        <v>79.25</v>
      </c>
      <c r="H348" t="s">
        <v>19</v>
      </c>
      <c r="I348">
        <v>3</v>
      </c>
      <c r="J348" t="s">
        <v>38</v>
      </c>
      <c r="K348">
        <v>83.8</v>
      </c>
      <c r="L348">
        <v>201</v>
      </c>
      <c r="M348">
        <v>88.3</v>
      </c>
      <c r="N348">
        <v>7</v>
      </c>
      <c r="O348">
        <v>2.7</v>
      </c>
      <c r="P348">
        <v>2</v>
      </c>
      <c r="Q348" t="s">
        <v>25</v>
      </c>
      <c r="R348" t="s">
        <v>26</v>
      </c>
    </row>
    <row r="349" spans="1:18" x14ac:dyDescent="0.25">
      <c r="A349" t="s">
        <v>377</v>
      </c>
      <c r="B349">
        <v>38.700000000000003</v>
      </c>
      <c r="C349">
        <v>48.1</v>
      </c>
      <c r="D349">
        <v>49.1</v>
      </c>
      <c r="E349">
        <v>42.5</v>
      </c>
      <c r="F349">
        <v>47.5</v>
      </c>
      <c r="G349">
        <v>45</v>
      </c>
      <c r="H349" t="s">
        <v>32</v>
      </c>
      <c r="I349">
        <v>1</v>
      </c>
      <c r="J349" t="s">
        <v>20</v>
      </c>
      <c r="K349">
        <v>63.3</v>
      </c>
      <c r="L349">
        <v>152</v>
      </c>
      <c r="M349">
        <v>64</v>
      </c>
      <c r="N349">
        <v>6.2</v>
      </c>
      <c r="O349">
        <v>3.9</v>
      </c>
      <c r="P349">
        <v>1</v>
      </c>
      <c r="Q349" t="s">
        <v>25</v>
      </c>
      <c r="R349" t="s">
        <v>26</v>
      </c>
    </row>
    <row r="350" spans="1:18" x14ac:dyDescent="0.25">
      <c r="A350" t="s">
        <v>378</v>
      </c>
      <c r="B350">
        <v>60.3</v>
      </c>
      <c r="C350">
        <v>64.2</v>
      </c>
      <c r="D350">
        <v>61</v>
      </c>
      <c r="E350">
        <v>60.6</v>
      </c>
      <c r="F350">
        <v>71.900000000000006</v>
      </c>
      <c r="G350">
        <v>66.25</v>
      </c>
      <c r="H350" t="s">
        <v>19</v>
      </c>
      <c r="I350">
        <v>4</v>
      </c>
      <c r="J350" t="s">
        <v>38</v>
      </c>
      <c r="K350">
        <v>69.099999999999994</v>
      </c>
      <c r="L350">
        <v>166</v>
      </c>
      <c r="M350">
        <v>81</v>
      </c>
      <c r="N350">
        <v>7.1</v>
      </c>
      <c r="O350">
        <v>2.6</v>
      </c>
      <c r="P350">
        <v>6</v>
      </c>
      <c r="Q350" t="s">
        <v>21</v>
      </c>
      <c r="R350" t="s">
        <v>33</v>
      </c>
    </row>
    <row r="351" spans="1:18" x14ac:dyDescent="0.25">
      <c r="A351" t="s">
        <v>379</v>
      </c>
      <c r="B351">
        <v>76.099999999999994</v>
      </c>
      <c r="C351">
        <v>78</v>
      </c>
      <c r="D351">
        <v>72.400000000000006</v>
      </c>
      <c r="E351">
        <v>74.400000000000006</v>
      </c>
      <c r="F351">
        <v>76.5</v>
      </c>
      <c r="G351">
        <v>75.45</v>
      </c>
      <c r="H351" t="s">
        <v>19</v>
      </c>
      <c r="I351">
        <v>5</v>
      </c>
      <c r="J351" t="s">
        <v>24</v>
      </c>
      <c r="K351">
        <v>72.7</v>
      </c>
      <c r="L351">
        <v>174</v>
      </c>
      <c r="M351">
        <v>98.4</v>
      </c>
      <c r="N351">
        <v>8.3000000000000007</v>
      </c>
      <c r="O351">
        <v>1.4</v>
      </c>
      <c r="P351">
        <v>4</v>
      </c>
      <c r="Q351" t="s">
        <v>28</v>
      </c>
      <c r="R351" t="s">
        <v>33</v>
      </c>
    </row>
    <row r="352" spans="1:18" x14ac:dyDescent="0.25">
      <c r="A352" t="s">
        <v>380</v>
      </c>
      <c r="B352">
        <v>69.3</v>
      </c>
      <c r="C352">
        <v>69.900000000000006</v>
      </c>
      <c r="D352">
        <v>67.2</v>
      </c>
      <c r="E352">
        <v>67.7</v>
      </c>
      <c r="F352">
        <v>76.7</v>
      </c>
      <c r="G352">
        <v>72.2</v>
      </c>
      <c r="H352" t="s">
        <v>19</v>
      </c>
      <c r="I352">
        <v>3</v>
      </c>
      <c r="J352" t="s">
        <v>38</v>
      </c>
      <c r="K352">
        <v>77.8</v>
      </c>
      <c r="L352">
        <v>187</v>
      </c>
      <c r="M352">
        <v>88.3</v>
      </c>
      <c r="N352">
        <v>7.4</v>
      </c>
      <c r="O352">
        <v>2.1</v>
      </c>
      <c r="P352">
        <v>3</v>
      </c>
      <c r="Q352" t="s">
        <v>25</v>
      </c>
      <c r="R352" t="s">
        <v>26</v>
      </c>
    </row>
    <row r="353" spans="1:18" x14ac:dyDescent="0.25">
      <c r="A353" t="s">
        <v>381</v>
      </c>
      <c r="B353">
        <v>89.2</v>
      </c>
      <c r="C353">
        <v>87.2</v>
      </c>
      <c r="D353">
        <v>86.9</v>
      </c>
      <c r="E353">
        <v>87.1</v>
      </c>
      <c r="F353">
        <v>88.6</v>
      </c>
      <c r="G353">
        <v>87.85</v>
      </c>
      <c r="H353" t="s">
        <v>19</v>
      </c>
      <c r="I353">
        <v>2</v>
      </c>
      <c r="J353" t="s">
        <v>20</v>
      </c>
      <c r="K353">
        <v>74.2</v>
      </c>
      <c r="L353">
        <v>178</v>
      </c>
      <c r="M353">
        <v>63.2</v>
      </c>
      <c r="N353">
        <v>7.4</v>
      </c>
      <c r="O353">
        <v>1.9</v>
      </c>
      <c r="P353">
        <v>2</v>
      </c>
      <c r="Q353" t="s">
        <v>25</v>
      </c>
      <c r="R353" t="s">
        <v>33</v>
      </c>
    </row>
    <row r="354" spans="1:18" x14ac:dyDescent="0.25">
      <c r="A354" t="s">
        <v>382</v>
      </c>
      <c r="B354">
        <v>84.3</v>
      </c>
      <c r="C354">
        <v>79.599999999999994</v>
      </c>
      <c r="D354">
        <v>67.599999999999994</v>
      </c>
      <c r="E354">
        <v>76.2</v>
      </c>
      <c r="F354">
        <v>87.5</v>
      </c>
      <c r="G354">
        <v>81.849999999999994</v>
      </c>
      <c r="H354" t="s">
        <v>19</v>
      </c>
      <c r="I354">
        <v>3</v>
      </c>
      <c r="J354" t="s">
        <v>38</v>
      </c>
      <c r="K354">
        <v>81.3</v>
      </c>
      <c r="L354">
        <v>195</v>
      </c>
      <c r="M354">
        <v>90</v>
      </c>
      <c r="N354">
        <v>7.9</v>
      </c>
      <c r="O354">
        <v>3.1</v>
      </c>
      <c r="P354">
        <v>1</v>
      </c>
      <c r="Q354" t="s">
        <v>25</v>
      </c>
      <c r="R354" t="s">
        <v>33</v>
      </c>
    </row>
    <row r="355" spans="1:18" x14ac:dyDescent="0.25">
      <c r="A355" t="s">
        <v>383</v>
      </c>
      <c r="B355">
        <v>51.2</v>
      </c>
      <c r="C355">
        <v>51.9</v>
      </c>
      <c r="D355">
        <v>56.4</v>
      </c>
      <c r="E355">
        <v>49</v>
      </c>
      <c r="F355">
        <v>54.8</v>
      </c>
      <c r="G355">
        <v>51.9</v>
      </c>
      <c r="H355" t="s">
        <v>19</v>
      </c>
      <c r="I355">
        <v>4</v>
      </c>
      <c r="J355" t="s">
        <v>24</v>
      </c>
      <c r="K355">
        <v>59</v>
      </c>
      <c r="L355">
        <v>142</v>
      </c>
      <c r="M355">
        <v>97.1</v>
      </c>
      <c r="N355">
        <v>6</v>
      </c>
      <c r="O355">
        <v>4.3</v>
      </c>
      <c r="P355">
        <v>6</v>
      </c>
      <c r="Q355" t="s">
        <v>28</v>
      </c>
      <c r="R355" t="s">
        <v>22</v>
      </c>
    </row>
    <row r="356" spans="1:18" x14ac:dyDescent="0.25">
      <c r="A356" t="s">
        <v>384</v>
      </c>
      <c r="B356">
        <v>42.7</v>
      </c>
      <c r="C356">
        <v>42.1</v>
      </c>
      <c r="D356">
        <v>44.1</v>
      </c>
      <c r="E356">
        <v>43.9</v>
      </c>
      <c r="F356">
        <v>51.8</v>
      </c>
      <c r="G356">
        <v>47.85</v>
      </c>
      <c r="H356" t="s">
        <v>32</v>
      </c>
      <c r="I356">
        <v>3</v>
      </c>
      <c r="J356" t="s">
        <v>20</v>
      </c>
      <c r="K356">
        <v>68.2</v>
      </c>
      <c r="L356">
        <v>164</v>
      </c>
      <c r="M356">
        <v>84.6</v>
      </c>
      <c r="N356">
        <v>6.7</v>
      </c>
      <c r="O356">
        <v>2.2999999999999998</v>
      </c>
      <c r="P356">
        <v>4</v>
      </c>
      <c r="Q356" t="s">
        <v>28</v>
      </c>
      <c r="R356" t="s">
        <v>33</v>
      </c>
    </row>
    <row r="357" spans="1:18" x14ac:dyDescent="0.25">
      <c r="A357" t="s">
        <v>385</v>
      </c>
      <c r="B357">
        <v>80.2</v>
      </c>
      <c r="C357">
        <v>72.5</v>
      </c>
      <c r="D357">
        <v>77.5</v>
      </c>
      <c r="E357">
        <v>75.3</v>
      </c>
      <c r="F357">
        <v>86.2</v>
      </c>
      <c r="G357">
        <v>80.75</v>
      </c>
      <c r="H357" t="s">
        <v>19</v>
      </c>
      <c r="I357">
        <v>5</v>
      </c>
      <c r="J357" t="s">
        <v>24</v>
      </c>
      <c r="K357">
        <v>78.5</v>
      </c>
      <c r="L357">
        <v>188</v>
      </c>
      <c r="M357">
        <v>96.7</v>
      </c>
      <c r="N357">
        <v>6.9</v>
      </c>
      <c r="O357">
        <v>1.1000000000000001</v>
      </c>
      <c r="P357">
        <v>2</v>
      </c>
      <c r="Q357" t="s">
        <v>25</v>
      </c>
      <c r="R357" t="s">
        <v>22</v>
      </c>
    </row>
    <row r="358" spans="1:18" x14ac:dyDescent="0.25">
      <c r="A358" t="s">
        <v>386</v>
      </c>
      <c r="B358">
        <v>47.4</v>
      </c>
      <c r="C358">
        <v>42</v>
      </c>
      <c r="D358">
        <v>46.2</v>
      </c>
      <c r="E358">
        <v>41.5</v>
      </c>
      <c r="F358">
        <v>45.3</v>
      </c>
      <c r="G358">
        <v>43.4</v>
      </c>
      <c r="H358" t="s">
        <v>32</v>
      </c>
      <c r="I358">
        <v>4</v>
      </c>
      <c r="J358" t="s">
        <v>38</v>
      </c>
      <c r="K358">
        <v>63.9</v>
      </c>
      <c r="L358">
        <v>153</v>
      </c>
      <c r="M358">
        <v>88.9</v>
      </c>
      <c r="N358">
        <v>7.1</v>
      </c>
      <c r="O358">
        <v>3.6</v>
      </c>
      <c r="P358">
        <v>6</v>
      </c>
      <c r="Q358" t="s">
        <v>28</v>
      </c>
      <c r="R358" t="s">
        <v>26</v>
      </c>
    </row>
    <row r="359" spans="1:18" x14ac:dyDescent="0.25">
      <c r="A359" t="s">
        <v>387</v>
      </c>
      <c r="B359">
        <v>66.099999999999994</v>
      </c>
      <c r="C359">
        <v>80</v>
      </c>
      <c r="D359">
        <v>67.099999999999994</v>
      </c>
      <c r="E359">
        <v>72.2</v>
      </c>
      <c r="F359">
        <v>81.8</v>
      </c>
      <c r="G359">
        <v>77</v>
      </c>
      <c r="H359" t="s">
        <v>19</v>
      </c>
      <c r="I359">
        <v>5</v>
      </c>
      <c r="J359" t="s">
        <v>24</v>
      </c>
      <c r="K359">
        <v>76.5</v>
      </c>
      <c r="L359">
        <v>184</v>
      </c>
      <c r="M359">
        <v>103</v>
      </c>
      <c r="N359">
        <v>6.9</v>
      </c>
      <c r="O359">
        <v>4</v>
      </c>
      <c r="P359">
        <v>4</v>
      </c>
      <c r="Q359" t="s">
        <v>28</v>
      </c>
      <c r="R359" t="s">
        <v>33</v>
      </c>
    </row>
    <row r="360" spans="1:18" x14ac:dyDescent="0.25">
      <c r="A360" t="s">
        <v>388</v>
      </c>
      <c r="B360">
        <v>94.7</v>
      </c>
      <c r="C360">
        <v>85.5</v>
      </c>
      <c r="D360">
        <v>94.1</v>
      </c>
      <c r="E360">
        <v>91.7</v>
      </c>
      <c r="F360">
        <v>85.3</v>
      </c>
      <c r="G360">
        <v>88.5</v>
      </c>
      <c r="H360" t="s">
        <v>19</v>
      </c>
      <c r="I360">
        <v>4</v>
      </c>
      <c r="J360" t="s">
        <v>38</v>
      </c>
      <c r="K360">
        <v>77.099999999999994</v>
      </c>
      <c r="L360">
        <v>185</v>
      </c>
      <c r="M360">
        <v>87.2</v>
      </c>
      <c r="N360">
        <v>7</v>
      </c>
      <c r="O360">
        <v>5.8</v>
      </c>
      <c r="P360">
        <v>3</v>
      </c>
      <c r="Q360" t="s">
        <v>28</v>
      </c>
      <c r="R360" t="s">
        <v>22</v>
      </c>
    </row>
    <row r="361" spans="1:18" x14ac:dyDescent="0.25">
      <c r="A361" t="s">
        <v>389</v>
      </c>
      <c r="B361">
        <v>75.2</v>
      </c>
      <c r="C361">
        <v>64.3</v>
      </c>
      <c r="D361">
        <v>70.3</v>
      </c>
      <c r="E361">
        <v>71.7</v>
      </c>
      <c r="F361">
        <v>73.3</v>
      </c>
      <c r="G361">
        <v>72.5</v>
      </c>
      <c r="H361" t="s">
        <v>19</v>
      </c>
      <c r="I361">
        <v>2</v>
      </c>
      <c r="J361" t="s">
        <v>20</v>
      </c>
      <c r="K361">
        <v>71.5</v>
      </c>
      <c r="L361">
        <v>172</v>
      </c>
      <c r="M361">
        <v>62.7</v>
      </c>
      <c r="N361">
        <v>6.9</v>
      </c>
      <c r="O361">
        <v>3.9</v>
      </c>
      <c r="P361">
        <v>3</v>
      </c>
      <c r="Q361" t="s">
        <v>28</v>
      </c>
      <c r="R361" t="s">
        <v>33</v>
      </c>
    </row>
    <row r="362" spans="1:18" x14ac:dyDescent="0.25">
      <c r="A362" t="s">
        <v>390</v>
      </c>
      <c r="B362">
        <v>59.9</v>
      </c>
      <c r="C362">
        <v>62.2</v>
      </c>
      <c r="D362">
        <v>65.599999999999994</v>
      </c>
      <c r="E362">
        <v>61.3</v>
      </c>
      <c r="F362">
        <v>64.599999999999994</v>
      </c>
      <c r="G362">
        <v>62.95</v>
      </c>
      <c r="H362" t="s">
        <v>19</v>
      </c>
      <c r="I362">
        <v>2</v>
      </c>
      <c r="J362" t="s">
        <v>20</v>
      </c>
      <c r="K362">
        <v>74</v>
      </c>
      <c r="L362">
        <v>178</v>
      </c>
      <c r="M362">
        <v>70.099999999999994</v>
      </c>
      <c r="N362">
        <v>6.8</v>
      </c>
      <c r="O362">
        <v>3.4</v>
      </c>
      <c r="P362">
        <v>4</v>
      </c>
      <c r="Q362" t="s">
        <v>28</v>
      </c>
      <c r="R362" t="s">
        <v>22</v>
      </c>
    </row>
    <row r="363" spans="1:18" x14ac:dyDescent="0.25">
      <c r="A363" t="s">
        <v>391</v>
      </c>
      <c r="B363">
        <v>82.3</v>
      </c>
      <c r="C363">
        <v>75.599999999999994</v>
      </c>
      <c r="D363">
        <v>64.7</v>
      </c>
      <c r="E363">
        <v>75.400000000000006</v>
      </c>
      <c r="F363">
        <v>78.400000000000006</v>
      </c>
      <c r="G363">
        <v>76.900000000000006</v>
      </c>
      <c r="H363" t="s">
        <v>19</v>
      </c>
      <c r="I363">
        <v>2</v>
      </c>
      <c r="J363" t="s">
        <v>20</v>
      </c>
      <c r="K363">
        <v>78.5</v>
      </c>
      <c r="L363">
        <v>188</v>
      </c>
      <c r="M363">
        <v>69.3</v>
      </c>
      <c r="N363">
        <v>6.8</v>
      </c>
      <c r="O363">
        <v>3.9</v>
      </c>
      <c r="P363">
        <v>2</v>
      </c>
      <c r="Q363" t="s">
        <v>25</v>
      </c>
      <c r="R363" t="s">
        <v>22</v>
      </c>
    </row>
    <row r="364" spans="1:18" x14ac:dyDescent="0.25">
      <c r="A364" t="s">
        <v>392</v>
      </c>
      <c r="B364">
        <v>64.5</v>
      </c>
      <c r="C364">
        <v>66.099999999999994</v>
      </c>
      <c r="D364">
        <v>64.7</v>
      </c>
      <c r="E364">
        <v>65.2</v>
      </c>
      <c r="F364">
        <v>77.3</v>
      </c>
      <c r="G364">
        <v>71.25</v>
      </c>
      <c r="H364" t="s">
        <v>19</v>
      </c>
      <c r="I364">
        <v>5</v>
      </c>
      <c r="J364" t="s">
        <v>24</v>
      </c>
      <c r="K364">
        <v>78.5</v>
      </c>
      <c r="L364">
        <v>188</v>
      </c>
      <c r="M364">
        <v>89.9</v>
      </c>
      <c r="N364">
        <v>6.4</v>
      </c>
      <c r="O364">
        <v>5.6</v>
      </c>
      <c r="P364">
        <v>5</v>
      </c>
      <c r="Q364" t="s">
        <v>28</v>
      </c>
      <c r="R364" t="s">
        <v>33</v>
      </c>
    </row>
    <row r="365" spans="1:18" x14ac:dyDescent="0.25">
      <c r="A365" t="s">
        <v>393</v>
      </c>
      <c r="B365">
        <v>70.599999999999994</v>
      </c>
      <c r="C365">
        <v>71.2</v>
      </c>
      <c r="D365">
        <v>67</v>
      </c>
      <c r="E365">
        <v>70</v>
      </c>
      <c r="F365">
        <v>80.3</v>
      </c>
      <c r="G365">
        <v>75.150000000000006</v>
      </c>
      <c r="H365" t="s">
        <v>19</v>
      </c>
      <c r="I365">
        <v>4</v>
      </c>
      <c r="J365" t="s">
        <v>38</v>
      </c>
      <c r="K365">
        <v>77</v>
      </c>
      <c r="L365">
        <v>185</v>
      </c>
      <c r="M365">
        <v>89.7</v>
      </c>
      <c r="N365">
        <v>5.6</v>
      </c>
      <c r="O365">
        <v>5.0999999999999996</v>
      </c>
      <c r="P365">
        <v>1</v>
      </c>
      <c r="Q365" t="s">
        <v>25</v>
      </c>
      <c r="R365" t="s">
        <v>26</v>
      </c>
    </row>
    <row r="366" spans="1:18" x14ac:dyDescent="0.25">
      <c r="A366" t="s">
        <v>394</v>
      </c>
      <c r="B366">
        <v>90.9</v>
      </c>
      <c r="C366">
        <v>90.7</v>
      </c>
      <c r="D366">
        <v>93.9</v>
      </c>
      <c r="E366">
        <v>91.8</v>
      </c>
      <c r="F366">
        <v>94.7</v>
      </c>
      <c r="G366">
        <v>93.25</v>
      </c>
      <c r="H366" t="s">
        <v>19</v>
      </c>
      <c r="I366">
        <v>4</v>
      </c>
      <c r="J366" t="s">
        <v>38</v>
      </c>
      <c r="K366">
        <v>81.099999999999994</v>
      </c>
      <c r="L366">
        <v>195</v>
      </c>
      <c r="M366">
        <v>92.5</v>
      </c>
      <c r="N366">
        <v>8.6</v>
      </c>
      <c r="O366">
        <v>2.6</v>
      </c>
      <c r="P366">
        <v>4</v>
      </c>
      <c r="Q366" t="s">
        <v>28</v>
      </c>
      <c r="R366" t="s">
        <v>22</v>
      </c>
    </row>
    <row r="367" spans="1:18" x14ac:dyDescent="0.25">
      <c r="A367" t="s">
        <v>395</v>
      </c>
      <c r="B367">
        <v>61.3</v>
      </c>
      <c r="C367">
        <v>68.7</v>
      </c>
      <c r="D367">
        <v>63.6</v>
      </c>
      <c r="E367">
        <v>61.2</v>
      </c>
      <c r="F367">
        <v>62.8</v>
      </c>
      <c r="G367">
        <v>62</v>
      </c>
      <c r="H367" t="s">
        <v>19</v>
      </c>
      <c r="I367">
        <v>2</v>
      </c>
      <c r="J367" t="s">
        <v>20</v>
      </c>
      <c r="K367">
        <v>66.599999999999994</v>
      </c>
      <c r="L367">
        <v>160</v>
      </c>
      <c r="M367">
        <v>61.1</v>
      </c>
      <c r="N367">
        <v>7.6</v>
      </c>
      <c r="O367">
        <v>2.2000000000000002</v>
      </c>
      <c r="P367">
        <v>6</v>
      </c>
      <c r="Q367" t="s">
        <v>21</v>
      </c>
      <c r="R367" t="s">
        <v>26</v>
      </c>
    </row>
    <row r="368" spans="1:18" x14ac:dyDescent="0.25">
      <c r="A368" t="s">
        <v>396</v>
      </c>
      <c r="B368">
        <v>87.4</v>
      </c>
      <c r="C368">
        <v>84.9</v>
      </c>
      <c r="D368">
        <v>89.3</v>
      </c>
      <c r="E368">
        <v>92.9</v>
      </c>
      <c r="F368">
        <v>78</v>
      </c>
      <c r="G368">
        <v>85.45</v>
      </c>
      <c r="H368" t="s">
        <v>19</v>
      </c>
      <c r="I368">
        <v>2</v>
      </c>
      <c r="J368" t="s">
        <v>20</v>
      </c>
      <c r="K368">
        <v>86.9</v>
      </c>
      <c r="L368">
        <v>209</v>
      </c>
      <c r="M368">
        <v>75</v>
      </c>
      <c r="N368">
        <v>7.4</v>
      </c>
      <c r="O368">
        <v>2.2999999999999998</v>
      </c>
      <c r="P368">
        <v>5</v>
      </c>
      <c r="Q368" t="s">
        <v>28</v>
      </c>
      <c r="R368" t="s">
        <v>33</v>
      </c>
    </row>
    <row r="369" spans="1:18" x14ac:dyDescent="0.25">
      <c r="A369" t="s">
        <v>397</v>
      </c>
      <c r="B369">
        <v>82.6</v>
      </c>
      <c r="C369">
        <v>85.7</v>
      </c>
      <c r="D369">
        <v>86.2</v>
      </c>
      <c r="E369">
        <v>89.8</v>
      </c>
      <c r="F369">
        <v>78.5</v>
      </c>
      <c r="G369">
        <v>84.15</v>
      </c>
      <c r="H369" t="s">
        <v>19</v>
      </c>
      <c r="I369">
        <v>4</v>
      </c>
      <c r="J369" t="s">
        <v>38</v>
      </c>
      <c r="K369">
        <v>73.3</v>
      </c>
      <c r="L369">
        <v>176</v>
      </c>
      <c r="M369">
        <v>95.9</v>
      </c>
      <c r="N369">
        <v>7.3</v>
      </c>
      <c r="O369">
        <v>3.5</v>
      </c>
      <c r="P369">
        <v>7</v>
      </c>
      <c r="Q369" t="s">
        <v>21</v>
      </c>
      <c r="R369" t="s">
        <v>33</v>
      </c>
    </row>
    <row r="370" spans="1:18" x14ac:dyDescent="0.25">
      <c r="A370" t="s">
        <v>398</v>
      </c>
      <c r="B370">
        <v>58.7</v>
      </c>
      <c r="C370">
        <v>50.3</v>
      </c>
      <c r="D370">
        <v>50.2</v>
      </c>
      <c r="E370">
        <v>50.8</v>
      </c>
      <c r="F370">
        <v>60.9</v>
      </c>
      <c r="G370">
        <v>55.85</v>
      </c>
      <c r="H370" t="s">
        <v>19</v>
      </c>
      <c r="I370">
        <v>3</v>
      </c>
      <c r="J370" t="s">
        <v>20</v>
      </c>
      <c r="K370">
        <v>73.8</v>
      </c>
      <c r="L370">
        <v>177</v>
      </c>
      <c r="M370">
        <v>76.7</v>
      </c>
      <c r="N370">
        <v>6.9</v>
      </c>
      <c r="O370">
        <v>4.7</v>
      </c>
      <c r="P370">
        <v>4</v>
      </c>
      <c r="Q370" t="s">
        <v>28</v>
      </c>
      <c r="R370" t="s">
        <v>26</v>
      </c>
    </row>
    <row r="371" spans="1:18" x14ac:dyDescent="0.25">
      <c r="A371" t="s">
        <v>399</v>
      </c>
      <c r="B371">
        <v>39.6</v>
      </c>
      <c r="C371">
        <v>35.6</v>
      </c>
      <c r="D371">
        <v>39.299999999999997</v>
      </c>
      <c r="E371">
        <v>43.8</v>
      </c>
      <c r="F371">
        <v>52.4</v>
      </c>
      <c r="G371">
        <v>48.1</v>
      </c>
      <c r="H371" t="s">
        <v>32</v>
      </c>
      <c r="I371">
        <v>2</v>
      </c>
      <c r="J371" t="s">
        <v>20</v>
      </c>
      <c r="K371">
        <v>64.099999999999994</v>
      </c>
      <c r="L371">
        <v>154</v>
      </c>
      <c r="M371">
        <v>71.7</v>
      </c>
      <c r="N371">
        <v>6.9</v>
      </c>
      <c r="O371">
        <v>3.5</v>
      </c>
      <c r="P371">
        <v>5</v>
      </c>
      <c r="Q371" t="s">
        <v>28</v>
      </c>
      <c r="R371" t="s">
        <v>33</v>
      </c>
    </row>
    <row r="372" spans="1:18" x14ac:dyDescent="0.25">
      <c r="A372" t="s">
        <v>400</v>
      </c>
      <c r="B372">
        <v>40.6</v>
      </c>
      <c r="C372">
        <v>44.7</v>
      </c>
      <c r="D372">
        <v>49.8</v>
      </c>
      <c r="E372">
        <v>45.5</v>
      </c>
      <c r="F372">
        <v>55.3</v>
      </c>
      <c r="G372">
        <v>50.4</v>
      </c>
      <c r="H372" t="s">
        <v>19</v>
      </c>
      <c r="I372">
        <v>4</v>
      </c>
      <c r="J372" t="s">
        <v>38</v>
      </c>
      <c r="K372">
        <v>68.900000000000006</v>
      </c>
      <c r="L372">
        <v>165</v>
      </c>
      <c r="M372">
        <v>84.7</v>
      </c>
      <c r="N372">
        <v>7.3</v>
      </c>
      <c r="O372">
        <v>1.3</v>
      </c>
      <c r="P372">
        <v>4</v>
      </c>
      <c r="Q372" t="s">
        <v>28</v>
      </c>
      <c r="R372" t="s">
        <v>22</v>
      </c>
    </row>
    <row r="373" spans="1:18" x14ac:dyDescent="0.25">
      <c r="A373" t="s">
        <v>401</v>
      </c>
      <c r="B373">
        <v>30.2</v>
      </c>
      <c r="C373">
        <v>49.3</v>
      </c>
      <c r="D373">
        <v>39.200000000000003</v>
      </c>
      <c r="E373">
        <v>41</v>
      </c>
      <c r="F373">
        <v>43.6</v>
      </c>
      <c r="G373">
        <v>42.3</v>
      </c>
      <c r="H373" t="s">
        <v>32</v>
      </c>
      <c r="I373">
        <v>1</v>
      </c>
      <c r="J373" t="s">
        <v>20</v>
      </c>
      <c r="K373">
        <v>52.6</v>
      </c>
      <c r="L373">
        <v>126</v>
      </c>
      <c r="M373">
        <v>67.8</v>
      </c>
      <c r="N373">
        <v>6.9</v>
      </c>
      <c r="O373">
        <v>4.5999999999999996</v>
      </c>
      <c r="P373">
        <v>1</v>
      </c>
      <c r="Q373" t="s">
        <v>25</v>
      </c>
      <c r="R373" t="s">
        <v>26</v>
      </c>
    </row>
    <row r="374" spans="1:18" x14ac:dyDescent="0.25">
      <c r="A374" t="s">
        <v>402</v>
      </c>
      <c r="B374">
        <v>42</v>
      </c>
      <c r="C374">
        <v>45.3</v>
      </c>
      <c r="D374">
        <v>30.7</v>
      </c>
      <c r="E374">
        <v>45.2</v>
      </c>
      <c r="F374">
        <v>53</v>
      </c>
      <c r="G374">
        <v>49.1</v>
      </c>
      <c r="H374" t="s">
        <v>32</v>
      </c>
      <c r="I374">
        <v>2</v>
      </c>
      <c r="J374" t="s">
        <v>20</v>
      </c>
      <c r="K374">
        <v>68.8</v>
      </c>
      <c r="L374">
        <v>165</v>
      </c>
      <c r="M374">
        <v>78</v>
      </c>
      <c r="N374">
        <v>6.7</v>
      </c>
      <c r="O374">
        <v>5</v>
      </c>
      <c r="P374">
        <v>5</v>
      </c>
      <c r="Q374" t="s">
        <v>28</v>
      </c>
      <c r="R374" t="s">
        <v>33</v>
      </c>
    </row>
    <row r="375" spans="1:18" x14ac:dyDescent="0.25">
      <c r="A375" t="s">
        <v>403</v>
      </c>
      <c r="B375">
        <v>70.900000000000006</v>
      </c>
      <c r="C375">
        <v>78.7</v>
      </c>
      <c r="D375">
        <v>75.7</v>
      </c>
      <c r="E375">
        <v>77.599999999999994</v>
      </c>
      <c r="F375">
        <v>73.5</v>
      </c>
      <c r="G375">
        <v>75.55</v>
      </c>
      <c r="H375" t="s">
        <v>19</v>
      </c>
      <c r="I375">
        <v>3</v>
      </c>
      <c r="J375" t="s">
        <v>20</v>
      </c>
      <c r="K375">
        <v>89.9</v>
      </c>
      <c r="L375">
        <v>216</v>
      </c>
      <c r="M375">
        <v>71.7</v>
      </c>
      <c r="N375">
        <v>6.9</v>
      </c>
      <c r="O375">
        <v>2.4</v>
      </c>
      <c r="P375">
        <v>5</v>
      </c>
      <c r="Q375" t="s">
        <v>28</v>
      </c>
      <c r="R375" t="s">
        <v>33</v>
      </c>
    </row>
    <row r="376" spans="1:18" x14ac:dyDescent="0.25">
      <c r="A376" t="s">
        <v>404</v>
      </c>
      <c r="B376">
        <v>52.1</v>
      </c>
      <c r="C376">
        <v>37.6</v>
      </c>
      <c r="D376">
        <v>38.700000000000003</v>
      </c>
      <c r="E376">
        <v>43.9</v>
      </c>
      <c r="F376">
        <v>55.4</v>
      </c>
      <c r="G376">
        <v>49.65</v>
      </c>
      <c r="H376" t="s">
        <v>32</v>
      </c>
      <c r="I376">
        <v>2</v>
      </c>
      <c r="J376" t="s">
        <v>20</v>
      </c>
      <c r="K376">
        <v>55.4</v>
      </c>
      <c r="L376">
        <v>133</v>
      </c>
      <c r="M376">
        <v>68.900000000000006</v>
      </c>
      <c r="N376">
        <v>7.4</v>
      </c>
      <c r="O376">
        <v>4.3</v>
      </c>
      <c r="P376">
        <v>2</v>
      </c>
      <c r="Q376" t="s">
        <v>25</v>
      </c>
      <c r="R376" t="s">
        <v>26</v>
      </c>
    </row>
    <row r="377" spans="1:18" x14ac:dyDescent="0.25">
      <c r="A377" t="s">
        <v>405</v>
      </c>
      <c r="B377">
        <v>62.6</v>
      </c>
      <c r="C377">
        <v>54.5</v>
      </c>
      <c r="D377">
        <v>49.4</v>
      </c>
      <c r="E377">
        <v>57.5</v>
      </c>
      <c r="F377">
        <v>84.9</v>
      </c>
      <c r="G377">
        <v>71.2</v>
      </c>
      <c r="H377" t="s">
        <v>19</v>
      </c>
      <c r="I377">
        <v>5</v>
      </c>
      <c r="J377" t="s">
        <v>24</v>
      </c>
      <c r="K377">
        <v>72.599999999999994</v>
      </c>
      <c r="L377">
        <v>174</v>
      </c>
      <c r="M377">
        <v>98.4</v>
      </c>
      <c r="N377">
        <v>7.2</v>
      </c>
      <c r="O377">
        <v>3.1</v>
      </c>
      <c r="P377">
        <v>1</v>
      </c>
      <c r="Q377" t="s">
        <v>25</v>
      </c>
      <c r="R377" t="s">
        <v>22</v>
      </c>
    </row>
    <row r="378" spans="1:18" x14ac:dyDescent="0.25">
      <c r="A378" t="s">
        <v>406</v>
      </c>
      <c r="B378">
        <v>83</v>
      </c>
      <c r="C378">
        <v>84.6</v>
      </c>
      <c r="D378">
        <v>80.3</v>
      </c>
      <c r="E378">
        <v>86.5</v>
      </c>
      <c r="F378">
        <v>64.5</v>
      </c>
      <c r="G378">
        <v>75.5</v>
      </c>
      <c r="H378" t="s">
        <v>19</v>
      </c>
      <c r="I378">
        <v>2</v>
      </c>
      <c r="J378" t="s">
        <v>20</v>
      </c>
      <c r="K378">
        <v>83.2</v>
      </c>
      <c r="L378">
        <v>200</v>
      </c>
      <c r="M378">
        <v>68.8</v>
      </c>
      <c r="N378">
        <v>6.7</v>
      </c>
      <c r="O378">
        <v>5.4</v>
      </c>
      <c r="P378">
        <v>5</v>
      </c>
      <c r="Q378" t="s">
        <v>28</v>
      </c>
      <c r="R378" t="s">
        <v>26</v>
      </c>
    </row>
    <row r="379" spans="1:18" x14ac:dyDescent="0.25">
      <c r="A379" t="s">
        <v>407</v>
      </c>
      <c r="B379">
        <v>52.5</v>
      </c>
      <c r="C379">
        <v>39.700000000000003</v>
      </c>
      <c r="D379">
        <v>41.8</v>
      </c>
      <c r="E379">
        <v>41.3</v>
      </c>
      <c r="F379">
        <v>41.8</v>
      </c>
      <c r="G379">
        <v>41.55</v>
      </c>
      <c r="H379" t="s">
        <v>32</v>
      </c>
      <c r="I379">
        <v>2</v>
      </c>
      <c r="J379" t="s">
        <v>20</v>
      </c>
      <c r="K379">
        <v>52.9</v>
      </c>
      <c r="L379">
        <v>127</v>
      </c>
      <c r="M379">
        <v>61.6</v>
      </c>
      <c r="N379">
        <v>7.1</v>
      </c>
      <c r="O379">
        <v>5.2</v>
      </c>
      <c r="P379">
        <v>5</v>
      </c>
      <c r="Q379" t="s">
        <v>28</v>
      </c>
      <c r="R379" t="s">
        <v>33</v>
      </c>
    </row>
    <row r="380" spans="1:18" x14ac:dyDescent="0.25">
      <c r="A380" t="s">
        <v>408</v>
      </c>
      <c r="B380">
        <v>89.7</v>
      </c>
      <c r="C380">
        <v>91.2</v>
      </c>
      <c r="D380">
        <v>91.4</v>
      </c>
      <c r="E380">
        <v>84.8</v>
      </c>
      <c r="F380">
        <v>87.1</v>
      </c>
      <c r="G380">
        <v>85.95</v>
      </c>
      <c r="H380" t="s">
        <v>19</v>
      </c>
      <c r="I380">
        <v>2</v>
      </c>
      <c r="J380" t="s">
        <v>20</v>
      </c>
      <c r="K380">
        <v>84.9</v>
      </c>
      <c r="L380">
        <v>204</v>
      </c>
      <c r="M380">
        <v>76.900000000000006</v>
      </c>
      <c r="N380">
        <v>6.9</v>
      </c>
      <c r="O380">
        <v>3.6</v>
      </c>
      <c r="P380">
        <v>2</v>
      </c>
      <c r="Q380" t="s">
        <v>25</v>
      </c>
      <c r="R380" t="s">
        <v>33</v>
      </c>
    </row>
    <row r="381" spans="1:18" x14ac:dyDescent="0.25">
      <c r="A381" t="s">
        <v>409</v>
      </c>
      <c r="B381">
        <v>53.9</v>
      </c>
      <c r="C381">
        <v>58.3</v>
      </c>
      <c r="D381">
        <v>57.1</v>
      </c>
      <c r="E381">
        <v>55.5</v>
      </c>
      <c r="F381">
        <v>55.4</v>
      </c>
      <c r="G381">
        <v>55.45</v>
      </c>
      <c r="H381" t="s">
        <v>19</v>
      </c>
      <c r="I381">
        <v>4</v>
      </c>
      <c r="J381" t="s">
        <v>24</v>
      </c>
      <c r="K381">
        <v>71.900000000000006</v>
      </c>
      <c r="L381">
        <v>173</v>
      </c>
      <c r="M381">
        <v>96</v>
      </c>
      <c r="N381">
        <v>6.8</v>
      </c>
      <c r="O381">
        <v>4.5</v>
      </c>
      <c r="P381">
        <v>6</v>
      </c>
      <c r="Q381" t="s">
        <v>28</v>
      </c>
      <c r="R381" t="s">
        <v>26</v>
      </c>
    </row>
    <row r="382" spans="1:18" x14ac:dyDescent="0.25">
      <c r="A382" t="s">
        <v>410</v>
      </c>
      <c r="B382">
        <v>34</v>
      </c>
      <c r="C382">
        <v>40.9</v>
      </c>
      <c r="D382">
        <v>43.5</v>
      </c>
      <c r="E382">
        <v>46.5</v>
      </c>
      <c r="F382">
        <v>45.7</v>
      </c>
      <c r="G382">
        <v>46.1</v>
      </c>
      <c r="H382" t="s">
        <v>32</v>
      </c>
      <c r="I382">
        <v>3</v>
      </c>
      <c r="J382" t="s">
        <v>20</v>
      </c>
      <c r="K382">
        <v>60.2</v>
      </c>
      <c r="L382">
        <v>144</v>
      </c>
      <c r="M382">
        <v>73.3</v>
      </c>
      <c r="N382">
        <v>6.8</v>
      </c>
      <c r="O382">
        <v>5.4</v>
      </c>
      <c r="P382">
        <v>1</v>
      </c>
      <c r="Q382" t="s">
        <v>25</v>
      </c>
      <c r="R382" t="s">
        <v>22</v>
      </c>
    </row>
    <row r="383" spans="1:18" x14ac:dyDescent="0.25">
      <c r="A383" t="s">
        <v>411</v>
      </c>
      <c r="B383">
        <v>89.8</v>
      </c>
      <c r="C383">
        <v>79.599999999999994</v>
      </c>
      <c r="D383">
        <v>80.599999999999994</v>
      </c>
      <c r="E383">
        <v>78.3</v>
      </c>
      <c r="F383">
        <v>68.099999999999994</v>
      </c>
      <c r="G383">
        <v>73.2</v>
      </c>
      <c r="H383" t="s">
        <v>19</v>
      </c>
      <c r="I383">
        <v>3</v>
      </c>
      <c r="J383" t="s">
        <v>38</v>
      </c>
      <c r="K383">
        <v>85</v>
      </c>
      <c r="L383">
        <v>204</v>
      </c>
      <c r="M383">
        <v>75.900000000000006</v>
      </c>
      <c r="N383">
        <v>6.6</v>
      </c>
      <c r="O383">
        <v>3.5</v>
      </c>
      <c r="P383">
        <v>6</v>
      </c>
      <c r="Q383" t="s">
        <v>28</v>
      </c>
      <c r="R383" t="s">
        <v>22</v>
      </c>
    </row>
    <row r="384" spans="1:18" x14ac:dyDescent="0.25">
      <c r="A384" t="s">
        <v>412</v>
      </c>
      <c r="B384">
        <v>67.599999999999994</v>
      </c>
      <c r="C384">
        <v>77.099999999999994</v>
      </c>
      <c r="D384">
        <v>72.3</v>
      </c>
      <c r="E384">
        <v>74.599999999999994</v>
      </c>
      <c r="F384">
        <v>73.599999999999994</v>
      </c>
      <c r="G384">
        <v>74.099999999999994</v>
      </c>
      <c r="H384" t="s">
        <v>19</v>
      </c>
      <c r="I384">
        <v>1</v>
      </c>
      <c r="J384" t="s">
        <v>20</v>
      </c>
      <c r="K384">
        <v>69</v>
      </c>
      <c r="L384">
        <v>166</v>
      </c>
      <c r="M384">
        <v>58.9</v>
      </c>
      <c r="N384">
        <v>7.3</v>
      </c>
      <c r="O384">
        <v>2.6</v>
      </c>
      <c r="P384">
        <v>1</v>
      </c>
      <c r="Q384" t="s">
        <v>25</v>
      </c>
      <c r="R384" t="s">
        <v>22</v>
      </c>
    </row>
    <row r="385" spans="1:18" x14ac:dyDescent="0.25">
      <c r="A385" t="s">
        <v>413</v>
      </c>
      <c r="B385">
        <v>80</v>
      </c>
      <c r="C385">
        <v>94</v>
      </c>
      <c r="D385">
        <v>84.8</v>
      </c>
      <c r="E385">
        <v>88.3</v>
      </c>
      <c r="F385">
        <v>70.7</v>
      </c>
      <c r="G385">
        <v>79.5</v>
      </c>
      <c r="H385" t="s">
        <v>19</v>
      </c>
      <c r="I385">
        <v>1</v>
      </c>
      <c r="J385" t="s">
        <v>20</v>
      </c>
      <c r="K385">
        <v>76.7</v>
      </c>
      <c r="L385">
        <v>184</v>
      </c>
      <c r="M385">
        <v>63.5</v>
      </c>
      <c r="N385">
        <v>6.6</v>
      </c>
      <c r="O385">
        <v>4.8</v>
      </c>
      <c r="P385">
        <v>6</v>
      </c>
      <c r="Q385" t="s">
        <v>28</v>
      </c>
      <c r="R385" t="s">
        <v>26</v>
      </c>
    </row>
    <row r="386" spans="1:18" x14ac:dyDescent="0.25">
      <c r="A386" t="s">
        <v>414</v>
      </c>
      <c r="B386">
        <v>85.5</v>
      </c>
      <c r="C386">
        <v>88.3</v>
      </c>
      <c r="D386">
        <v>74.7</v>
      </c>
      <c r="E386">
        <v>80.400000000000006</v>
      </c>
      <c r="F386">
        <v>85.1</v>
      </c>
      <c r="G386">
        <v>82.75</v>
      </c>
      <c r="H386" t="s">
        <v>19</v>
      </c>
      <c r="I386">
        <v>3</v>
      </c>
      <c r="J386" t="s">
        <v>20</v>
      </c>
      <c r="K386">
        <v>80.900000000000006</v>
      </c>
      <c r="L386">
        <v>194</v>
      </c>
      <c r="M386">
        <v>79</v>
      </c>
      <c r="N386">
        <v>6.9</v>
      </c>
      <c r="O386">
        <v>2.1</v>
      </c>
      <c r="P386">
        <v>1</v>
      </c>
      <c r="Q386" t="s">
        <v>25</v>
      </c>
      <c r="R386" t="s">
        <v>22</v>
      </c>
    </row>
    <row r="387" spans="1:18" x14ac:dyDescent="0.25">
      <c r="A387" t="s">
        <v>415</v>
      </c>
      <c r="B387">
        <v>96.4</v>
      </c>
      <c r="C387">
        <v>79.099999999999994</v>
      </c>
      <c r="D387">
        <v>75.400000000000006</v>
      </c>
      <c r="E387">
        <v>84.2</v>
      </c>
      <c r="F387">
        <v>89.3</v>
      </c>
      <c r="G387">
        <v>86.75</v>
      </c>
      <c r="H387" t="s">
        <v>19</v>
      </c>
      <c r="I387">
        <v>4</v>
      </c>
      <c r="J387" t="s">
        <v>24</v>
      </c>
      <c r="K387">
        <v>82.2</v>
      </c>
      <c r="L387">
        <v>197</v>
      </c>
      <c r="M387">
        <v>98.9</v>
      </c>
      <c r="N387">
        <v>8.3000000000000007</v>
      </c>
      <c r="O387">
        <v>2.9</v>
      </c>
      <c r="P387">
        <v>3</v>
      </c>
      <c r="Q387" t="s">
        <v>25</v>
      </c>
      <c r="R387" t="s">
        <v>22</v>
      </c>
    </row>
    <row r="388" spans="1:18" x14ac:dyDescent="0.25">
      <c r="A388" t="s">
        <v>416</v>
      </c>
      <c r="B388">
        <v>62.4</v>
      </c>
      <c r="C388">
        <v>51.5</v>
      </c>
      <c r="D388">
        <v>53.6</v>
      </c>
      <c r="E388">
        <v>55.5</v>
      </c>
      <c r="F388">
        <v>68</v>
      </c>
      <c r="G388">
        <v>61.75</v>
      </c>
      <c r="H388" t="s">
        <v>19</v>
      </c>
      <c r="I388">
        <v>5</v>
      </c>
      <c r="J388" t="s">
        <v>24</v>
      </c>
      <c r="K388">
        <v>64.2</v>
      </c>
      <c r="L388">
        <v>154</v>
      </c>
      <c r="M388">
        <v>99.4</v>
      </c>
      <c r="N388">
        <v>5.7</v>
      </c>
      <c r="O388">
        <v>5.3</v>
      </c>
      <c r="P388">
        <v>2</v>
      </c>
      <c r="Q388" t="s">
        <v>25</v>
      </c>
      <c r="R388" t="s">
        <v>22</v>
      </c>
    </row>
    <row r="389" spans="1:18" x14ac:dyDescent="0.25">
      <c r="A389" t="s">
        <v>417</v>
      </c>
      <c r="B389">
        <v>52.6</v>
      </c>
      <c r="C389">
        <v>43.5</v>
      </c>
      <c r="D389">
        <v>50.5</v>
      </c>
      <c r="E389">
        <v>49.8</v>
      </c>
      <c r="F389">
        <v>55.5</v>
      </c>
      <c r="G389">
        <v>52.65</v>
      </c>
      <c r="H389" t="s">
        <v>19</v>
      </c>
      <c r="I389">
        <v>1</v>
      </c>
      <c r="J389" t="s">
        <v>20</v>
      </c>
      <c r="K389">
        <v>68.900000000000006</v>
      </c>
      <c r="L389">
        <v>165</v>
      </c>
      <c r="M389">
        <v>68.3</v>
      </c>
      <c r="N389">
        <v>6</v>
      </c>
      <c r="O389">
        <v>4.5999999999999996</v>
      </c>
      <c r="P389">
        <v>4</v>
      </c>
      <c r="Q389" t="s">
        <v>28</v>
      </c>
      <c r="R389" t="s">
        <v>22</v>
      </c>
    </row>
    <row r="390" spans="1:18" x14ac:dyDescent="0.25">
      <c r="A390" t="s">
        <v>418</v>
      </c>
      <c r="B390">
        <v>84.3</v>
      </c>
      <c r="C390">
        <v>80.099999999999994</v>
      </c>
      <c r="D390">
        <v>80.8</v>
      </c>
      <c r="E390">
        <v>81.3</v>
      </c>
      <c r="F390">
        <v>77.3</v>
      </c>
      <c r="G390">
        <v>79.3</v>
      </c>
      <c r="H390" t="s">
        <v>19</v>
      </c>
      <c r="I390">
        <v>3</v>
      </c>
      <c r="J390" t="s">
        <v>38</v>
      </c>
      <c r="K390">
        <v>83.3</v>
      </c>
      <c r="L390">
        <v>200</v>
      </c>
      <c r="M390">
        <v>83.2</v>
      </c>
      <c r="N390">
        <v>7.8</v>
      </c>
      <c r="O390">
        <v>3</v>
      </c>
      <c r="P390">
        <v>4</v>
      </c>
      <c r="Q390" t="s">
        <v>28</v>
      </c>
      <c r="R390" t="s">
        <v>33</v>
      </c>
    </row>
    <row r="391" spans="1:18" x14ac:dyDescent="0.25">
      <c r="A391" t="s">
        <v>419</v>
      </c>
      <c r="B391">
        <v>88.6</v>
      </c>
      <c r="C391">
        <v>86.7</v>
      </c>
      <c r="D391">
        <v>82.3</v>
      </c>
      <c r="E391">
        <v>84.4</v>
      </c>
      <c r="F391">
        <v>100</v>
      </c>
      <c r="G391">
        <v>92.2</v>
      </c>
      <c r="H391" t="s">
        <v>19</v>
      </c>
      <c r="I391">
        <v>5</v>
      </c>
      <c r="J391" t="s">
        <v>24</v>
      </c>
      <c r="K391">
        <v>86.5</v>
      </c>
      <c r="L391">
        <v>208</v>
      </c>
      <c r="M391">
        <v>89.6</v>
      </c>
      <c r="N391">
        <v>7.7</v>
      </c>
      <c r="O391">
        <v>2.1</v>
      </c>
      <c r="P391">
        <v>1</v>
      </c>
      <c r="Q391" t="s">
        <v>25</v>
      </c>
      <c r="R391" t="s">
        <v>26</v>
      </c>
    </row>
    <row r="392" spans="1:18" x14ac:dyDescent="0.25">
      <c r="A392" t="s">
        <v>420</v>
      </c>
      <c r="B392">
        <v>98.3</v>
      </c>
      <c r="C392">
        <v>99.4</v>
      </c>
      <c r="D392">
        <v>89.7</v>
      </c>
      <c r="E392">
        <v>94.5</v>
      </c>
      <c r="F392">
        <v>91.2</v>
      </c>
      <c r="G392">
        <v>92.85</v>
      </c>
      <c r="H392" t="s">
        <v>19</v>
      </c>
      <c r="I392">
        <v>3</v>
      </c>
      <c r="J392" t="s">
        <v>20</v>
      </c>
      <c r="K392">
        <v>86.6</v>
      </c>
      <c r="L392">
        <v>208</v>
      </c>
      <c r="M392">
        <v>74.5</v>
      </c>
      <c r="N392">
        <v>6.7</v>
      </c>
      <c r="O392">
        <v>2.8</v>
      </c>
      <c r="P392">
        <v>3</v>
      </c>
      <c r="Q392" t="s">
        <v>28</v>
      </c>
      <c r="R392" t="s">
        <v>26</v>
      </c>
    </row>
    <row r="393" spans="1:18" x14ac:dyDescent="0.25">
      <c r="A393" t="s">
        <v>421</v>
      </c>
      <c r="B393">
        <v>64.099999999999994</v>
      </c>
      <c r="C393">
        <v>62.3</v>
      </c>
      <c r="D393">
        <v>65.7</v>
      </c>
      <c r="E393">
        <v>62.7</v>
      </c>
      <c r="F393">
        <v>77.7</v>
      </c>
      <c r="G393">
        <v>70.2</v>
      </c>
      <c r="H393" t="s">
        <v>19</v>
      </c>
      <c r="I393">
        <v>4</v>
      </c>
      <c r="J393" t="s">
        <v>24</v>
      </c>
      <c r="K393">
        <v>74.400000000000006</v>
      </c>
      <c r="L393">
        <v>179</v>
      </c>
      <c r="M393">
        <v>98.5</v>
      </c>
      <c r="N393">
        <v>7.6</v>
      </c>
      <c r="O393">
        <v>2.4</v>
      </c>
      <c r="P393">
        <v>1</v>
      </c>
      <c r="Q393" t="s">
        <v>25</v>
      </c>
      <c r="R393" t="s">
        <v>22</v>
      </c>
    </row>
    <row r="394" spans="1:18" x14ac:dyDescent="0.25">
      <c r="A394" t="s">
        <v>422</v>
      </c>
      <c r="B394">
        <v>61</v>
      </c>
      <c r="C394">
        <v>58.9</v>
      </c>
      <c r="D394">
        <v>53.9</v>
      </c>
      <c r="E394">
        <v>60.5</v>
      </c>
      <c r="F394">
        <v>55.2</v>
      </c>
      <c r="G394">
        <v>57.85</v>
      </c>
      <c r="H394" t="s">
        <v>19</v>
      </c>
      <c r="I394">
        <v>2</v>
      </c>
      <c r="J394" t="s">
        <v>20</v>
      </c>
      <c r="K394">
        <v>68</v>
      </c>
      <c r="L394">
        <v>163</v>
      </c>
      <c r="M394">
        <v>65.099999999999994</v>
      </c>
      <c r="N394">
        <v>8.1999999999999993</v>
      </c>
      <c r="O394">
        <v>1.9</v>
      </c>
      <c r="P394">
        <v>4</v>
      </c>
      <c r="Q394" t="s">
        <v>28</v>
      </c>
      <c r="R394" t="s">
        <v>26</v>
      </c>
    </row>
    <row r="395" spans="1:18" x14ac:dyDescent="0.25">
      <c r="A395" t="s">
        <v>423</v>
      </c>
      <c r="B395">
        <v>82.4</v>
      </c>
      <c r="C395">
        <v>83.5</v>
      </c>
      <c r="D395">
        <v>86.6</v>
      </c>
      <c r="E395">
        <v>82.7</v>
      </c>
      <c r="F395">
        <v>100</v>
      </c>
      <c r="G395">
        <v>91.35</v>
      </c>
      <c r="H395" t="s">
        <v>19</v>
      </c>
      <c r="I395">
        <v>5</v>
      </c>
      <c r="J395" t="s">
        <v>24</v>
      </c>
      <c r="K395">
        <v>91.6</v>
      </c>
      <c r="L395">
        <v>220</v>
      </c>
      <c r="M395">
        <v>99.9</v>
      </c>
      <c r="N395">
        <v>6.6</v>
      </c>
      <c r="O395">
        <v>4.7</v>
      </c>
      <c r="P395">
        <v>2</v>
      </c>
      <c r="Q395" t="s">
        <v>25</v>
      </c>
      <c r="R395" t="s">
        <v>26</v>
      </c>
    </row>
    <row r="396" spans="1:18" x14ac:dyDescent="0.25">
      <c r="A396" t="s">
        <v>424</v>
      </c>
      <c r="B396">
        <v>55</v>
      </c>
      <c r="C396">
        <v>54.6</v>
      </c>
      <c r="D396">
        <v>53.7</v>
      </c>
      <c r="E396">
        <v>58.7</v>
      </c>
      <c r="F396">
        <v>68.599999999999994</v>
      </c>
      <c r="G396">
        <v>63.65</v>
      </c>
      <c r="H396" t="s">
        <v>19</v>
      </c>
      <c r="I396">
        <v>4</v>
      </c>
      <c r="J396" t="s">
        <v>38</v>
      </c>
      <c r="K396">
        <v>65.3</v>
      </c>
      <c r="L396">
        <v>157</v>
      </c>
      <c r="M396">
        <v>88.5</v>
      </c>
      <c r="N396">
        <v>8.6</v>
      </c>
      <c r="O396">
        <v>2.2999999999999998</v>
      </c>
      <c r="P396">
        <v>4</v>
      </c>
      <c r="Q396" t="s">
        <v>28</v>
      </c>
      <c r="R396" t="s">
        <v>33</v>
      </c>
    </row>
    <row r="397" spans="1:18" x14ac:dyDescent="0.25">
      <c r="A397" t="s">
        <v>425</v>
      </c>
      <c r="B397">
        <v>89.8</v>
      </c>
      <c r="C397">
        <v>101.6</v>
      </c>
      <c r="D397">
        <v>87.4</v>
      </c>
      <c r="E397">
        <v>91.2</v>
      </c>
      <c r="F397">
        <v>100</v>
      </c>
      <c r="G397">
        <v>95.6</v>
      </c>
      <c r="H397" t="s">
        <v>19</v>
      </c>
      <c r="I397">
        <v>5</v>
      </c>
      <c r="J397" t="s">
        <v>24</v>
      </c>
      <c r="K397">
        <v>96.1</v>
      </c>
      <c r="L397">
        <v>231</v>
      </c>
      <c r="M397">
        <v>92.5</v>
      </c>
      <c r="N397">
        <v>6.2</v>
      </c>
      <c r="O397">
        <v>3.3</v>
      </c>
      <c r="P397">
        <v>1</v>
      </c>
      <c r="Q397" t="s">
        <v>25</v>
      </c>
      <c r="R397" t="s">
        <v>26</v>
      </c>
    </row>
    <row r="398" spans="1:18" x14ac:dyDescent="0.25">
      <c r="A398" t="s">
        <v>426</v>
      </c>
      <c r="B398">
        <v>78.7</v>
      </c>
      <c r="C398">
        <v>79.2</v>
      </c>
      <c r="D398">
        <v>79.900000000000006</v>
      </c>
      <c r="E398">
        <v>87.2</v>
      </c>
      <c r="F398">
        <v>92.4</v>
      </c>
      <c r="G398">
        <v>89.8</v>
      </c>
      <c r="H398" t="s">
        <v>19</v>
      </c>
      <c r="I398">
        <v>4</v>
      </c>
      <c r="J398" t="s">
        <v>38</v>
      </c>
      <c r="K398">
        <v>83.8</v>
      </c>
      <c r="L398">
        <v>201</v>
      </c>
      <c r="M398">
        <v>86.4</v>
      </c>
      <c r="N398">
        <v>7.5</v>
      </c>
      <c r="O398">
        <v>2.9</v>
      </c>
      <c r="P398">
        <v>1</v>
      </c>
      <c r="Q398" t="s">
        <v>25</v>
      </c>
      <c r="R398" t="s">
        <v>33</v>
      </c>
    </row>
    <row r="399" spans="1:18" x14ac:dyDescent="0.25">
      <c r="A399" t="s">
        <v>427</v>
      </c>
      <c r="B399">
        <v>63.1</v>
      </c>
      <c r="C399">
        <v>64.5</v>
      </c>
      <c r="D399">
        <v>61.1</v>
      </c>
      <c r="E399">
        <v>63.6</v>
      </c>
      <c r="F399">
        <v>51.9</v>
      </c>
      <c r="G399">
        <v>57.75</v>
      </c>
      <c r="H399" t="s">
        <v>19</v>
      </c>
      <c r="I399">
        <v>3</v>
      </c>
      <c r="J399" t="s">
        <v>20</v>
      </c>
      <c r="K399">
        <v>64.900000000000006</v>
      </c>
      <c r="L399">
        <v>156</v>
      </c>
      <c r="M399">
        <v>76.099999999999994</v>
      </c>
      <c r="N399">
        <v>6.8</v>
      </c>
      <c r="O399">
        <v>5.9</v>
      </c>
      <c r="P399">
        <v>3</v>
      </c>
      <c r="Q399" t="s">
        <v>25</v>
      </c>
      <c r="R399" t="s">
        <v>26</v>
      </c>
    </row>
    <row r="400" spans="1:18" x14ac:dyDescent="0.25">
      <c r="A400" t="s">
        <v>428</v>
      </c>
      <c r="B400">
        <v>76.400000000000006</v>
      </c>
      <c r="C400">
        <v>91.4</v>
      </c>
      <c r="D400">
        <v>86.2</v>
      </c>
      <c r="E400">
        <v>81.3</v>
      </c>
      <c r="F400">
        <v>89.3</v>
      </c>
      <c r="G400">
        <v>85.3</v>
      </c>
      <c r="H400" t="s">
        <v>19</v>
      </c>
      <c r="I400">
        <v>5</v>
      </c>
      <c r="J400" t="s">
        <v>24</v>
      </c>
      <c r="K400">
        <v>87.5</v>
      </c>
      <c r="L400">
        <v>210</v>
      </c>
      <c r="M400">
        <v>94.2</v>
      </c>
      <c r="N400">
        <v>7.6</v>
      </c>
      <c r="O400">
        <v>3</v>
      </c>
      <c r="P400">
        <v>1</v>
      </c>
      <c r="Q400" t="s">
        <v>25</v>
      </c>
      <c r="R400" t="s">
        <v>33</v>
      </c>
    </row>
    <row r="401" spans="1:18" x14ac:dyDescent="0.25">
      <c r="A401" t="s">
        <v>429</v>
      </c>
      <c r="B401">
        <v>76</v>
      </c>
      <c r="C401">
        <v>81.5</v>
      </c>
      <c r="D401">
        <v>84.1</v>
      </c>
      <c r="E401">
        <v>81.5</v>
      </c>
      <c r="F401">
        <v>80.5</v>
      </c>
      <c r="G401">
        <v>81</v>
      </c>
      <c r="H401" t="s">
        <v>19</v>
      </c>
      <c r="I401">
        <v>2</v>
      </c>
      <c r="J401" t="s">
        <v>20</v>
      </c>
      <c r="K401">
        <v>81.400000000000006</v>
      </c>
      <c r="L401">
        <v>195</v>
      </c>
      <c r="M401">
        <v>69.8</v>
      </c>
      <c r="N401">
        <v>7.5</v>
      </c>
      <c r="O401">
        <v>1.4</v>
      </c>
      <c r="P401">
        <v>1</v>
      </c>
      <c r="Q401" t="s">
        <v>25</v>
      </c>
      <c r="R401" t="s">
        <v>33</v>
      </c>
    </row>
    <row r="402" spans="1:18" x14ac:dyDescent="0.25">
      <c r="A402" t="s">
        <v>430</v>
      </c>
      <c r="B402">
        <v>46.6</v>
      </c>
      <c r="C402">
        <v>44.7</v>
      </c>
      <c r="D402">
        <v>50.6</v>
      </c>
      <c r="E402">
        <v>45.7</v>
      </c>
      <c r="F402">
        <v>45.7</v>
      </c>
      <c r="G402">
        <v>45.7</v>
      </c>
      <c r="H402" t="s">
        <v>32</v>
      </c>
      <c r="I402">
        <v>2</v>
      </c>
      <c r="J402" t="s">
        <v>20</v>
      </c>
      <c r="K402">
        <v>67.099999999999994</v>
      </c>
      <c r="L402">
        <v>161</v>
      </c>
      <c r="M402">
        <v>68.599999999999994</v>
      </c>
      <c r="N402">
        <v>7.4</v>
      </c>
      <c r="O402">
        <v>1.4</v>
      </c>
      <c r="P402">
        <v>5</v>
      </c>
      <c r="Q402" t="s">
        <v>28</v>
      </c>
      <c r="R402" t="s">
        <v>26</v>
      </c>
    </row>
    <row r="403" spans="1:18" x14ac:dyDescent="0.25">
      <c r="A403" t="s">
        <v>431</v>
      </c>
      <c r="B403">
        <v>96.6</v>
      </c>
      <c r="C403">
        <v>87.9</v>
      </c>
      <c r="D403">
        <v>92.3</v>
      </c>
      <c r="E403">
        <v>89.6</v>
      </c>
      <c r="F403">
        <v>98.4</v>
      </c>
      <c r="G403">
        <v>94</v>
      </c>
      <c r="H403" t="s">
        <v>19</v>
      </c>
      <c r="I403">
        <v>4</v>
      </c>
      <c r="J403" t="s">
        <v>38</v>
      </c>
      <c r="K403">
        <v>90.9</v>
      </c>
      <c r="L403">
        <v>218</v>
      </c>
      <c r="M403">
        <v>93.6</v>
      </c>
      <c r="N403">
        <v>7</v>
      </c>
      <c r="O403">
        <v>4</v>
      </c>
      <c r="P403">
        <v>5</v>
      </c>
      <c r="Q403" t="s">
        <v>28</v>
      </c>
      <c r="R403" t="s">
        <v>33</v>
      </c>
    </row>
    <row r="404" spans="1:18" x14ac:dyDescent="0.25">
      <c r="A404" t="s">
        <v>432</v>
      </c>
      <c r="B404">
        <v>72.400000000000006</v>
      </c>
      <c r="C404">
        <v>66.900000000000006</v>
      </c>
      <c r="D404">
        <v>62.3</v>
      </c>
      <c r="E404">
        <v>67.8</v>
      </c>
      <c r="F404">
        <v>58.8</v>
      </c>
      <c r="G404">
        <v>63.3</v>
      </c>
      <c r="H404" t="s">
        <v>19</v>
      </c>
      <c r="I404">
        <v>4</v>
      </c>
      <c r="J404" t="s">
        <v>24</v>
      </c>
      <c r="K404">
        <v>75.599999999999994</v>
      </c>
      <c r="L404">
        <v>181</v>
      </c>
      <c r="M404">
        <v>89.1</v>
      </c>
      <c r="N404">
        <v>7.2</v>
      </c>
      <c r="O404">
        <v>4</v>
      </c>
      <c r="P404">
        <v>6</v>
      </c>
      <c r="Q404" t="s">
        <v>21</v>
      </c>
      <c r="R404" t="s">
        <v>33</v>
      </c>
    </row>
    <row r="405" spans="1:18" x14ac:dyDescent="0.25">
      <c r="A405" t="s">
        <v>433</v>
      </c>
      <c r="B405">
        <v>77.599999999999994</v>
      </c>
      <c r="C405">
        <v>92.3</v>
      </c>
      <c r="D405">
        <v>83.8</v>
      </c>
      <c r="E405">
        <v>85.5</v>
      </c>
      <c r="F405">
        <v>89.6</v>
      </c>
      <c r="G405">
        <v>87.55</v>
      </c>
      <c r="H405" t="s">
        <v>19</v>
      </c>
      <c r="I405">
        <v>5</v>
      </c>
      <c r="J405" t="s">
        <v>24</v>
      </c>
      <c r="K405">
        <v>79.8</v>
      </c>
      <c r="L405">
        <v>192</v>
      </c>
      <c r="M405">
        <v>104.4</v>
      </c>
      <c r="N405">
        <v>7.4</v>
      </c>
      <c r="O405">
        <v>3.1</v>
      </c>
      <c r="P405">
        <v>1</v>
      </c>
      <c r="Q405" t="s">
        <v>25</v>
      </c>
      <c r="R405" t="s">
        <v>26</v>
      </c>
    </row>
    <row r="406" spans="1:18" x14ac:dyDescent="0.25">
      <c r="A406" t="s">
        <v>434</v>
      </c>
      <c r="B406">
        <v>52.7</v>
      </c>
      <c r="C406">
        <v>46.5</v>
      </c>
      <c r="D406">
        <v>53.7</v>
      </c>
      <c r="E406">
        <v>57.6</v>
      </c>
      <c r="F406">
        <v>56.2</v>
      </c>
      <c r="G406">
        <v>56.9</v>
      </c>
      <c r="H406" t="s">
        <v>19</v>
      </c>
      <c r="I406">
        <v>2</v>
      </c>
      <c r="J406" t="s">
        <v>20</v>
      </c>
      <c r="K406">
        <v>73.7</v>
      </c>
      <c r="L406">
        <v>177</v>
      </c>
      <c r="M406">
        <v>75.8</v>
      </c>
      <c r="N406">
        <v>7.6</v>
      </c>
      <c r="O406">
        <v>3.2</v>
      </c>
      <c r="P406">
        <v>5</v>
      </c>
      <c r="Q406" t="s">
        <v>28</v>
      </c>
      <c r="R406" t="s">
        <v>33</v>
      </c>
    </row>
    <row r="407" spans="1:18" x14ac:dyDescent="0.25">
      <c r="A407" t="s">
        <v>435</v>
      </c>
      <c r="B407">
        <v>94</v>
      </c>
      <c r="C407">
        <v>96.9</v>
      </c>
      <c r="D407">
        <v>95.9</v>
      </c>
      <c r="E407">
        <v>89.3</v>
      </c>
      <c r="F407">
        <v>90.9</v>
      </c>
      <c r="G407">
        <v>90.1</v>
      </c>
      <c r="H407" t="s">
        <v>19</v>
      </c>
      <c r="I407">
        <v>4</v>
      </c>
      <c r="J407" t="s">
        <v>24</v>
      </c>
      <c r="K407">
        <v>84.6</v>
      </c>
      <c r="L407">
        <v>203</v>
      </c>
      <c r="M407">
        <v>91.5</v>
      </c>
      <c r="N407">
        <v>7.1</v>
      </c>
      <c r="O407">
        <v>1.3</v>
      </c>
      <c r="P407">
        <v>6</v>
      </c>
      <c r="Q407" t="s">
        <v>28</v>
      </c>
      <c r="R407" t="s">
        <v>33</v>
      </c>
    </row>
    <row r="408" spans="1:18" x14ac:dyDescent="0.25">
      <c r="A408" t="s">
        <v>436</v>
      </c>
      <c r="B408">
        <v>56.5</v>
      </c>
      <c r="C408">
        <v>54.3</v>
      </c>
      <c r="D408">
        <v>55.4</v>
      </c>
      <c r="E408">
        <v>61.4</v>
      </c>
      <c r="F408">
        <v>64.400000000000006</v>
      </c>
      <c r="G408">
        <v>62.9</v>
      </c>
      <c r="H408" t="s">
        <v>19</v>
      </c>
      <c r="I408">
        <v>4</v>
      </c>
      <c r="J408" t="s">
        <v>38</v>
      </c>
      <c r="K408">
        <v>74.099999999999994</v>
      </c>
      <c r="L408">
        <v>178</v>
      </c>
      <c r="M408">
        <v>84.5</v>
      </c>
      <c r="N408">
        <v>6.8</v>
      </c>
      <c r="O408">
        <v>3.6</v>
      </c>
      <c r="P408">
        <v>4</v>
      </c>
      <c r="Q408" t="s">
        <v>28</v>
      </c>
      <c r="R408" t="s">
        <v>33</v>
      </c>
    </row>
    <row r="409" spans="1:18" x14ac:dyDescent="0.25">
      <c r="A409" t="s">
        <v>437</v>
      </c>
      <c r="B409">
        <v>39.5</v>
      </c>
      <c r="C409">
        <v>39.299999999999997</v>
      </c>
      <c r="D409">
        <v>45.1</v>
      </c>
      <c r="E409">
        <v>40.6</v>
      </c>
      <c r="F409">
        <v>55.3</v>
      </c>
      <c r="G409">
        <v>47.95</v>
      </c>
      <c r="H409" t="s">
        <v>32</v>
      </c>
      <c r="I409">
        <v>1</v>
      </c>
      <c r="J409" t="s">
        <v>20</v>
      </c>
      <c r="K409">
        <v>49.5</v>
      </c>
      <c r="L409">
        <v>119</v>
      </c>
      <c r="M409">
        <v>52.1</v>
      </c>
      <c r="N409">
        <v>6.5</v>
      </c>
      <c r="O409">
        <v>3.5</v>
      </c>
      <c r="P409">
        <v>2</v>
      </c>
      <c r="Q409" t="s">
        <v>25</v>
      </c>
      <c r="R409" t="s">
        <v>33</v>
      </c>
    </row>
    <row r="410" spans="1:18" x14ac:dyDescent="0.25">
      <c r="A410" t="s">
        <v>438</v>
      </c>
      <c r="B410">
        <v>92.5</v>
      </c>
      <c r="C410">
        <v>87.6</v>
      </c>
      <c r="D410">
        <v>94.3</v>
      </c>
      <c r="E410">
        <v>89.8</v>
      </c>
      <c r="F410">
        <v>96.1</v>
      </c>
      <c r="G410">
        <v>92.95</v>
      </c>
      <c r="H410" t="s">
        <v>19</v>
      </c>
      <c r="I410">
        <v>3</v>
      </c>
      <c r="J410" t="s">
        <v>20</v>
      </c>
      <c r="K410">
        <v>87.1</v>
      </c>
      <c r="L410">
        <v>209</v>
      </c>
      <c r="M410">
        <v>68.099999999999994</v>
      </c>
      <c r="N410">
        <v>7.3</v>
      </c>
      <c r="O410">
        <v>1.7</v>
      </c>
      <c r="P410">
        <v>1</v>
      </c>
      <c r="Q410" t="s">
        <v>25</v>
      </c>
      <c r="R410" t="s">
        <v>33</v>
      </c>
    </row>
    <row r="411" spans="1:18" x14ac:dyDescent="0.25">
      <c r="A411" t="s">
        <v>439</v>
      </c>
      <c r="B411">
        <v>40.200000000000003</v>
      </c>
      <c r="C411">
        <v>48</v>
      </c>
      <c r="D411">
        <v>54.2</v>
      </c>
      <c r="E411">
        <v>45</v>
      </c>
      <c r="F411">
        <v>64.2</v>
      </c>
      <c r="G411">
        <v>54.6</v>
      </c>
      <c r="H411" t="s">
        <v>19</v>
      </c>
      <c r="I411">
        <v>2</v>
      </c>
      <c r="J411" t="s">
        <v>20</v>
      </c>
      <c r="K411">
        <v>59.3</v>
      </c>
      <c r="L411">
        <v>142</v>
      </c>
      <c r="M411">
        <v>64.400000000000006</v>
      </c>
      <c r="N411">
        <v>8.1</v>
      </c>
      <c r="O411">
        <v>1.5</v>
      </c>
      <c r="P411">
        <v>1</v>
      </c>
      <c r="Q411" t="s">
        <v>25</v>
      </c>
      <c r="R411" t="s">
        <v>22</v>
      </c>
    </row>
    <row r="412" spans="1:18" x14ac:dyDescent="0.25">
      <c r="A412" t="s">
        <v>440</v>
      </c>
      <c r="B412">
        <v>58.1</v>
      </c>
      <c r="C412">
        <v>49.6</v>
      </c>
      <c r="D412">
        <v>55.5</v>
      </c>
      <c r="E412">
        <v>57.6</v>
      </c>
      <c r="F412">
        <v>62.8</v>
      </c>
      <c r="G412">
        <v>60.2</v>
      </c>
      <c r="H412" t="s">
        <v>19</v>
      </c>
      <c r="I412">
        <v>2</v>
      </c>
      <c r="J412" t="s">
        <v>20</v>
      </c>
      <c r="K412">
        <v>77</v>
      </c>
      <c r="L412">
        <v>185</v>
      </c>
      <c r="M412">
        <v>79.099999999999994</v>
      </c>
      <c r="N412">
        <v>7.6</v>
      </c>
      <c r="O412">
        <v>1.6</v>
      </c>
      <c r="P412">
        <v>2</v>
      </c>
      <c r="Q412" t="s">
        <v>25</v>
      </c>
      <c r="R412" t="s">
        <v>33</v>
      </c>
    </row>
    <row r="413" spans="1:18" x14ac:dyDescent="0.25">
      <c r="A413" t="s">
        <v>441</v>
      </c>
      <c r="B413">
        <v>85.6</v>
      </c>
      <c r="C413">
        <v>94.6</v>
      </c>
      <c r="D413">
        <v>95.8</v>
      </c>
      <c r="E413">
        <v>92.3</v>
      </c>
      <c r="F413">
        <v>87.6</v>
      </c>
      <c r="G413">
        <v>89.95</v>
      </c>
      <c r="H413" t="s">
        <v>19</v>
      </c>
      <c r="I413">
        <v>5</v>
      </c>
      <c r="J413" t="s">
        <v>24</v>
      </c>
      <c r="K413">
        <v>89.2</v>
      </c>
      <c r="L413">
        <v>214</v>
      </c>
      <c r="M413">
        <v>99.9</v>
      </c>
      <c r="N413">
        <v>8.9</v>
      </c>
      <c r="O413">
        <v>1.5</v>
      </c>
      <c r="P413">
        <v>6</v>
      </c>
      <c r="Q413" t="s">
        <v>21</v>
      </c>
      <c r="R413" t="s">
        <v>33</v>
      </c>
    </row>
    <row r="414" spans="1:18" x14ac:dyDescent="0.25">
      <c r="A414" t="s">
        <v>442</v>
      </c>
      <c r="B414">
        <v>89.3</v>
      </c>
      <c r="C414">
        <v>102.4</v>
      </c>
      <c r="D414">
        <v>103.7</v>
      </c>
      <c r="E414">
        <v>92.3</v>
      </c>
      <c r="F414">
        <v>96.2</v>
      </c>
      <c r="G414">
        <v>94.25</v>
      </c>
      <c r="H414" t="s">
        <v>19</v>
      </c>
      <c r="I414">
        <v>4</v>
      </c>
      <c r="J414" t="s">
        <v>38</v>
      </c>
      <c r="K414">
        <v>87.3</v>
      </c>
      <c r="L414">
        <v>210</v>
      </c>
      <c r="M414">
        <v>87.7</v>
      </c>
      <c r="N414">
        <v>6.9</v>
      </c>
      <c r="O414">
        <v>4</v>
      </c>
      <c r="P414">
        <v>1</v>
      </c>
      <c r="Q414" t="s">
        <v>25</v>
      </c>
      <c r="R414" t="s">
        <v>33</v>
      </c>
    </row>
    <row r="415" spans="1:18" x14ac:dyDescent="0.25">
      <c r="A415" t="s">
        <v>443</v>
      </c>
      <c r="B415">
        <v>73.099999999999994</v>
      </c>
      <c r="C415">
        <v>64.7</v>
      </c>
      <c r="D415">
        <v>68.5</v>
      </c>
      <c r="E415">
        <v>71.5</v>
      </c>
      <c r="F415">
        <v>82</v>
      </c>
      <c r="G415">
        <v>76.75</v>
      </c>
      <c r="H415" t="s">
        <v>19</v>
      </c>
      <c r="I415">
        <v>4</v>
      </c>
      <c r="J415" t="s">
        <v>38</v>
      </c>
      <c r="K415">
        <v>78.2</v>
      </c>
      <c r="L415">
        <v>188</v>
      </c>
      <c r="M415">
        <v>77.599999999999994</v>
      </c>
      <c r="N415">
        <v>7.4</v>
      </c>
      <c r="O415">
        <v>2</v>
      </c>
      <c r="P415">
        <v>3</v>
      </c>
      <c r="Q415" t="s">
        <v>28</v>
      </c>
      <c r="R415" t="s">
        <v>33</v>
      </c>
    </row>
    <row r="416" spans="1:18" x14ac:dyDescent="0.25">
      <c r="A416" t="s">
        <v>444</v>
      </c>
      <c r="B416">
        <v>66.8</v>
      </c>
      <c r="C416">
        <v>75.7</v>
      </c>
      <c r="D416">
        <v>67.099999999999994</v>
      </c>
      <c r="E416">
        <v>74.8</v>
      </c>
      <c r="F416">
        <v>86.3</v>
      </c>
      <c r="G416">
        <v>80.55</v>
      </c>
      <c r="H416" t="s">
        <v>19</v>
      </c>
      <c r="I416">
        <v>5</v>
      </c>
      <c r="J416" t="s">
        <v>24</v>
      </c>
      <c r="K416">
        <v>72.400000000000006</v>
      </c>
      <c r="L416">
        <v>174</v>
      </c>
      <c r="M416">
        <v>93.1</v>
      </c>
      <c r="N416">
        <v>7.4</v>
      </c>
      <c r="O416">
        <v>2.2999999999999998</v>
      </c>
      <c r="P416">
        <v>2</v>
      </c>
      <c r="Q416" t="s">
        <v>25</v>
      </c>
      <c r="R416" t="s">
        <v>26</v>
      </c>
    </row>
    <row r="417" spans="1:18" x14ac:dyDescent="0.25">
      <c r="A417" t="s">
        <v>445</v>
      </c>
      <c r="B417">
        <v>66.900000000000006</v>
      </c>
      <c r="C417">
        <v>61.4</v>
      </c>
      <c r="D417">
        <v>55.3</v>
      </c>
      <c r="E417">
        <v>64.7</v>
      </c>
      <c r="F417">
        <v>63.1</v>
      </c>
      <c r="G417">
        <v>63.9</v>
      </c>
      <c r="H417" t="s">
        <v>19</v>
      </c>
      <c r="I417">
        <v>3</v>
      </c>
      <c r="J417" t="s">
        <v>20</v>
      </c>
      <c r="K417">
        <v>80.400000000000006</v>
      </c>
      <c r="L417">
        <v>193</v>
      </c>
      <c r="M417">
        <v>79.5</v>
      </c>
      <c r="N417">
        <v>7.1</v>
      </c>
      <c r="O417">
        <v>1.9</v>
      </c>
      <c r="P417">
        <v>6</v>
      </c>
      <c r="Q417" t="s">
        <v>28</v>
      </c>
      <c r="R417" t="s">
        <v>22</v>
      </c>
    </row>
    <row r="418" spans="1:18" x14ac:dyDescent="0.25">
      <c r="A418" t="s">
        <v>446</v>
      </c>
      <c r="B418">
        <v>56</v>
      </c>
      <c r="C418">
        <v>58.3</v>
      </c>
      <c r="D418">
        <v>59.7</v>
      </c>
      <c r="E418">
        <v>56.1</v>
      </c>
      <c r="F418">
        <v>71.599999999999994</v>
      </c>
      <c r="G418">
        <v>63.85</v>
      </c>
      <c r="H418" t="s">
        <v>19</v>
      </c>
      <c r="I418">
        <v>4</v>
      </c>
      <c r="J418" t="s">
        <v>24</v>
      </c>
      <c r="K418">
        <v>78</v>
      </c>
      <c r="L418">
        <v>187</v>
      </c>
      <c r="M418">
        <v>93.5</v>
      </c>
      <c r="N418">
        <v>6.2</v>
      </c>
      <c r="O418">
        <v>5.8</v>
      </c>
      <c r="P418">
        <v>2</v>
      </c>
      <c r="Q418" t="s">
        <v>25</v>
      </c>
      <c r="R418" t="s">
        <v>26</v>
      </c>
    </row>
    <row r="419" spans="1:18" x14ac:dyDescent="0.25">
      <c r="A419" t="s">
        <v>447</v>
      </c>
      <c r="B419">
        <v>60.8</v>
      </c>
      <c r="C419">
        <v>58.2</v>
      </c>
      <c r="D419">
        <v>48.7</v>
      </c>
      <c r="E419">
        <v>58.1</v>
      </c>
      <c r="F419">
        <v>64.8</v>
      </c>
      <c r="G419">
        <v>61.45</v>
      </c>
      <c r="H419" t="s">
        <v>19</v>
      </c>
      <c r="I419">
        <v>3</v>
      </c>
      <c r="J419" t="s">
        <v>20</v>
      </c>
      <c r="K419">
        <v>71</v>
      </c>
      <c r="L419">
        <v>170</v>
      </c>
      <c r="M419">
        <v>76.599999999999994</v>
      </c>
      <c r="N419">
        <v>7</v>
      </c>
      <c r="O419">
        <v>5.3</v>
      </c>
      <c r="P419">
        <v>4</v>
      </c>
      <c r="Q419" t="s">
        <v>28</v>
      </c>
      <c r="R419" t="s">
        <v>22</v>
      </c>
    </row>
    <row r="420" spans="1:18" x14ac:dyDescent="0.25">
      <c r="A420" t="s">
        <v>448</v>
      </c>
      <c r="B420">
        <v>78.099999999999994</v>
      </c>
      <c r="C420">
        <v>73.8</v>
      </c>
      <c r="D420">
        <v>75.099999999999994</v>
      </c>
      <c r="E420">
        <v>77</v>
      </c>
      <c r="F420">
        <v>86.6</v>
      </c>
      <c r="G420">
        <v>81.8</v>
      </c>
      <c r="H420" t="s">
        <v>19</v>
      </c>
      <c r="I420">
        <v>5</v>
      </c>
      <c r="J420" t="s">
        <v>24</v>
      </c>
      <c r="K420">
        <v>86.4</v>
      </c>
      <c r="L420">
        <v>207</v>
      </c>
      <c r="M420">
        <v>97.6</v>
      </c>
      <c r="N420">
        <v>7.4</v>
      </c>
      <c r="O420">
        <v>2.2000000000000002</v>
      </c>
      <c r="P420">
        <v>2</v>
      </c>
      <c r="Q420" t="s">
        <v>25</v>
      </c>
      <c r="R420" t="s">
        <v>33</v>
      </c>
    </row>
    <row r="421" spans="1:18" x14ac:dyDescent="0.25">
      <c r="A421" t="s">
        <v>449</v>
      </c>
      <c r="B421">
        <v>88.2</v>
      </c>
      <c r="C421">
        <v>83.8</v>
      </c>
      <c r="D421">
        <v>83.6</v>
      </c>
      <c r="E421">
        <v>81.400000000000006</v>
      </c>
      <c r="F421">
        <v>80.099999999999994</v>
      </c>
      <c r="G421">
        <v>80.75</v>
      </c>
      <c r="H421" t="s">
        <v>19</v>
      </c>
      <c r="I421">
        <v>2</v>
      </c>
      <c r="J421" t="s">
        <v>20</v>
      </c>
      <c r="K421">
        <v>77.8</v>
      </c>
      <c r="L421">
        <v>187</v>
      </c>
      <c r="M421">
        <v>75.400000000000006</v>
      </c>
      <c r="N421">
        <v>6.8</v>
      </c>
      <c r="O421">
        <v>2.6</v>
      </c>
      <c r="P421">
        <v>2</v>
      </c>
      <c r="Q421" t="s">
        <v>25</v>
      </c>
      <c r="R421" t="s">
        <v>33</v>
      </c>
    </row>
    <row r="422" spans="1:18" x14ac:dyDescent="0.25">
      <c r="A422" t="s">
        <v>450</v>
      </c>
      <c r="B422">
        <v>84.2</v>
      </c>
      <c r="C422">
        <v>92.6</v>
      </c>
      <c r="D422">
        <v>84.5</v>
      </c>
      <c r="E422">
        <v>83.5</v>
      </c>
      <c r="F422">
        <v>100</v>
      </c>
      <c r="G422">
        <v>91.75</v>
      </c>
      <c r="H422" t="s">
        <v>19</v>
      </c>
      <c r="I422">
        <v>5</v>
      </c>
      <c r="J422" t="s">
        <v>24</v>
      </c>
      <c r="K422">
        <v>77.8</v>
      </c>
      <c r="L422">
        <v>187</v>
      </c>
      <c r="M422">
        <v>96.8</v>
      </c>
      <c r="N422">
        <v>6.9</v>
      </c>
      <c r="O422">
        <v>2</v>
      </c>
      <c r="P422">
        <v>1</v>
      </c>
      <c r="Q422" t="s">
        <v>25</v>
      </c>
      <c r="R422" t="s">
        <v>22</v>
      </c>
    </row>
    <row r="423" spans="1:18" x14ac:dyDescent="0.25">
      <c r="A423" t="s">
        <v>451</v>
      </c>
      <c r="B423">
        <v>81.3</v>
      </c>
      <c r="C423">
        <v>82.5</v>
      </c>
      <c r="D423">
        <v>85.6</v>
      </c>
      <c r="E423">
        <v>83.4</v>
      </c>
      <c r="F423">
        <v>70.3</v>
      </c>
      <c r="G423">
        <v>76.849999999999994</v>
      </c>
      <c r="H423" t="s">
        <v>19</v>
      </c>
      <c r="I423">
        <v>2</v>
      </c>
      <c r="J423" t="s">
        <v>20</v>
      </c>
      <c r="K423">
        <v>81.900000000000006</v>
      </c>
      <c r="L423">
        <v>197</v>
      </c>
      <c r="M423">
        <v>69.099999999999994</v>
      </c>
      <c r="N423">
        <v>6.7</v>
      </c>
      <c r="O423">
        <v>3.5</v>
      </c>
      <c r="P423">
        <v>3</v>
      </c>
      <c r="Q423" t="s">
        <v>28</v>
      </c>
      <c r="R423" t="s">
        <v>22</v>
      </c>
    </row>
    <row r="424" spans="1:18" x14ac:dyDescent="0.25">
      <c r="A424" t="s">
        <v>452</v>
      </c>
      <c r="B424">
        <v>45.6</v>
      </c>
      <c r="C424">
        <v>48.6</v>
      </c>
      <c r="D424">
        <v>46.1</v>
      </c>
      <c r="E424">
        <v>45</v>
      </c>
      <c r="F424">
        <v>52.3</v>
      </c>
      <c r="G424">
        <v>48.65</v>
      </c>
      <c r="H424" t="s">
        <v>32</v>
      </c>
      <c r="I424">
        <v>2</v>
      </c>
      <c r="J424" t="s">
        <v>20</v>
      </c>
      <c r="K424">
        <v>64.7</v>
      </c>
      <c r="L424">
        <v>155</v>
      </c>
      <c r="M424">
        <v>74</v>
      </c>
      <c r="N424">
        <v>7.7</v>
      </c>
      <c r="O424">
        <v>1.1000000000000001</v>
      </c>
      <c r="P424">
        <v>6</v>
      </c>
      <c r="Q424" t="s">
        <v>28</v>
      </c>
      <c r="R424" t="s">
        <v>26</v>
      </c>
    </row>
    <row r="425" spans="1:18" x14ac:dyDescent="0.25">
      <c r="A425" t="s">
        <v>453</v>
      </c>
      <c r="B425">
        <v>69.900000000000006</v>
      </c>
      <c r="C425">
        <v>60.7</v>
      </c>
      <c r="D425">
        <v>73.599999999999994</v>
      </c>
      <c r="E425">
        <v>67.2</v>
      </c>
      <c r="F425">
        <v>74.599999999999994</v>
      </c>
      <c r="G425">
        <v>70.900000000000006</v>
      </c>
      <c r="H425" t="s">
        <v>19</v>
      </c>
      <c r="I425">
        <v>4</v>
      </c>
      <c r="J425" t="s">
        <v>38</v>
      </c>
      <c r="K425">
        <v>71.599999999999994</v>
      </c>
      <c r="L425">
        <v>172</v>
      </c>
      <c r="M425">
        <v>102.2</v>
      </c>
      <c r="N425">
        <v>7.3</v>
      </c>
      <c r="O425">
        <v>4.4000000000000004</v>
      </c>
      <c r="P425">
        <v>2</v>
      </c>
      <c r="Q425" t="s">
        <v>25</v>
      </c>
      <c r="R425" t="s">
        <v>22</v>
      </c>
    </row>
    <row r="426" spans="1:18" x14ac:dyDescent="0.25">
      <c r="A426" t="s">
        <v>454</v>
      </c>
      <c r="B426">
        <v>43.4</v>
      </c>
      <c r="C426">
        <v>38.4</v>
      </c>
      <c r="D426">
        <v>38.4</v>
      </c>
      <c r="E426">
        <v>43.2</v>
      </c>
      <c r="F426">
        <v>55.9</v>
      </c>
      <c r="G426">
        <v>49.55</v>
      </c>
      <c r="H426" t="s">
        <v>32</v>
      </c>
      <c r="I426">
        <v>3</v>
      </c>
      <c r="J426" t="s">
        <v>20</v>
      </c>
      <c r="K426">
        <v>64.3</v>
      </c>
      <c r="L426">
        <v>154</v>
      </c>
      <c r="M426">
        <v>65.3</v>
      </c>
      <c r="N426">
        <v>6.2</v>
      </c>
      <c r="O426">
        <v>3.6</v>
      </c>
      <c r="P426">
        <v>3</v>
      </c>
      <c r="Q426" t="s">
        <v>25</v>
      </c>
      <c r="R426" t="s">
        <v>33</v>
      </c>
    </row>
    <row r="427" spans="1:18" x14ac:dyDescent="0.25">
      <c r="A427" t="s">
        <v>455</v>
      </c>
      <c r="B427">
        <v>70.400000000000006</v>
      </c>
      <c r="C427">
        <v>72.599999999999994</v>
      </c>
      <c r="D427">
        <v>66.8</v>
      </c>
      <c r="E427">
        <v>70.2</v>
      </c>
      <c r="F427">
        <v>81.400000000000006</v>
      </c>
      <c r="G427">
        <v>75.8</v>
      </c>
      <c r="H427" t="s">
        <v>19</v>
      </c>
      <c r="I427">
        <v>3</v>
      </c>
      <c r="J427" t="s">
        <v>38</v>
      </c>
      <c r="K427">
        <v>76.599999999999994</v>
      </c>
      <c r="L427">
        <v>184</v>
      </c>
      <c r="M427">
        <v>87.7</v>
      </c>
      <c r="N427">
        <v>6.2</v>
      </c>
      <c r="O427">
        <v>5.5</v>
      </c>
      <c r="P427">
        <v>5</v>
      </c>
      <c r="Q427" t="s">
        <v>28</v>
      </c>
      <c r="R427" t="s">
        <v>26</v>
      </c>
    </row>
    <row r="428" spans="1:18" x14ac:dyDescent="0.25">
      <c r="A428" t="s">
        <v>456</v>
      </c>
      <c r="B428">
        <v>60.8</v>
      </c>
      <c r="C428">
        <v>71.7</v>
      </c>
      <c r="D428">
        <v>60.4</v>
      </c>
      <c r="E428">
        <v>64.3</v>
      </c>
      <c r="F428">
        <v>64.5</v>
      </c>
      <c r="G428">
        <v>64.400000000000006</v>
      </c>
      <c r="H428" t="s">
        <v>19</v>
      </c>
      <c r="I428">
        <v>3</v>
      </c>
      <c r="J428" t="s">
        <v>20</v>
      </c>
      <c r="K428">
        <v>67.2</v>
      </c>
      <c r="L428">
        <v>161</v>
      </c>
      <c r="M428">
        <v>77.2</v>
      </c>
      <c r="N428">
        <v>7.5</v>
      </c>
      <c r="O428">
        <v>1.8</v>
      </c>
      <c r="P428">
        <v>5</v>
      </c>
      <c r="Q428" t="s">
        <v>28</v>
      </c>
      <c r="R428" t="s">
        <v>22</v>
      </c>
    </row>
    <row r="429" spans="1:18" x14ac:dyDescent="0.25">
      <c r="A429" t="s">
        <v>457</v>
      </c>
      <c r="B429">
        <v>85.5</v>
      </c>
      <c r="C429">
        <v>90.6</v>
      </c>
      <c r="D429">
        <v>93</v>
      </c>
      <c r="E429">
        <v>88.8</v>
      </c>
      <c r="F429">
        <v>81.400000000000006</v>
      </c>
      <c r="G429">
        <v>85.1</v>
      </c>
      <c r="H429" t="s">
        <v>19</v>
      </c>
      <c r="I429">
        <v>4</v>
      </c>
      <c r="J429" t="s">
        <v>38</v>
      </c>
      <c r="K429">
        <v>87</v>
      </c>
      <c r="L429">
        <v>209</v>
      </c>
      <c r="M429">
        <v>92.5</v>
      </c>
      <c r="N429">
        <v>5.6</v>
      </c>
      <c r="O429">
        <v>5</v>
      </c>
      <c r="P429">
        <v>5</v>
      </c>
      <c r="Q429" t="s">
        <v>28</v>
      </c>
      <c r="R429" t="s">
        <v>22</v>
      </c>
    </row>
    <row r="430" spans="1:18" x14ac:dyDescent="0.25">
      <c r="A430" t="s">
        <v>458</v>
      </c>
      <c r="B430">
        <v>52.3</v>
      </c>
      <c r="C430">
        <v>57.7</v>
      </c>
      <c r="D430">
        <v>63.8</v>
      </c>
      <c r="E430">
        <v>59.3</v>
      </c>
      <c r="F430">
        <v>63.8</v>
      </c>
      <c r="G430">
        <v>61.55</v>
      </c>
      <c r="H430" t="s">
        <v>19</v>
      </c>
      <c r="I430">
        <v>2</v>
      </c>
      <c r="J430" t="s">
        <v>20</v>
      </c>
      <c r="K430">
        <v>74</v>
      </c>
      <c r="L430">
        <v>178</v>
      </c>
      <c r="M430">
        <v>65.8</v>
      </c>
      <c r="N430">
        <v>6.1</v>
      </c>
      <c r="O430">
        <v>5</v>
      </c>
      <c r="P430">
        <v>1</v>
      </c>
      <c r="Q430" t="s">
        <v>25</v>
      </c>
      <c r="R430" t="s">
        <v>26</v>
      </c>
    </row>
    <row r="431" spans="1:18" x14ac:dyDescent="0.25">
      <c r="A431" t="s">
        <v>459</v>
      </c>
      <c r="B431">
        <v>55.2</v>
      </c>
      <c r="C431">
        <v>46.4</v>
      </c>
      <c r="D431">
        <v>48.7</v>
      </c>
      <c r="E431">
        <v>46.4</v>
      </c>
      <c r="F431">
        <v>50.6</v>
      </c>
      <c r="G431">
        <v>48.5</v>
      </c>
      <c r="H431" t="s">
        <v>32</v>
      </c>
      <c r="I431">
        <v>1</v>
      </c>
      <c r="J431" t="s">
        <v>20</v>
      </c>
      <c r="K431">
        <v>64.099999999999994</v>
      </c>
      <c r="L431">
        <v>154</v>
      </c>
      <c r="M431">
        <v>62.1</v>
      </c>
      <c r="N431">
        <v>7.2</v>
      </c>
      <c r="O431">
        <v>1.6</v>
      </c>
      <c r="P431">
        <v>3</v>
      </c>
      <c r="Q431" t="s">
        <v>28</v>
      </c>
      <c r="R431" t="s">
        <v>22</v>
      </c>
    </row>
    <row r="432" spans="1:18" x14ac:dyDescent="0.25">
      <c r="A432" t="s">
        <v>460</v>
      </c>
      <c r="B432">
        <v>41.6</v>
      </c>
      <c r="C432">
        <v>41.6</v>
      </c>
      <c r="D432">
        <v>53.8</v>
      </c>
      <c r="E432">
        <v>47.9</v>
      </c>
      <c r="F432">
        <v>60.8</v>
      </c>
      <c r="G432">
        <v>54.35</v>
      </c>
      <c r="H432" t="s">
        <v>19</v>
      </c>
      <c r="I432">
        <v>2</v>
      </c>
      <c r="J432" t="s">
        <v>20</v>
      </c>
      <c r="K432">
        <v>69.7</v>
      </c>
      <c r="L432">
        <v>167</v>
      </c>
      <c r="M432">
        <v>75.599999999999994</v>
      </c>
      <c r="N432">
        <v>6.7</v>
      </c>
      <c r="O432">
        <v>3</v>
      </c>
      <c r="P432">
        <v>1</v>
      </c>
      <c r="Q432" t="s">
        <v>25</v>
      </c>
      <c r="R432" t="s">
        <v>33</v>
      </c>
    </row>
    <row r="433" spans="1:18" x14ac:dyDescent="0.25">
      <c r="A433" t="s">
        <v>461</v>
      </c>
      <c r="B433">
        <v>78.400000000000006</v>
      </c>
      <c r="C433">
        <v>84.9</v>
      </c>
      <c r="D433">
        <v>76</v>
      </c>
      <c r="E433">
        <v>81.900000000000006</v>
      </c>
      <c r="F433">
        <v>78.5</v>
      </c>
      <c r="G433">
        <v>80.2</v>
      </c>
      <c r="H433" t="s">
        <v>19</v>
      </c>
      <c r="I433">
        <v>3</v>
      </c>
      <c r="J433" t="s">
        <v>20</v>
      </c>
      <c r="K433">
        <v>74.900000000000006</v>
      </c>
      <c r="L433">
        <v>180</v>
      </c>
      <c r="M433">
        <v>94.5</v>
      </c>
      <c r="N433">
        <v>7.5</v>
      </c>
      <c r="O433">
        <v>1.9</v>
      </c>
      <c r="P433">
        <v>5</v>
      </c>
      <c r="Q433" t="s">
        <v>28</v>
      </c>
      <c r="R433" t="s">
        <v>26</v>
      </c>
    </row>
    <row r="434" spans="1:18" x14ac:dyDescent="0.25">
      <c r="A434" t="s">
        <v>462</v>
      </c>
      <c r="B434">
        <v>70.400000000000006</v>
      </c>
      <c r="C434">
        <v>78.400000000000006</v>
      </c>
      <c r="D434">
        <v>82.3</v>
      </c>
      <c r="E434">
        <v>74</v>
      </c>
      <c r="F434">
        <v>72.400000000000006</v>
      </c>
      <c r="G434">
        <v>73.2</v>
      </c>
      <c r="H434" t="s">
        <v>19</v>
      </c>
      <c r="I434">
        <v>2</v>
      </c>
      <c r="J434" t="s">
        <v>20</v>
      </c>
      <c r="K434">
        <v>79.3</v>
      </c>
      <c r="L434">
        <v>190</v>
      </c>
      <c r="M434">
        <v>70.8</v>
      </c>
      <c r="N434">
        <v>7.2</v>
      </c>
      <c r="O434">
        <v>2.2999999999999998</v>
      </c>
      <c r="P434">
        <v>2</v>
      </c>
      <c r="Q434" t="s">
        <v>25</v>
      </c>
      <c r="R434" t="s">
        <v>22</v>
      </c>
    </row>
    <row r="435" spans="1:18" x14ac:dyDescent="0.25">
      <c r="A435" t="s">
        <v>463</v>
      </c>
      <c r="B435">
        <v>50</v>
      </c>
      <c r="C435">
        <v>43.3</v>
      </c>
      <c r="D435">
        <v>53.2</v>
      </c>
      <c r="E435">
        <v>45.6</v>
      </c>
      <c r="F435">
        <v>60.7</v>
      </c>
      <c r="G435">
        <v>53.15</v>
      </c>
      <c r="H435" t="s">
        <v>19</v>
      </c>
      <c r="I435">
        <v>2</v>
      </c>
      <c r="J435" t="s">
        <v>20</v>
      </c>
      <c r="K435">
        <v>56.9</v>
      </c>
      <c r="L435">
        <v>137</v>
      </c>
      <c r="M435">
        <v>70</v>
      </c>
      <c r="N435">
        <v>7</v>
      </c>
      <c r="O435">
        <v>2.2999999999999998</v>
      </c>
      <c r="P435">
        <v>1</v>
      </c>
      <c r="Q435" t="s">
        <v>25</v>
      </c>
      <c r="R435" t="s">
        <v>33</v>
      </c>
    </row>
    <row r="436" spans="1:18" x14ac:dyDescent="0.25">
      <c r="A436" t="s">
        <v>464</v>
      </c>
      <c r="B436">
        <v>43.2</v>
      </c>
      <c r="C436">
        <v>42.3</v>
      </c>
      <c r="D436">
        <v>48.3</v>
      </c>
      <c r="E436">
        <v>44.6</v>
      </c>
      <c r="F436">
        <v>48.5</v>
      </c>
      <c r="G436">
        <v>46.55</v>
      </c>
      <c r="H436" t="s">
        <v>32</v>
      </c>
      <c r="I436">
        <v>3</v>
      </c>
      <c r="J436" t="s">
        <v>20</v>
      </c>
      <c r="K436">
        <v>56.7</v>
      </c>
      <c r="L436">
        <v>136</v>
      </c>
      <c r="M436">
        <v>73.900000000000006</v>
      </c>
      <c r="N436">
        <v>7.1</v>
      </c>
      <c r="O436">
        <v>3.8</v>
      </c>
      <c r="P436">
        <v>3</v>
      </c>
      <c r="Q436" t="s">
        <v>25</v>
      </c>
      <c r="R436" t="s">
        <v>22</v>
      </c>
    </row>
    <row r="437" spans="1:18" x14ac:dyDescent="0.25">
      <c r="A437" t="s">
        <v>465</v>
      </c>
      <c r="B437">
        <v>84.8</v>
      </c>
      <c r="C437">
        <v>79.900000000000006</v>
      </c>
      <c r="D437">
        <v>87.5</v>
      </c>
      <c r="E437">
        <v>78.599999999999994</v>
      </c>
      <c r="F437">
        <v>73.900000000000006</v>
      </c>
      <c r="G437">
        <v>76.25</v>
      </c>
      <c r="H437" t="s">
        <v>19</v>
      </c>
      <c r="I437">
        <v>1</v>
      </c>
      <c r="J437" t="s">
        <v>20</v>
      </c>
      <c r="K437">
        <v>76.099999999999994</v>
      </c>
      <c r="L437">
        <v>183</v>
      </c>
      <c r="M437">
        <v>60</v>
      </c>
      <c r="N437">
        <v>7.9</v>
      </c>
      <c r="O437">
        <v>3.1</v>
      </c>
      <c r="P437">
        <v>6</v>
      </c>
      <c r="Q437" t="s">
        <v>28</v>
      </c>
      <c r="R437" t="s">
        <v>26</v>
      </c>
    </row>
    <row r="438" spans="1:18" x14ac:dyDescent="0.25">
      <c r="A438" t="s">
        <v>466</v>
      </c>
      <c r="B438">
        <v>40.6</v>
      </c>
      <c r="C438">
        <v>41.8</v>
      </c>
      <c r="D438">
        <v>35.700000000000003</v>
      </c>
      <c r="E438">
        <v>44</v>
      </c>
      <c r="F438">
        <v>58.2</v>
      </c>
      <c r="G438">
        <v>51.1</v>
      </c>
      <c r="H438" t="s">
        <v>19</v>
      </c>
      <c r="I438">
        <v>3</v>
      </c>
      <c r="J438" t="s">
        <v>38</v>
      </c>
      <c r="K438">
        <v>57.3</v>
      </c>
      <c r="L438">
        <v>138</v>
      </c>
      <c r="M438">
        <v>74.400000000000006</v>
      </c>
      <c r="N438">
        <v>7.1</v>
      </c>
      <c r="O438">
        <v>5.7</v>
      </c>
      <c r="P438">
        <v>2</v>
      </c>
      <c r="Q438" t="s">
        <v>25</v>
      </c>
      <c r="R438" t="s">
        <v>22</v>
      </c>
    </row>
    <row r="439" spans="1:18" x14ac:dyDescent="0.25">
      <c r="A439" t="s">
        <v>467</v>
      </c>
      <c r="B439">
        <v>86.6</v>
      </c>
      <c r="C439">
        <v>84.9</v>
      </c>
      <c r="D439">
        <v>82.6</v>
      </c>
      <c r="E439">
        <v>85.2</v>
      </c>
      <c r="F439">
        <v>81.400000000000006</v>
      </c>
      <c r="G439">
        <v>83.3</v>
      </c>
      <c r="H439" t="s">
        <v>19</v>
      </c>
      <c r="I439">
        <v>5</v>
      </c>
      <c r="J439" t="s">
        <v>24</v>
      </c>
      <c r="K439">
        <v>79.900000000000006</v>
      </c>
      <c r="L439">
        <v>192</v>
      </c>
      <c r="M439">
        <v>93.7</v>
      </c>
      <c r="N439">
        <v>6.5</v>
      </c>
      <c r="O439">
        <v>1.6</v>
      </c>
      <c r="P439">
        <v>5</v>
      </c>
      <c r="Q439" t="s">
        <v>28</v>
      </c>
      <c r="R439" t="s">
        <v>22</v>
      </c>
    </row>
    <row r="440" spans="1:18" x14ac:dyDescent="0.25">
      <c r="A440" t="s">
        <v>468</v>
      </c>
      <c r="B440">
        <v>74.7</v>
      </c>
      <c r="C440">
        <v>89.3</v>
      </c>
      <c r="D440">
        <v>75.2</v>
      </c>
      <c r="E440">
        <v>78.8</v>
      </c>
      <c r="F440">
        <v>67.2</v>
      </c>
      <c r="G440">
        <v>73</v>
      </c>
      <c r="H440" t="s">
        <v>19</v>
      </c>
      <c r="I440">
        <v>2</v>
      </c>
      <c r="J440" t="s">
        <v>20</v>
      </c>
      <c r="K440">
        <v>78.400000000000006</v>
      </c>
      <c r="L440">
        <v>188</v>
      </c>
      <c r="M440">
        <v>69.7</v>
      </c>
      <c r="N440">
        <v>6.5</v>
      </c>
      <c r="O440">
        <v>5.9</v>
      </c>
      <c r="P440">
        <v>3</v>
      </c>
      <c r="Q440" t="s">
        <v>28</v>
      </c>
      <c r="R440" t="s">
        <v>22</v>
      </c>
    </row>
    <row r="441" spans="1:18" x14ac:dyDescent="0.25">
      <c r="A441" t="s">
        <v>469</v>
      </c>
      <c r="B441">
        <v>55.2</v>
      </c>
      <c r="C441">
        <v>43.2</v>
      </c>
      <c r="D441">
        <v>48.1</v>
      </c>
      <c r="E441">
        <v>44.5</v>
      </c>
      <c r="F441">
        <v>61.2</v>
      </c>
      <c r="G441">
        <v>52.85</v>
      </c>
      <c r="H441" t="s">
        <v>19</v>
      </c>
      <c r="I441">
        <v>3</v>
      </c>
      <c r="J441" t="s">
        <v>38</v>
      </c>
      <c r="K441">
        <v>66.400000000000006</v>
      </c>
      <c r="L441">
        <v>159</v>
      </c>
      <c r="M441">
        <v>77.5</v>
      </c>
      <c r="N441">
        <v>7.3</v>
      </c>
      <c r="O441">
        <v>2.2000000000000002</v>
      </c>
      <c r="P441">
        <v>1</v>
      </c>
      <c r="Q441" t="s">
        <v>25</v>
      </c>
      <c r="R441" t="s">
        <v>33</v>
      </c>
    </row>
    <row r="442" spans="1:18" x14ac:dyDescent="0.25">
      <c r="A442" t="s">
        <v>470</v>
      </c>
      <c r="B442">
        <v>38.700000000000003</v>
      </c>
      <c r="C442">
        <v>42.9</v>
      </c>
      <c r="D442">
        <v>39.4</v>
      </c>
      <c r="E442">
        <v>44.7</v>
      </c>
      <c r="F442">
        <v>51.5</v>
      </c>
      <c r="G442">
        <v>48.1</v>
      </c>
      <c r="H442" t="s">
        <v>32</v>
      </c>
      <c r="I442">
        <v>4</v>
      </c>
      <c r="J442" t="s">
        <v>38</v>
      </c>
      <c r="K442">
        <v>60.7</v>
      </c>
      <c r="L442">
        <v>146</v>
      </c>
      <c r="M442">
        <v>91.8</v>
      </c>
      <c r="N442">
        <v>6.6</v>
      </c>
      <c r="O442">
        <v>4.9000000000000004</v>
      </c>
      <c r="P442">
        <v>2</v>
      </c>
      <c r="Q442" t="s">
        <v>25</v>
      </c>
      <c r="R442" t="s">
        <v>33</v>
      </c>
    </row>
    <row r="443" spans="1:18" x14ac:dyDescent="0.25">
      <c r="A443" t="s">
        <v>471</v>
      </c>
      <c r="B443">
        <v>95.8</v>
      </c>
      <c r="C443">
        <v>91</v>
      </c>
      <c r="D443">
        <v>98.1</v>
      </c>
      <c r="E443">
        <v>94.3</v>
      </c>
      <c r="F443">
        <v>85.6</v>
      </c>
      <c r="G443">
        <v>89.95</v>
      </c>
      <c r="H443" t="s">
        <v>19</v>
      </c>
      <c r="I443">
        <v>3</v>
      </c>
      <c r="J443" t="s">
        <v>20</v>
      </c>
      <c r="K443">
        <v>79.2</v>
      </c>
      <c r="L443">
        <v>190</v>
      </c>
      <c r="M443">
        <v>79.2</v>
      </c>
      <c r="N443">
        <v>7</v>
      </c>
      <c r="O443">
        <v>2.7</v>
      </c>
      <c r="P443">
        <v>2</v>
      </c>
      <c r="Q443" t="s">
        <v>25</v>
      </c>
      <c r="R443" t="s">
        <v>22</v>
      </c>
    </row>
    <row r="444" spans="1:18" x14ac:dyDescent="0.25">
      <c r="A444" t="s">
        <v>472</v>
      </c>
      <c r="B444">
        <v>63.8</v>
      </c>
      <c r="C444">
        <v>64.3</v>
      </c>
      <c r="D444">
        <v>67.400000000000006</v>
      </c>
      <c r="E444">
        <v>60.6</v>
      </c>
      <c r="F444">
        <v>70.7</v>
      </c>
      <c r="G444">
        <v>65.650000000000006</v>
      </c>
      <c r="H444" t="s">
        <v>19</v>
      </c>
      <c r="I444">
        <v>4</v>
      </c>
      <c r="J444" t="s">
        <v>38</v>
      </c>
      <c r="K444">
        <v>76</v>
      </c>
      <c r="L444">
        <v>182</v>
      </c>
      <c r="M444">
        <v>84.4</v>
      </c>
      <c r="N444">
        <v>7.5</v>
      </c>
      <c r="O444">
        <v>1.7</v>
      </c>
      <c r="P444">
        <v>1</v>
      </c>
      <c r="Q444" t="s">
        <v>25</v>
      </c>
      <c r="R444" t="s">
        <v>22</v>
      </c>
    </row>
    <row r="445" spans="1:18" x14ac:dyDescent="0.25">
      <c r="A445" t="s">
        <v>473</v>
      </c>
      <c r="B445">
        <v>62.5</v>
      </c>
      <c r="C445">
        <v>59.5</v>
      </c>
      <c r="D445">
        <v>63.9</v>
      </c>
      <c r="E445">
        <v>60.4</v>
      </c>
      <c r="F445">
        <v>60.5</v>
      </c>
      <c r="G445">
        <v>60.45</v>
      </c>
      <c r="H445" t="s">
        <v>19</v>
      </c>
      <c r="I445">
        <v>3</v>
      </c>
      <c r="J445" t="s">
        <v>20</v>
      </c>
      <c r="K445">
        <v>66</v>
      </c>
      <c r="L445">
        <v>158</v>
      </c>
      <c r="M445">
        <v>75.7</v>
      </c>
      <c r="N445">
        <v>6.5</v>
      </c>
      <c r="O445">
        <v>5.3</v>
      </c>
      <c r="P445">
        <v>5</v>
      </c>
      <c r="Q445" t="s">
        <v>28</v>
      </c>
      <c r="R445" t="s">
        <v>26</v>
      </c>
    </row>
    <row r="446" spans="1:18" x14ac:dyDescent="0.25">
      <c r="A446" t="s">
        <v>474</v>
      </c>
      <c r="B446">
        <v>83.8</v>
      </c>
      <c r="C446">
        <v>81.5</v>
      </c>
      <c r="D446">
        <v>86.1</v>
      </c>
      <c r="E446">
        <v>84.7</v>
      </c>
      <c r="F446">
        <v>78.2</v>
      </c>
      <c r="G446">
        <v>81.45</v>
      </c>
      <c r="H446" t="s">
        <v>19</v>
      </c>
      <c r="I446">
        <v>3</v>
      </c>
      <c r="J446" t="s">
        <v>20</v>
      </c>
      <c r="K446">
        <v>82.1</v>
      </c>
      <c r="L446">
        <v>197</v>
      </c>
      <c r="M446">
        <v>88.2</v>
      </c>
      <c r="N446">
        <v>6.9</v>
      </c>
      <c r="O446">
        <v>2.5</v>
      </c>
      <c r="P446">
        <v>5</v>
      </c>
      <c r="Q446" t="s">
        <v>28</v>
      </c>
      <c r="R446" t="s">
        <v>22</v>
      </c>
    </row>
    <row r="447" spans="1:18" x14ac:dyDescent="0.25">
      <c r="A447" t="s">
        <v>475</v>
      </c>
      <c r="B447">
        <v>91.4</v>
      </c>
      <c r="C447">
        <v>98.7</v>
      </c>
      <c r="D447">
        <v>87.2</v>
      </c>
      <c r="E447">
        <v>92.1</v>
      </c>
      <c r="F447">
        <v>88.2</v>
      </c>
      <c r="G447">
        <v>90.15</v>
      </c>
      <c r="H447" t="s">
        <v>19</v>
      </c>
      <c r="I447">
        <v>1</v>
      </c>
      <c r="J447" t="s">
        <v>140</v>
      </c>
      <c r="K447">
        <v>88.3</v>
      </c>
      <c r="L447">
        <v>212</v>
      </c>
      <c r="M447">
        <v>64</v>
      </c>
      <c r="N447">
        <v>6.3</v>
      </c>
      <c r="O447">
        <v>4.3</v>
      </c>
      <c r="P447">
        <v>1</v>
      </c>
      <c r="Q447" t="s">
        <v>25</v>
      </c>
      <c r="R447" t="s">
        <v>26</v>
      </c>
    </row>
    <row r="448" spans="1:18" x14ac:dyDescent="0.25">
      <c r="A448" t="s">
        <v>476</v>
      </c>
      <c r="B448">
        <v>94.4</v>
      </c>
      <c r="C448">
        <v>101.3</v>
      </c>
      <c r="D448">
        <v>90</v>
      </c>
      <c r="E448">
        <v>94.2</v>
      </c>
      <c r="F448">
        <v>98.6</v>
      </c>
      <c r="G448">
        <v>96.4</v>
      </c>
      <c r="H448" t="s">
        <v>19</v>
      </c>
      <c r="I448">
        <v>4</v>
      </c>
      <c r="J448" t="s">
        <v>38</v>
      </c>
      <c r="K448">
        <v>88.1</v>
      </c>
      <c r="L448">
        <v>211</v>
      </c>
      <c r="M448">
        <v>87.7</v>
      </c>
      <c r="N448">
        <v>6.6</v>
      </c>
      <c r="O448">
        <v>3.8</v>
      </c>
      <c r="P448">
        <v>1</v>
      </c>
      <c r="Q448" t="s">
        <v>25</v>
      </c>
      <c r="R448" t="s">
        <v>33</v>
      </c>
    </row>
    <row r="449" spans="1:18" x14ac:dyDescent="0.25">
      <c r="A449" t="s">
        <v>477</v>
      </c>
      <c r="B449">
        <v>80.7</v>
      </c>
      <c r="C449">
        <v>78.400000000000006</v>
      </c>
      <c r="D449">
        <v>87.7</v>
      </c>
      <c r="E449">
        <v>81.400000000000006</v>
      </c>
      <c r="F449">
        <v>83.6</v>
      </c>
      <c r="G449">
        <v>82.5</v>
      </c>
      <c r="H449" t="s">
        <v>19</v>
      </c>
      <c r="I449">
        <v>4</v>
      </c>
      <c r="J449" t="s">
        <v>38</v>
      </c>
      <c r="K449">
        <v>86.2</v>
      </c>
      <c r="L449">
        <v>207</v>
      </c>
      <c r="M449">
        <v>85.3</v>
      </c>
      <c r="N449">
        <v>7.1</v>
      </c>
      <c r="O449">
        <v>3.4</v>
      </c>
      <c r="P449">
        <v>1</v>
      </c>
      <c r="Q449" t="s">
        <v>25</v>
      </c>
      <c r="R449" t="s">
        <v>22</v>
      </c>
    </row>
    <row r="450" spans="1:18" x14ac:dyDescent="0.25">
      <c r="A450" t="s">
        <v>478</v>
      </c>
      <c r="B450">
        <v>65.5</v>
      </c>
      <c r="C450">
        <v>51.4</v>
      </c>
      <c r="D450">
        <v>64.599999999999994</v>
      </c>
      <c r="E450">
        <v>60.7</v>
      </c>
      <c r="F450">
        <v>59.5</v>
      </c>
      <c r="G450">
        <v>60.1</v>
      </c>
      <c r="H450" t="s">
        <v>19</v>
      </c>
      <c r="I450">
        <v>1</v>
      </c>
      <c r="J450" t="s">
        <v>20</v>
      </c>
      <c r="K450">
        <v>72.7</v>
      </c>
      <c r="L450">
        <v>174</v>
      </c>
      <c r="M450">
        <v>61.9</v>
      </c>
      <c r="N450">
        <v>7.3</v>
      </c>
      <c r="O450">
        <v>3.5</v>
      </c>
      <c r="P450">
        <v>4</v>
      </c>
      <c r="Q450" t="s">
        <v>28</v>
      </c>
      <c r="R450" t="s">
        <v>26</v>
      </c>
    </row>
    <row r="451" spans="1:18" x14ac:dyDescent="0.25">
      <c r="A451" t="s">
        <v>479</v>
      </c>
      <c r="B451">
        <v>55.6</v>
      </c>
      <c r="C451">
        <v>49.6</v>
      </c>
      <c r="D451">
        <v>44.4</v>
      </c>
      <c r="E451">
        <v>44.6</v>
      </c>
      <c r="F451">
        <v>50.8</v>
      </c>
      <c r="G451">
        <v>47.7</v>
      </c>
      <c r="H451" t="s">
        <v>32</v>
      </c>
      <c r="I451">
        <v>3</v>
      </c>
      <c r="J451" t="s">
        <v>20</v>
      </c>
      <c r="K451">
        <v>58</v>
      </c>
      <c r="L451">
        <v>139</v>
      </c>
      <c r="M451">
        <v>72.2</v>
      </c>
      <c r="N451">
        <v>7</v>
      </c>
      <c r="O451">
        <v>4.7</v>
      </c>
      <c r="P451">
        <v>2</v>
      </c>
      <c r="Q451" t="s">
        <v>25</v>
      </c>
      <c r="R451" t="s">
        <v>33</v>
      </c>
    </row>
    <row r="452" spans="1:18" x14ac:dyDescent="0.25">
      <c r="A452" t="s">
        <v>480</v>
      </c>
      <c r="B452">
        <v>80</v>
      </c>
      <c r="C452">
        <v>79.3</v>
      </c>
      <c r="D452">
        <v>80.7</v>
      </c>
      <c r="E452">
        <v>82.7</v>
      </c>
      <c r="F452">
        <v>99.2</v>
      </c>
      <c r="G452">
        <v>90.95</v>
      </c>
      <c r="H452" t="s">
        <v>19</v>
      </c>
      <c r="I452">
        <v>5</v>
      </c>
      <c r="J452" t="s">
        <v>24</v>
      </c>
      <c r="K452">
        <v>92.3</v>
      </c>
      <c r="L452">
        <v>222</v>
      </c>
      <c r="M452">
        <v>88.6</v>
      </c>
      <c r="N452">
        <v>7.3</v>
      </c>
      <c r="O452">
        <v>1.4</v>
      </c>
      <c r="P452">
        <v>1</v>
      </c>
      <c r="Q452" t="s">
        <v>25</v>
      </c>
      <c r="R452" t="s">
        <v>26</v>
      </c>
    </row>
    <row r="453" spans="1:18" x14ac:dyDescent="0.25">
      <c r="A453" t="s">
        <v>481</v>
      </c>
      <c r="B453">
        <v>63.9</v>
      </c>
      <c r="C453">
        <v>74.7</v>
      </c>
      <c r="D453">
        <v>60.6</v>
      </c>
      <c r="E453">
        <v>70.7</v>
      </c>
      <c r="F453">
        <v>61.1</v>
      </c>
      <c r="G453">
        <v>65.900000000000006</v>
      </c>
      <c r="H453" t="s">
        <v>19</v>
      </c>
      <c r="I453">
        <v>3</v>
      </c>
      <c r="J453" t="s">
        <v>20</v>
      </c>
      <c r="K453">
        <v>76.3</v>
      </c>
      <c r="L453">
        <v>183</v>
      </c>
      <c r="M453">
        <v>87</v>
      </c>
      <c r="N453">
        <v>6.8</v>
      </c>
      <c r="O453">
        <v>4.3</v>
      </c>
      <c r="P453">
        <v>5</v>
      </c>
      <c r="Q453" t="s">
        <v>28</v>
      </c>
      <c r="R453" t="s">
        <v>33</v>
      </c>
    </row>
    <row r="454" spans="1:18" x14ac:dyDescent="0.25">
      <c r="A454" t="s">
        <v>482</v>
      </c>
      <c r="B454">
        <v>62.9</v>
      </c>
      <c r="C454">
        <v>53.5</v>
      </c>
      <c r="D454">
        <v>58</v>
      </c>
      <c r="E454">
        <v>63.3</v>
      </c>
      <c r="F454">
        <v>51.7</v>
      </c>
      <c r="G454">
        <v>57.5</v>
      </c>
      <c r="H454" t="s">
        <v>19</v>
      </c>
      <c r="I454">
        <v>3</v>
      </c>
      <c r="J454" t="s">
        <v>20</v>
      </c>
      <c r="K454">
        <v>70.900000000000006</v>
      </c>
      <c r="L454">
        <v>170</v>
      </c>
      <c r="M454">
        <v>80.900000000000006</v>
      </c>
      <c r="N454">
        <v>6.8</v>
      </c>
      <c r="O454">
        <v>5.5</v>
      </c>
      <c r="P454">
        <v>4</v>
      </c>
      <c r="Q454" t="s">
        <v>28</v>
      </c>
      <c r="R454" t="s">
        <v>22</v>
      </c>
    </row>
    <row r="455" spans="1:18" x14ac:dyDescent="0.25">
      <c r="A455" t="s">
        <v>483</v>
      </c>
      <c r="B455">
        <v>102.7</v>
      </c>
      <c r="C455">
        <v>94.3</v>
      </c>
      <c r="D455">
        <v>99.4</v>
      </c>
      <c r="E455">
        <v>89.8</v>
      </c>
      <c r="F455">
        <v>99.3</v>
      </c>
      <c r="G455">
        <v>94.55</v>
      </c>
      <c r="H455" t="s">
        <v>19</v>
      </c>
      <c r="I455">
        <v>5</v>
      </c>
      <c r="J455" t="s">
        <v>24</v>
      </c>
      <c r="K455">
        <v>89.7</v>
      </c>
      <c r="L455">
        <v>215</v>
      </c>
      <c r="M455">
        <v>98.4</v>
      </c>
      <c r="N455">
        <v>8.1999999999999993</v>
      </c>
      <c r="O455">
        <v>1.3</v>
      </c>
      <c r="P455">
        <v>1</v>
      </c>
      <c r="Q455" t="s">
        <v>25</v>
      </c>
      <c r="R455" t="s">
        <v>26</v>
      </c>
    </row>
    <row r="456" spans="1:18" x14ac:dyDescent="0.25">
      <c r="A456" t="s">
        <v>484</v>
      </c>
      <c r="B456">
        <v>42.1</v>
      </c>
      <c r="C456">
        <v>40.1</v>
      </c>
      <c r="D456">
        <v>39.700000000000003</v>
      </c>
      <c r="E456">
        <v>46.1</v>
      </c>
      <c r="F456">
        <v>59.9</v>
      </c>
      <c r="G456">
        <v>53</v>
      </c>
      <c r="H456" t="s">
        <v>19</v>
      </c>
      <c r="I456">
        <v>4</v>
      </c>
      <c r="J456" t="s">
        <v>38</v>
      </c>
      <c r="K456">
        <v>64.3</v>
      </c>
      <c r="L456">
        <v>154</v>
      </c>
      <c r="M456">
        <v>88.4</v>
      </c>
      <c r="N456">
        <v>7.5</v>
      </c>
      <c r="O456">
        <v>1.7</v>
      </c>
      <c r="P456">
        <v>2</v>
      </c>
      <c r="Q456" t="s">
        <v>25</v>
      </c>
      <c r="R456" t="s">
        <v>22</v>
      </c>
    </row>
    <row r="457" spans="1:18" x14ac:dyDescent="0.25">
      <c r="A457" t="s">
        <v>485</v>
      </c>
      <c r="B457">
        <v>75.3</v>
      </c>
      <c r="C457">
        <v>70.7</v>
      </c>
      <c r="D457">
        <v>68</v>
      </c>
      <c r="E457">
        <v>67.099999999999994</v>
      </c>
      <c r="F457">
        <v>69.8</v>
      </c>
      <c r="G457">
        <v>68.45</v>
      </c>
      <c r="H457" t="s">
        <v>19</v>
      </c>
      <c r="I457">
        <v>3</v>
      </c>
      <c r="J457" t="s">
        <v>38</v>
      </c>
      <c r="K457">
        <v>75.5</v>
      </c>
      <c r="L457">
        <v>181</v>
      </c>
      <c r="M457">
        <v>79.599999999999994</v>
      </c>
      <c r="N457">
        <v>6.5</v>
      </c>
      <c r="O457">
        <v>4.5999999999999996</v>
      </c>
      <c r="P457">
        <v>4</v>
      </c>
      <c r="Q457" t="s">
        <v>28</v>
      </c>
      <c r="R457" t="s">
        <v>26</v>
      </c>
    </row>
    <row r="458" spans="1:18" x14ac:dyDescent="0.25">
      <c r="A458" t="s">
        <v>486</v>
      </c>
      <c r="B458">
        <v>49</v>
      </c>
      <c r="C458">
        <v>40.700000000000003</v>
      </c>
      <c r="D458">
        <v>45.7</v>
      </c>
      <c r="E458">
        <v>40.6</v>
      </c>
      <c r="F458">
        <v>59.6</v>
      </c>
      <c r="G458">
        <v>50.1</v>
      </c>
      <c r="H458" t="s">
        <v>19</v>
      </c>
      <c r="I458">
        <v>4</v>
      </c>
      <c r="J458" t="s">
        <v>24</v>
      </c>
      <c r="K458">
        <v>72.8</v>
      </c>
      <c r="L458">
        <v>175</v>
      </c>
      <c r="M458">
        <v>91</v>
      </c>
      <c r="N458">
        <v>7.1</v>
      </c>
      <c r="O458">
        <v>3.2</v>
      </c>
      <c r="P458">
        <v>3</v>
      </c>
      <c r="Q458" t="s">
        <v>28</v>
      </c>
      <c r="R458" t="s">
        <v>33</v>
      </c>
    </row>
    <row r="459" spans="1:18" x14ac:dyDescent="0.25">
      <c r="A459" t="s">
        <v>487</v>
      </c>
      <c r="B459">
        <v>63</v>
      </c>
      <c r="C459">
        <v>61</v>
      </c>
      <c r="D459">
        <v>59.5</v>
      </c>
      <c r="E459">
        <v>65.8</v>
      </c>
      <c r="F459">
        <v>69</v>
      </c>
      <c r="G459">
        <v>67.400000000000006</v>
      </c>
      <c r="H459" t="s">
        <v>19</v>
      </c>
      <c r="I459">
        <v>5</v>
      </c>
      <c r="J459" t="s">
        <v>24</v>
      </c>
      <c r="K459">
        <v>71.5</v>
      </c>
      <c r="L459">
        <v>172</v>
      </c>
      <c r="M459">
        <v>86.6</v>
      </c>
      <c r="N459">
        <v>6.5</v>
      </c>
      <c r="O459">
        <v>3</v>
      </c>
      <c r="P459">
        <v>4</v>
      </c>
      <c r="Q459" t="s">
        <v>28</v>
      </c>
      <c r="R459" t="s">
        <v>26</v>
      </c>
    </row>
    <row r="460" spans="1:18" x14ac:dyDescent="0.25">
      <c r="A460" t="s">
        <v>488</v>
      </c>
      <c r="B460">
        <v>45.9</v>
      </c>
      <c r="C460">
        <v>41.1</v>
      </c>
      <c r="D460">
        <v>44</v>
      </c>
      <c r="E460">
        <v>43.1</v>
      </c>
      <c r="F460">
        <v>47.1</v>
      </c>
      <c r="G460">
        <v>45.1</v>
      </c>
      <c r="H460" t="s">
        <v>32</v>
      </c>
      <c r="I460">
        <v>3</v>
      </c>
      <c r="J460" t="s">
        <v>20</v>
      </c>
      <c r="K460">
        <v>60</v>
      </c>
      <c r="L460">
        <v>144</v>
      </c>
      <c r="M460">
        <v>89.7</v>
      </c>
      <c r="N460">
        <v>7.4</v>
      </c>
      <c r="O460">
        <v>1.7</v>
      </c>
      <c r="P460">
        <v>4</v>
      </c>
      <c r="Q460" t="s">
        <v>28</v>
      </c>
      <c r="R460" t="s">
        <v>26</v>
      </c>
    </row>
    <row r="461" spans="1:18" x14ac:dyDescent="0.25">
      <c r="A461" t="s">
        <v>489</v>
      </c>
      <c r="B461">
        <v>54.7</v>
      </c>
      <c r="C461">
        <v>50</v>
      </c>
      <c r="D461">
        <v>51.2</v>
      </c>
      <c r="E461">
        <v>46.5</v>
      </c>
      <c r="F461">
        <v>70.599999999999994</v>
      </c>
      <c r="G461">
        <v>58.55</v>
      </c>
      <c r="H461" t="s">
        <v>19</v>
      </c>
      <c r="I461">
        <v>3</v>
      </c>
      <c r="J461" t="s">
        <v>20</v>
      </c>
      <c r="K461">
        <v>63.9</v>
      </c>
      <c r="L461">
        <v>153</v>
      </c>
      <c r="M461">
        <v>72.8</v>
      </c>
      <c r="N461">
        <v>7.3</v>
      </c>
      <c r="O461">
        <v>3.5</v>
      </c>
      <c r="P461">
        <v>1</v>
      </c>
      <c r="Q461" t="s">
        <v>25</v>
      </c>
      <c r="R461" t="s">
        <v>22</v>
      </c>
    </row>
    <row r="462" spans="1:18" x14ac:dyDescent="0.25">
      <c r="A462" t="s">
        <v>490</v>
      </c>
      <c r="B462">
        <v>44.6</v>
      </c>
      <c r="C462">
        <v>47</v>
      </c>
      <c r="D462">
        <v>46.5</v>
      </c>
      <c r="E462">
        <v>46.5</v>
      </c>
      <c r="F462">
        <v>59.5</v>
      </c>
      <c r="G462">
        <v>53</v>
      </c>
      <c r="H462" t="s">
        <v>19</v>
      </c>
      <c r="I462">
        <v>3</v>
      </c>
      <c r="J462" t="s">
        <v>20</v>
      </c>
      <c r="K462">
        <v>68.599999999999994</v>
      </c>
      <c r="L462">
        <v>165</v>
      </c>
      <c r="M462">
        <v>70.3</v>
      </c>
      <c r="N462">
        <v>7.8</v>
      </c>
      <c r="O462">
        <v>1.6</v>
      </c>
      <c r="P462">
        <v>4</v>
      </c>
      <c r="Q462" t="s">
        <v>28</v>
      </c>
      <c r="R462" t="s">
        <v>22</v>
      </c>
    </row>
    <row r="463" spans="1:18" x14ac:dyDescent="0.25">
      <c r="A463" t="s">
        <v>491</v>
      </c>
      <c r="B463">
        <v>74.7</v>
      </c>
      <c r="C463">
        <v>78.599999999999994</v>
      </c>
      <c r="D463">
        <v>90</v>
      </c>
      <c r="E463">
        <v>75.7</v>
      </c>
      <c r="F463">
        <v>96.2</v>
      </c>
      <c r="G463">
        <v>85.95</v>
      </c>
      <c r="H463" t="s">
        <v>19</v>
      </c>
      <c r="I463">
        <v>5</v>
      </c>
      <c r="J463" t="s">
        <v>24</v>
      </c>
      <c r="K463">
        <v>70.3</v>
      </c>
      <c r="L463">
        <v>169</v>
      </c>
      <c r="M463">
        <v>96.5</v>
      </c>
      <c r="N463">
        <v>6.8</v>
      </c>
      <c r="O463">
        <v>3.4</v>
      </c>
      <c r="P463">
        <v>1</v>
      </c>
      <c r="Q463" t="s">
        <v>25</v>
      </c>
      <c r="R463" t="s">
        <v>22</v>
      </c>
    </row>
    <row r="464" spans="1:18" x14ac:dyDescent="0.25">
      <c r="A464" t="s">
        <v>492</v>
      </c>
      <c r="B464">
        <v>78.099999999999994</v>
      </c>
      <c r="C464">
        <v>90.9</v>
      </c>
      <c r="D464">
        <v>72.7</v>
      </c>
      <c r="E464">
        <v>81</v>
      </c>
      <c r="F464">
        <v>78.900000000000006</v>
      </c>
      <c r="G464">
        <v>79.95</v>
      </c>
      <c r="H464" t="s">
        <v>19</v>
      </c>
      <c r="I464">
        <v>4</v>
      </c>
      <c r="J464" t="s">
        <v>38</v>
      </c>
      <c r="K464">
        <v>70.7</v>
      </c>
      <c r="L464">
        <v>170</v>
      </c>
      <c r="M464">
        <v>94.3</v>
      </c>
      <c r="N464">
        <v>6.7</v>
      </c>
      <c r="O464">
        <v>4.8</v>
      </c>
      <c r="P464">
        <v>6</v>
      </c>
      <c r="Q464" t="s">
        <v>21</v>
      </c>
      <c r="R464" t="s">
        <v>33</v>
      </c>
    </row>
    <row r="465" spans="1:18" x14ac:dyDescent="0.25">
      <c r="A465" t="s">
        <v>493</v>
      </c>
      <c r="B465">
        <v>67</v>
      </c>
      <c r="C465">
        <v>64.3</v>
      </c>
      <c r="D465">
        <v>77.400000000000006</v>
      </c>
      <c r="E465">
        <v>72.099999999999994</v>
      </c>
      <c r="F465">
        <v>70.2</v>
      </c>
      <c r="G465">
        <v>71.150000000000006</v>
      </c>
      <c r="H465" t="s">
        <v>19</v>
      </c>
      <c r="I465">
        <v>1</v>
      </c>
      <c r="J465" t="s">
        <v>20</v>
      </c>
      <c r="K465">
        <v>73.099999999999994</v>
      </c>
      <c r="L465">
        <v>175</v>
      </c>
      <c r="M465">
        <v>63.4</v>
      </c>
      <c r="N465">
        <v>6.9</v>
      </c>
      <c r="O465">
        <v>2.2999999999999998</v>
      </c>
      <c r="P465">
        <v>3</v>
      </c>
      <c r="Q465" t="s">
        <v>25</v>
      </c>
      <c r="R465" t="s">
        <v>22</v>
      </c>
    </row>
    <row r="466" spans="1:18" x14ac:dyDescent="0.25">
      <c r="A466" t="s">
        <v>494</v>
      </c>
      <c r="B466">
        <v>89.7</v>
      </c>
      <c r="C466">
        <v>101</v>
      </c>
      <c r="D466">
        <v>92.1</v>
      </c>
      <c r="E466">
        <v>92.9</v>
      </c>
      <c r="F466">
        <v>82.5</v>
      </c>
      <c r="G466">
        <v>87.7</v>
      </c>
      <c r="H466" t="s">
        <v>19</v>
      </c>
      <c r="I466">
        <v>5</v>
      </c>
      <c r="J466" t="s">
        <v>24</v>
      </c>
      <c r="K466">
        <v>78.3</v>
      </c>
      <c r="L466">
        <v>188</v>
      </c>
      <c r="M466">
        <v>88.3</v>
      </c>
      <c r="N466">
        <v>7.3</v>
      </c>
      <c r="O466">
        <v>3.4</v>
      </c>
      <c r="P466">
        <v>7</v>
      </c>
      <c r="Q466" t="s">
        <v>21</v>
      </c>
      <c r="R466" t="s">
        <v>26</v>
      </c>
    </row>
    <row r="467" spans="1:18" x14ac:dyDescent="0.25">
      <c r="A467" t="s">
        <v>495</v>
      </c>
      <c r="B467">
        <v>54.5</v>
      </c>
      <c r="C467">
        <v>61.1</v>
      </c>
      <c r="D467">
        <v>64.5</v>
      </c>
      <c r="E467">
        <v>60.6</v>
      </c>
      <c r="F467">
        <v>69.3</v>
      </c>
      <c r="G467">
        <v>64.95</v>
      </c>
      <c r="H467" t="s">
        <v>19</v>
      </c>
      <c r="I467">
        <v>3</v>
      </c>
      <c r="J467" t="s">
        <v>20</v>
      </c>
      <c r="K467">
        <v>68.2</v>
      </c>
      <c r="L467">
        <v>164</v>
      </c>
      <c r="M467">
        <v>85.5</v>
      </c>
      <c r="N467">
        <v>6.2</v>
      </c>
      <c r="O467">
        <v>6</v>
      </c>
      <c r="P467">
        <v>1</v>
      </c>
      <c r="Q467" t="s">
        <v>25</v>
      </c>
      <c r="R467" t="s">
        <v>33</v>
      </c>
    </row>
    <row r="468" spans="1:18" x14ac:dyDescent="0.25">
      <c r="A468" t="s">
        <v>496</v>
      </c>
      <c r="B468">
        <v>55.9</v>
      </c>
      <c r="C468">
        <v>51.2</v>
      </c>
      <c r="D468">
        <v>57.9</v>
      </c>
      <c r="E468">
        <v>55.7</v>
      </c>
      <c r="F468">
        <v>51.4</v>
      </c>
      <c r="G468">
        <v>53.55</v>
      </c>
      <c r="H468" t="s">
        <v>19</v>
      </c>
      <c r="I468">
        <v>1</v>
      </c>
      <c r="J468" t="s">
        <v>20</v>
      </c>
      <c r="K468">
        <v>70.400000000000006</v>
      </c>
      <c r="L468">
        <v>169</v>
      </c>
      <c r="M468">
        <v>66.400000000000006</v>
      </c>
      <c r="N468">
        <v>6.5</v>
      </c>
      <c r="O468">
        <v>4.4000000000000004</v>
      </c>
      <c r="P468">
        <v>4</v>
      </c>
      <c r="Q468" t="s">
        <v>28</v>
      </c>
      <c r="R468" t="s">
        <v>22</v>
      </c>
    </row>
    <row r="469" spans="1:18" x14ac:dyDescent="0.25">
      <c r="A469" t="s">
        <v>497</v>
      </c>
      <c r="B469">
        <v>83.9</v>
      </c>
      <c r="C469">
        <v>81.099999999999994</v>
      </c>
      <c r="D469">
        <v>84.1</v>
      </c>
      <c r="E469">
        <v>87.8</v>
      </c>
      <c r="F469">
        <v>80.7</v>
      </c>
      <c r="G469">
        <v>84.25</v>
      </c>
      <c r="H469" t="s">
        <v>19</v>
      </c>
      <c r="I469">
        <v>3</v>
      </c>
      <c r="J469" t="s">
        <v>38</v>
      </c>
      <c r="K469">
        <v>79.400000000000006</v>
      </c>
      <c r="L469">
        <v>191</v>
      </c>
      <c r="M469">
        <v>84.7</v>
      </c>
      <c r="N469">
        <v>6.3</v>
      </c>
      <c r="O469">
        <v>5.2</v>
      </c>
      <c r="P469">
        <v>3</v>
      </c>
      <c r="Q469" t="s">
        <v>25</v>
      </c>
      <c r="R469" t="s">
        <v>26</v>
      </c>
    </row>
    <row r="470" spans="1:18" x14ac:dyDescent="0.25">
      <c r="A470" t="s">
        <v>498</v>
      </c>
      <c r="B470">
        <v>53.5</v>
      </c>
      <c r="C470">
        <v>51.4</v>
      </c>
      <c r="D470">
        <v>53.4</v>
      </c>
      <c r="E470">
        <v>52.3</v>
      </c>
      <c r="F470">
        <v>44.4</v>
      </c>
      <c r="G470">
        <v>48.35</v>
      </c>
      <c r="H470" t="s">
        <v>32</v>
      </c>
      <c r="I470">
        <v>3</v>
      </c>
      <c r="J470" t="s">
        <v>20</v>
      </c>
      <c r="K470">
        <v>59</v>
      </c>
      <c r="L470">
        <v>142</v>
      </c>
      <c r="M470">
        <v>80.3</v>
      </c>
      <c r="N470">
        <v>7</v>
      </c>
      <c r="O470">
        <v>3.1</v>
      </c>
      <c r="P470">
        <v>6</v>
      </c>
      <c r="Q470" t="s">
        <v>28</v>
      </c>
      <c r="R470" t="s">
        <v>26</v>
      </c>
    </row>
    <row r="471" spans="1:18" x14ac:dyDescent="0.25">
      <c r="A471" t="s">
        <v>499</v>
      </c>
      <c r="B471">
        <v>85.2</v>
      </c>
      <c r="C471">
        <v>97.6</v>
      </c>
      <c r="D471">
        <v>83.7</v>
      </c>
      <c r="E471">
        <v>93</v>
      </c>
      <c r="F471">
        <v>92.7</v>
      </c>
      <c r="G471">
        <v>92.85</v>
      </c>
      <c r="H471" t="s">
        <v>19</v>
      </c>
      <c r="I471">
        <v>5</v>
      </c>
      <c r="J471" t="s">
        <v>24</v>
      </c>
      <c r="K471">
        <v>86.8</v>
      </c>
      <c r="L471">
        <v>208</v>
      </c>
      <c r="M471">
        <v>107.1</v>
      </c>
      <c r="N471">
        <v>6.3</v>
      </c>
      <c r="O471">
        <v>4.8</v>
      </c>
      <c r="P471">
        <v>5</v>
      </c>
      <c r="Q471" t="s">
        <v>28</v>
      </c>
      <c r="R471" t="s">
        <v>33</v>
      </c>
    </row>
    <row r="472" spans="1:18" x14ac:dyDescent="0.25">
      <c r="A472" t="s">
        <v>500</v>
      </c>
      <c r="B472">
        <v>42.3</v>
      </c>
      <c r="C472">
        <v>40</v>
      </c>
      <c r="D472">
        <v>43.7</v>
      </c>
      <c r="E472">
        <v>40.700000000000003</v>
      </c>
      <c r="F472">
        <v>46.6</v>
      </c>
      <c r="G472">
        <v>43.65</v>
      </c>
      <c r="H472" t="s">
        <v>32</v>
      </c>
      <c r="I472">
        <v>2</v>
      </c>
      <c r="J472" t="s">
        <v>20</v>
      </c>
      <c r="K472">
        <v>64.599999999999994</v>
      </c>
      <c r="L472">
        <v>155</v>
      </c>
      <c r="M472">
        <v>79.099999999999994</v>
      </c>
      <c r="N472">
        <v>8</v>
      </c>
      <c r="O472">
        <v>1.2</v>
      </c>
      <c r="P472">
        <v>5</v>
      </c>
      <c r="Q472" t="s">
        <v>28</v>
      </c>
      <c r="R472" t="s">
        <v>26</v>
      </c>
    </row>
    <row r="473" spans="1:18" x14ac:dyDescent="0.25">
      <c r="A473" t="s">
        <v>501</v>
      </c>
      <c r="B473">
        <v>97.5</v>
      </c>
      <c r="C473">
        <v>100.9</v>
      </c>
      <c r="D473">
        <v>94.8</v>
      </c>
      <c r="E473">
        <v>93.3</v>
      </c>
      <c r="F473">
        <v>92.6</v>
      </c>
      <c r="G473">
        <v>92.95</v>
      </c>
      <c r="H473" t="s">
        <v>19</v>
      </c>
      <c r="I473">
        <v>4</v>
      </c>
      <c r="J473" t="s">
        <v>24</v>
      </c>
      <c r="K473">
        <v>78.2</v>
      </c>
      <c r="L473">
        <v>188</v>
      </c>
      <c r="M473">
        <v>89.6</v>
      </c>
      <c r="N473">
        <v>7.3</v>
      </c>
      <c r="O473">
        <v>1.6</v>
      </c>
      <c r="P473">
        <v>5</v>
      </c>
      <c r="Q473" t="s">
        <v>28</v>
      </c>
      <c r="R473" t="s">
        <v>22</v>
      </c>
    </row>
    <row r="474" spans="1:18" x14ac:dyDescent="0.25">
      <c r="A474" t="s">
        <v>502</v>
      </c>
      <c r="B474">
        <v>32.4</v>
      </c>
      <c r="C474">
        <v>35.1</v>
      </c>
      <c r="D474">
        <v>45.6</v>
      </c>
      <c r="E474">
        <v>42.4</v>
      </c>
      <c r="F474">
        <v>52.8</v>
      </c>
      <c r="G474">
        <v>47.6</v>
      </c>
      <c r="H474" t="s">
        <v>32</v>
      </c>
      <c r="I474">
        <v>3</v>
      </c>
      <c r="J474" t="s">
        <v>38</v>
      </c>
      <c r="K474">
        <v>65.3</v>
      </c>
      <c r="L474">
        <v>157</v>
      </c>
      <c r="M474">
        <v>90.4</v>
      </c>
      <c r="N474">
        <v>8.1999999999999993</v>
      </c>
      <c r="O474">
        <v>2</v>
      </c>
      <c r="P474">
        <v>2</v>
      </c>
      <c r="Q474" t="s">
        <v>25</v>
      </c>
      <c r="R474" t="s">
        <v>26</v>
      </c>
    </row>
    <row r="475" spans="1:18" x14ac:dyDescent="0.25">
      <c r="A475" t="s">
        <v>503</v>
      </c>
      <c r="B475">
        <v>90.9</v>
      </c>
      <c r="C475">
        <v>89</v>
      </c>
      <c r="D475">
        <v>94.3</v>
      </c>
      <c r="E475">
        <v>89</v>
      </c>
      <c r="F475">
        <v>75.2</v>
      </c>
      <c r="G475">
        <v>82.1</v>
      </c>
      <c r="H475" t="s">
        <v>19</v>
      </c>
      <c r="I475">
        <v>1</v>
      </c>
      <c r="J475" t="s">
        <v>20</v>
      </c>
      <c r="K475">
        <v>88.6</v>
      </c>
      <c r="L475">
        <v>213</v>
      </c>
      <c r="M475">
        <v>64.099999999999994</v>
      </c>
      <c r="N475">
        <v>7.8</v>
      </c>
      <c r="O475">
        <v>3</v>
      </c>
      <c r="P475">
        <v>2</v>
      </c>
      <c r="Q475" t="s">
        <v>25</v>
      </c>
      <c r="R475" t="s">
        <v>22</v>
      </c>
    </row>
    <row r="476" spans="1:18" x14ac:dyDescent="0.25">
      <c r="A476" t="s">
        <v>504</v>
      </c>
      <c r="B476">
        <v>75.2</v>
      </c>
      <c r="C476">
        <v>62.8</v>
      </c>
      <c r="D476">
        <v>70.900000000000006</v>
      </c>
      <c r="E476">
        <v>69</v>
      </c>
      <c r="F476">
        <v>82.1</v>
      </c>
      <c r="G476">
        <v>75.55</v>
      </c>
      <c r="H476" t="s">
        <v>19</v>
      </c>
      <c r="I476">
        <v>5</v>
      </c>
      <c r="J476" t="s">
        <v>24</v>
      </c>
      <c r="K476">
        <v>79.3</v>
      </c>
      <c r="L476">
        <v>190</v>
      </c>
      <c r="M476">
        <v>101.4</v>
      </c>
      <c r="N476">
        <v>6</v>
      </c>
      <c r="O476">
        <v>5.2</v>
      </c>
      <c r="P476">
        <v>3</v>
      </c>
      <c r="Q476" t="s">
        <v>28</v>
      </c>
      <c r="R476" t="s">
        <v>22</v>
      </c>
    </row>
    <row r="477" spans="1:18" x14ac:dyDescent="0.25">
      <c r="A477" t="s">
        <v>505</v>
      </c>
      <c r="B477">
        <v>88.6</v>
      </c>
      <c r="C477">
        <v>96.4</v>
      </c>
      <c r="D477">
        <v>95.4</v>
      </c>
      <c r="E477">
        <v>94.6</v>
      </c>
      <c r="F477">
        <v>92.2</v>
      </c>
      <c r="G477">
        <v>93.4</v>
      </c>
      <c r="H477" t="s">
        <v>19</v>
      </c>
      <c r="I477">
        <v>3</v>
      </c>
      <c r="J477" t="s">
        <v>38</v>
      </c>
      <c r="K477">
        <v>93.4</v>
      </c>
      <c r="L477">
        <v>224</v>
      </c>
      <c r="M477">
        <v>72</v>
      </c>
      <c r="N477">
        <v>7.2</v>
      </c>
      <c r="O477">
        <v>2.7</v>
      </c>
      <c r="P477">
        <v>2</v>
      </c>
      <c r="Q477" t="s">
        <v>25</v>
      </c>
      <c r="R477" t="s">
        <v>33</v>
      </c>
    </row>
    <row r="478" spans="1:18" x14ac:dyDescent="0.25">
      <c r="A478" t="s">
        <v>506</v>
      </c>
      <c r="B478">
        <v>52.4</v>
      </c>
      <c r="C478">
        <v>48.5</v>
      </c>
      <c r="D478">
        <v>39.700000000000003</v>
      </c>
      <c r="E478">
        <v>44.1</v>
      </c>
      <c r="F478">
        <v>55.3</v>
      </c>
      <c r="G478">
        <v>49.7</v>
      </c>
      <c r="H478" t="s">
        <v>32</v>
      </c>
      <c r="I478">
        <v>2</v>
      </c>
      <c r="J478" t="s">
        <v>20</v>
      </c>
      <c r="K478">
        <v>73</v>
      </c>
      <c r="L478">
        <v>175</v>
      </c>
      <c r="M478">
        <v>70.8</v>
      </c>
      <c r="N478">
        <v>6.4</v>
      </c>
      <c r="O478">
        <v>4.3</v>
      </c>
      <c r="P478">
        <v>4</v>
      </c>
      <c r="Q478" t="s">
        <v>28</v>
      </c>
      <c r="R478" t="s">
        <v>26</v>
      </c>
    </row>
    <row r="479" spans="1:18" x14ac:dyDescent="0.25">
      <c r="A479" t="s">
        <v>507</v>
      </c>
      <c r="B479">
        <v>72.599999999999994</v>
      </c>
      <c r="C479">
        <v>68.400000000000006</v>
      </c>
      <c r="D479">
        <v>66.900000000000006</v>
      </c>
      <c r="E479">
        <v>70.5</v>
      </c>
      <c r="F479">
        <v>67.8</v>
      </c>
      <c r="G479">
        <v>69.150000000000006</v>
      </c>
      <c r="H479" t="s">
        <v>19</v>
      </c>
      <c r="I479">
        <v>3</v>
      </c>
      <c r="J479" t="s">
        <v>20</v>
      </c>
      <c r="K479">
        <v>73.5</v>
      </c>
      <c r="L479">
        <v>176</v>
      </c>
      <c r="M479">
        <v>74.7</v>
      </c>
      <c r="N479">
        <v>6.5</v>
      </c>
      <c r="O479">
        <v>4.5</v>
      </c>
      <c r="P479">
        <v>6</v>
      </c>
      <c r="Q479" t="s">
        <v>28</v>
      </c>
      <c r="R479" t="s">
        <v>33</v>
      </c>
    </row>
    <row r="480" spans="1:18" x14ac:dyDescent="0.25">
      <c r="A480" t="s">
        <v>508</v>
      </c>
      <c r="B480">
        <v>89.8</v>
      </c>
      <c r="C480">
        <v>80.3</v>
      </c>
      <c r="D480">
        <v>99.2</v>
      </c>
      <c r="E480">
        <v>93.3</v>
      </c>
      <c r="F480">
        <v>91.5</v>
      </c>
      <c r="G480">
        <v>92.4</v>
      </c>
      <c r="H480" t="s">
        <v>19</v>
      </c>
      <c r="I480">
        <v>4</v>
      </c>
      <c r="J480" t="s">
        <v>24</v>
      </c>
      <c r="K480">
        <v>87.2</v>
      </c>
      <c r="L480">
        <v>209</v>
      </c>
      <c r="M480">
        <v>98.5</v>
      </c>
      <c r="N480">
        <v>7.8</v>
      </c>
      <c r="O480">
        <v>3.9</v>
      </c>
      <c r="P480">
        <v>6</v>
      </c>
      <c r="Q480" t="s">
        <v>28</v>
      </c>
      <c r="R480" t="s">
        <v>33</v>
      </c>
    </row>
    <row r="481" spans="1:18" x14ac:dyDescent="0.25">
      <c r="A481" t="s">
        <v>509</v>
      </c>
      <c r="B481">
        <v>68.5</v>
      </c>
      <c r="C481">
        <v>69.8</v>
      </c>
      <c r="D481">
        <v>76</v>
      </c>
      <c r="E481">
        <v>68.8</v>
      </c>
      <c r="F481">
        <v>76.3</v>
      </c>
      <c r="G481">
        <v>72.55</v>
      </c>
      <c r="H481" t="s">
        <v>19</v>
      </c>
      <c r="I481">
        <v>2</v>
      </c>
      <c r="J481" t="s">
        <v>20</v>
      </c>
      <c r="K481">
        <v>72.3</v>
      </c>
      <c r="L481">
        <v>174</v>
      </c>
      <c r="M481">
        <v>77.599999999999994</v>
      </c>
      <c r="N481">
        <v>7</v>
      </c>
      <c r="O481">
        <v>2.8</v>
      </c>
      <c r="P481">
        <v>1</v>
      </c>
      <c r="Q481" t="s">
        <v>25</v>
      </c>
      <c r="R481" t="s">
        <v>33</v>
      </c>
    </row>
    <row r="482" spans="1:18" x14ac:dyDescent="0.25">
      <c r="A482" t="s">
        <v>510</v>
      </c>
      <c r="B482">
        <v>77.400000000000006</v>
      </c>
      <c r="C482">
        <v>76.8</v>
      </c>
      <c r="D482">
        <v>73.400000000000006</v>
      </c>
      <c r="E482">
        <v>74.599999999999994</v>
      </c>
      <c r="F482">
        <v>74.2</v>
      </c>
      <c r="G482">
        <v>74.400000000000006</v>
      </c>
      <c r="H482" t="s">
        <v>19</v>
      </c>
      <c r="I482">
        <v>2</v>
      </c>
      <c r="J482" t="s">
        <v>20</v>
      </c>
      <c r="K482">
        <v>77.3</v>
      </c>
      <c r="L482">
        <v>186</v>
      </c>
      <c r="M482">
        <v>57.3</v>
      </c>
      <c r="N482">
        <v>7</v>
      </c>
      <c r="O482">
        <v>3.9</v>
      </c>
      <c r="P482">
        <v>3</v>
      </c>
      <c r="Q482" t="s">
        <v>25</v>
      </c>
      <c r="R482" t="s">
        <v>22</v>
      </c>
    </row>
    <row r="483" spans="1:18" x14ac:dyDescent="0.25">
      <c r="A483" t="s">
        <v>511</v>
      </c>
      <c r="B483">
        <v>78.599999999999994</v>
      </c>
      <c r="C483">
        <v>80.3</v>
      </c>
      <c r="D483">
        <v>78.5</v>
      </c>
      <c r="E483">
        <v>78.3</v>
      </c>
      <c r="F483">
        <v>75.900000000000006</v>
      </c>
      <c r="G483">
        <v>77.099999999999994</v>
      </c>
      <c r="H483" t="s">
        <v>19</v>
      </c>
      <c r="I483">
        <v>2</v>
      </c>
      <c r="J483" t="s">
        <v>20</v>
      </c>
      <c r="K483">
        <v>86.8</v>
      </c>
      <c r="L483">
        <v>208</v>
      </c>
      <c r="M483">
        <v>65.099999999999994</v>
      </c>
      <c r="N483">
        <v>7.5</v>
      </c>
      <c r="O483">
        <v>2.7</v>
      </c>
      <c r="P483">
        <v>5</v>
      </c>
      <c r="Q483" t="s">
        <v>28</v>
      </c>
      <c r="R483" t="s">
        <v>22</v>
      </c>
    </row>
    <row r="484" spans="1:18" x14ac:dyDescent="0.25">
      <c r="A484" t="s">
        <v>512</v>
      </c>
      <c r="B484">
        <v>67.7</v>
      </c>
      <c r="C484">
        <v>71.2</v>
      </c>
      <c r="D484">
        <v>60.5</v>
      </c>
      <c r="E484">
        <v>65</v>
      </c>
      <c r="F484">
        <v>65.3</v>
      </c>
      <c r="G484">
        <v>65.150000000000006</v>
      </c>
      <c r="H484" t="s">
        <v>19</v>
      </c>
      <c r="I484">
        <v>2</v>
      </c>
      <c r="J484" t="s">
        <v>20</v>
      </c>
      <c r="K484">
        <v>65.8</v>
      </c>
      <c r="L484">
        <v>158</v>
      </c>
      <c r="M484">
        <v>77.5</v>
      </c>
      <c r="N484">
        <v>7.1</v>
      </c>
      <c r="O484">
        <v>1.4</v>
      </c>
      <c r="P484">
        <v>3</v>
      </c>
      <c r="Q484" t="s">
        <v>28</v>
      </c>
      <c r="R484" t="s">
        <v>22</v>
      </c>
    </row>
    <row r="485" spans="1:18" x14ac:dyDescent="0.25">
      <c r="A485" t="s">
        <v>513</v>
      </c>
      <c r="B485">
        <v>69.900000000000006</v>
      </c>
      <c r="C485">
        <v>69.2</v>
      </c>
      <c r="D485">
        <v>80.400000000000006</v>
      </c>
      <c r="E485">
        <v>74.5</v>
      </c>
      <c r="F485">
        <v>86.3</v>
      </c>
      <c r="G485">
        <v>80.400000000000006</v>
      </c>
      <c r="H485" t="s">
        <v>19</v>
      </c>
      <c r="I485">
        <v>4</v>
      </c>
      <c r="J485" t="s">
        <v>24</v>
      </c>
      <c r="K485">
        <v>73</v>
      </c>
      <c r="L485">
        <v>175</v>
      </c>
      <c r="M485">
        <v>90.3</v>
      </c>
      <c r="N485">
        <v>5.8</v>
      </c>
      <c r="O485">
        <v>6</v>
      </c>
      <c r="P485">
        <v>1</v>
      </c>
      <c r="Q485" t="s">
        <v>25</v>
      </c>
      <c r="R485" t="s">
        <v>22</v>
      </c>
    </row>
    <row r="486" spans="1:18" x14ac:dyDescent="0.25">
      <c r="A486" t="s">
        <v>514</v>
      </c>
      <c r="B486">
        <v>73</v>
      </c>
      <c r="C486">
        <v>75.5</v>
      </c>
      <c r="D486">
        <v>75.5</v>
      </c>
      <c r="E486">
        <v>72.099999999999994</v>
      </c>
      <c r="F486">
        <v>77.599999999999994</v>
      </c>
      <c r="G486">
        <v>74.849999999999994</v>
      </c>
      <c r="H486" t="s">
        <v>19</v>
      </c>
      <c r="I486">
        <v>3</v>
      </c>
      <c r="J486" t="s">
        <v>20</v>
      </c>
      <c r="K486">
        <v>83</v>
      </c>
      <c r="L486">
        <v>199</v>
      </c>
      <c r="M486">
        <v>82.5</v>
      </c>
      <c r="N486">
        <v>6.9</v>
      </c>
      <c r="O486">
        <v>1.6</v>
      </c>
      <c r="P486">
        <v>3</v>
      </c>
      <c r="Q486" t="s">
        <v>28</v>
      </c>
      <c r="R486" t="s">
        <v>26</v>
      </c>
    </row>
    <row r="487" spans="1:18" x14ac:dyDescent="0.25">
      <c r="A487" t="s">
        <v>515</v>
      </c>
      <c r="B487">
        <v>82.5</v>
      </c>
      <c r="C487">
        <v>95.5</v>
      </c>
      <c r="D487">
        <v>99.3</v>
      </c>
      <c r="E487">
        <v>89.6</v>
      </c>
      <c r="F487">
        <v>89.2</v>
      </c>
      <c r="G487">
        <v>89.4</v>
      </c>
      <c r="H487" t="s">
        <v>19</v>
      </c>
      <c r="I487">
        <v>2</v>
      </c>
      <c r="J487" t="s">
        <v>20</v>
      </c>
      <c r="K487">
        <v>89.9</v>
      </c>
      <c r="L487">
        <v>216</v>
      </c>
      <c r="M487">
        <v>70.900000000000006</v>
      </c>
      <c r="N487">
        <v>7.1</v>
      </c>
      <c r="O487">
        <v>1.4</v>
      </c>
      <c r="P487">
        <v>1</v>
      </c>
      <c r="Q487" t="s">
        <v>25</v>
      </c>
      <c r="R487" t="s">
        <v>26</v>
      </c>
    </row>
    <row r="488" spans="1:18" x14ac:dyDescent="0.25">
      <c r="A488" t="s">
        <v>516</v>
      </c>
      <c r="B488">
        <v>41.9</v>
      </c>
      <c r="C488">
        <v>33.6</v>
      </c>
      <c r="D488">
        <v>38.1</v>
      </c>
      <c r="E488">
        <v>42.5</v>
      </c>
      <c r="F488">
        <v>52.9</v>
      </c>
      <c r="G488">
        <v>47.7</v>
      </c>
      <c r="H488" t="s">
        <v>32</v>
      </c>
      <c r="I488">
        <v>2</v>
      </c>
      <c r="J488" t="s">
        <v>20</v>
      </c>
      <c r="K488">
        <v>59.4</v>
      </c>
      <c r="L488">
        <v>143</v>
      </c>
      <c r="M488">
        <v>68.400000000000006</v>
      </c>
      <c r="N488">
        <v>5</v>
      </c>
      <c r="O488">
        <v>5.4</v>
      </c>
      <c r="P488">
        <v>3</v>
      </c>
      <c r="Q488" t="s">
        <v>28</v>
      </c>
      <c r="R488" t="s">
        <v>22</v>
      </c>
    </row>
    <row r="489" spans="1:18" x14ac:dyDescent="0.25">
      <c r="A489" t="s">
        <v>517</v>
      </c>
      <c r="B489">
        <v>50.9</v>
      </c>
      <c r="C489">
        <v>57.1</v>
      </c>
      <c r="D489">
        <v>53.6</v>
      </c>
      <c r="E489">
        <v>55.5</v>
      </c>
      <c r="F489">
        <v>60.5</v>
      </c>
      <c r="G489">
        <v>58</v>
      </c>
      <c r="H489" t="s">
        <v>19</v>
      </c>
      <c r="I489">
        <v>2</v>
      </c>
      <c r="J489" t="s">
        <v>20</v>
      </c>
      <c r="K489">
        <v>72</v>
      </c>
      <c r="L489">
        <v>173</v>
      </c>
      <c r="M489">
        <v>72</v>
      </c>
      <c r="N489">
        <v>7.5</v>
      </c>
      <c r="O489">
        <v>2.5</v>
      </c>
      <c r="P489">
        <v>4</v>
      </c>
      <c r="Q489" t="s">
        <v>28</v>
      </c>
      <c r="R489" t="s">
        <v>22</v>
      </c>
    </row>
    <row r="490" spans="1:18" x14ac:dyDescent="0.25">
      <c r="A490" t="s">
        <v>518</v>
      </c>
      <c r="B490">
        <v>88.6</v>
      </c>
      <c r="C490">
        <v>89.8</v>
      </c>
      <c r="D490">
        <v>93.4</v>
      </c>
      <c r="E490">
        <v>92.3</v>
      </c>
      <c r="F490">
        <v>98.4</v>
      </c>
      <c r="G490">
        <v>95.35</v>
      </c>
      <c r="H490" t="s">
        <v>19</v>
      </c>
      <c r="I490">
        <v>5</v>
      </c>
      <c r="J490" t="s">
        <v>24</v>
      </c>
      <c r="K490">
        <v>87.8</v>
      </c>
      <c r="L490">
        <v>211</v>
      </c>
      <c r="M490">
        <v>91.5</v>
      </c>
      <c r="N490">
        <v>7.8</v>
      </c>
      <c r="O490">
        <v>4.3</v>
      </c>
      <c r="P490">
        <v>1</v>
      </c>
      <c r="Q490" t="s">
        <v>25</v>
      </c>
      <c r="R490" t="s">
        <v>26</v>
      </c>
    </row>
    <row r="491" spans="1:18" x14ac:dyDescent="0.25">
      <c r="A491" t="s">
        <v>519</v>
      </c>
      <c r="B491">
        <v>95.1</v>
      </c>
      <c r="C491">
        <v>88.6</v>
      </c>
      <c r="D491">
        <v>92.2</v>
      </c>
      <c r="E491">
        <v>89</v>
      </c>
      <c r="F491">
        <v>94.4</v>
      </c>
      <c r="G491">
        <v>91.7</v>
      </c>
      <c r="H491" t="s">
        <v>19</v>
      </c>
      <c r="I491">
        <v>2</v>
      </c>
      <c r="J491" t="s">
        <v>20</v>
      </c>
      <c r="K491">
        <v>92</v>
      </c>
      <c r="L491">
        <v>221</v>
      </c>
      <c r="M491">
        <v>68.099999999999994</v>
      </c>
      <c r="N491">
        <v>7.3</v>
      </c>
      <c r="O491">
        <v>2.6</v>
      </c>
      <c r="P491">
        <v>1</v>
      </c>
      <c r="Q491" t="s">
        <v>25</v>
      </c>
      <c r="R491" t="s">
        <v>33</v>
      </c>
    </row>
    <row r="492" spans="1:18" x14ac:dyDescent="0.25">
      <c r="A492" t="s">
        <v>520</v>
      </c>
      <c r="B492">
        <v>70.5</v>
      </c>
      <c r="C492">
        <v>66.8</v>
      </c>
      <c r="D492">
        <v>64</v>
      </c>
      <c r="E492">
        <v>65.099999999999994</v>
      </c>
      <c r="F492">
        <v>69.099999999999994</v>
      </c>
      <c r="G492">
        <v>67.099999999999994</v>
      </c>
      <c r="H492" t="s">
        <v>19</v>
      </c>
      <c r="I492">
        <v>5</v>
      </c>
      <c r="J492" t="s">
        <v>24</v>
      </c>
      <c r="K492">
        <v>72.900000000000006</v>
      </c>
      <c r="L492">
        <v>175</v>
      </c>
      <c r="M492">
        <v>103.1</v>
      </c>
      <c r="N492">
        <v>6.4</v>
      </c>
      <c r="O492">
        <v>3</v>
      </c>
      <c r="P492">
        <v>5</v>
      </c>
      <c r="Q492" t="s">
        <v>28</v>
      </c>
      <c r="R492" t="s">
        <v>33</v>
      </c>
    </row>
    <row r="493" spans="1:18" x14ac:dyDescent="0.25">
      <c r="A493" t="s">
        <v>521</v>
      </c>
      <c r="B493">
        <v>77.2</v>
      </c>
      <c r="C493">
        <v>71.7</v>
      </c>
      <c r="D493">
        <v>69.7</v>
      </c>
      <c r="E493">
        <v>74.099999999999994</v>
      </c>
      <c r="F493">
        <v>81.400000000000006</v>
      </c>
      <c r="G493">
        <v>77.75</v>
      </c>
      <c r="H493" t="s">
        <v>19</v>
      </c>
      <c r="I493">
        <v>3</v>
      </c>
      <c r="J493" t="s">
        <v>20</v>
      </c>
      <c r="K493">
        <v>82.2</v>
      </c>
      <c r="L493">
        <v>197</v>
      </c>
      <c r="M493">
        <v>79.5</v>
      </c>
      <c r="N493">
        <v>7</v>
      </c>
      <c r="O493">
        <v>2.2999999999999998</v>
      </c>
      <c r="P493">
        <v>1</v>
      </c>
      <c r="Q493" t="s">
        <v>25</v>
      </c>
      <c r="R493" t="s">
        <v>22</v>
      </c>
    </row>
    <row r="494" spans="1:18" x14ac:dyDescent="0.25">
      <c r="A494" t="s">
        <v>522</v>
      </c>
      <c r="B494">
        <v>49.8</v>
      </c>
      <c r="C494">
        <v>51.9</v>
      </c>
      <c r="D494">
        <v>59.7</v>
      </c>
      <c r="E494">
        <v>55.3</v>
      </c>
      <c r="F494">
        <v>56.4</v>
      </c>
      <c r="G494">
        <v>55.85</v>
      </c>
      <c r="H494" t="s">
        <v>19</v>
      </c>
      <c r="I494">
        <v>2</v>
      </c>
      <c r="J494" t="s">
        <v>20</v>
      </c>
      <c r="K494">
        <v>80.8</v>
      </c>
      <c r="L494">
        <v>194</v>
      </c>
      <c r="M494">
        <v>66.5</v>
      </c>
      <c r="N494">
        <v>7</v>
      </c>
      <c r="O494">
        <v>2.7</v>
      </c>
      <c r="P494">
        <v>2</v>
      </c>
      <c r="Q494" t="s">
        <v>25</v>
      </c>
      <c r="R494" t="s">
        <v>33</v>
      </c>
    </row>
    <row r="495" spans="1:18" x14ac:dyDescent="0.25">
      <c r="A495" t="s">
        <v>523</v>
      </c>
      <c r="B495">
        <v>48.8</v>
      </c>
      <c r="C495">
        <v>50.5</v>
      </c>
      <c r="D495">
        <v>54</v>
      </c>
      <c r="E495">
        <v>50.3</v>
      </c>
      <c r="F495">
        <v>65.5</v>
      </c>
      <c r="G495">
        <v>57.9</v>
      </c>
      <c r="H495" t="s">
        <v>19</v>
      </c>
      <c r="I495">
        <v>5</v>
      </c>
      <c r="J495" t="s">
        <v>24</v>
      </c>
      <c r="K495">
        <v>68.2</v>
      </c>
      <c r="L495">
        <v>164</v>
      </c>
      <c r="M495">
        <v>93.5</v>
      </c>
      <c r="N495">
        <v>6.6</v>
      </c>
      <c r="O495">
        <v>3.1</v>
      </c>
      <c r="P495">
        <v>3</v>
      </c>
      <c r="Q495" t="s">
        <v>28</v>
      </c>
      <c r="R495" t="s">
        <v>22</v>
      </c>
    </row>
    <row r="496" spans="1:18" x14ac:dyDescent="0.25">
      <c r="A496" t="s">
        <v>524</v>
      </c>
      <c r="B496">
        <v>71.599999999999994</v>
      </c>
      <c r="C496">
        <v>60.1</v>
      </c>
      <c r="D496">
        <v>60.9</v>
      </c>
      <c r="E496">
        <v>65.5</v>
      </c>
      <c r="F496">
        <v>67</v>
      </c>
      <c r="G496">
        <v>66.25</v>
      </c>
      <c r="H496" t="s">
        <v>19</v>
      </c>
      <c r="I496">
        <v>3</v>
      </c>
      <c r="J496" t="s">
        <v>20</v>
      </c>
      <c r="K496">
        <v>73</v>
      </c>
      <c r="L496">
        <v>175</v>
      </c>
      <c r="M496">
        <v>76.900000000000006</v>
      </c>
      <c r="N496">
        <v>7</v>
      </c>
      <c r="O496">
        <v>4.5999999999999996</v>
      </c>
      <c r="P496">
        <v>3</v>
      </c>
      <c r="Q496" t="s">
        <v>28</v>
      </c>
      <c r="R496" t="s">
        <v>22</v>
      </c>
    </row>
    <row r="497" spans="1:18" x14ac:dyDescent="0.25">
      <c r="A497" t="s">
        <v>525</v>
      </c>
      <c r="B497">
        <v>60.1</v>
      </c>
      <c r="C497">
        <v>54</v>
      </c>
      <c r="D497">
        <v>66.2</v>
      </c>
      <c r="E497">
        <v>59.4</v>
      </c>
      <c r="F497">
        <v>66.3</v>
      </c>
      <c r="G497">
        <v>62.85</v>
      </c>
      <c r="H497" t="s">
        <v>19</v>
      </c>
      <c r="I497">
        <v>4</v>
      </c>
      <c r="J497" t="s">
        <v>38</v>
      </c>
      <c r="K497">
        <v>73.3</v>
      </c>
      <c r="L497">
        <v>176</v>
      </c>
      <c r="M497">
        <v>93.6</v>
      </c>
      <c r="N497">
        <v>7.3</v>
      </c>
      <c r="O497">
        <v>3.6</v>
      </c>
      <c r="P497">
        <v>5</v>
      </c>
      <c r="Q497" t="s">
        <v>28</v>
      </c>
      <c r="R497" t="s">
        <v>22</v>
      </c>
    </row>
    <row r="498" spans="1:18" x14ac:dyDescent="0.25">
      <c r="A498" t="s">
        <v>526</v>
      </c>
      <c r="B498">
        <v>83.7</v>
      </c>
      <c r="C498">
        <v>75.5</v>
      </c>
      <c r="D498">
        <v>78</v>
      </c>
      <c r="E498">
        <v>72.099999999999994</v>
      </c>
      <c r="F498">
        <v>81.599999999999994</v>
      </c>
      <c r="G498">
        <v>76.849999999999994</v>
      </c>
      <c r="H498" t="s">
        <v>19</v>
      </c>
      <c r="I498">
        <v>5</v>
      </c>
      <c r="J498" t="s">
        <v>24</v>
      </c>
      <c r="K498">
        <v>74.2</v>
      </c>
      <c r="L498">
        <v>178</v>
      </c>
      <c r="M498">
        <v>97.7</v>
      </c>
      <c r="N498">
        <v>5.7</v>
      </c>
      <c r="O498">
        <v>5.7</v>
      </c>
      <c r="P498">
        <v>6</v>
      </c>
      <c r="Q498" t="s">
        <v>28</v>
      </c>
      <c r="R498" t="s">
        <v>26</v>
      </c>
    </row>
    <row r="499" spans="1:18" x14ac:dyDescent="0.25">
      <c r="A499" t="s">
        <v>527</v>
      </c>
      <c r="B499">
        <v>46.2</v>
      </c>
      <c r="C499">
        <v>38.5</v>
      </c>
      <c r="D499">
        <v>44.9</v>
      </c>
      <c r="E499">
        <v>44.3</v>
      </c>
      <c r="F499">
        <v>50.8</v>
      </c>
      <c r="G499">
        <v>47.55</v>
      </c>
      <c r="H499" t="s">
        <v>32</v>
      </c>
      <c r="I499">
        <v>1</v>
      </c>
      <c r="J499" t="s">
        <v>20</v>
      </c>
      <c r="K499">
        <v>74.099999999999994</v>
      </c>
      <c r="L499">
        <v>178</v>
      </c>
      <c r="M499">
        <v>55.3</v>
      </c>
      <c r="N499">
        <v>8</v>
      </c>
      <c r="O499">
        <v>1.2</v>
      </c>
      <c r="P499">
        <v>1</v>
      </c>
      <c r="Q499" t="s">
        <v>25</v>
      </c>
      <c r="R499" t="s">
        <v>33</v>
      </c>
    </row>
    <row r="500" spans="1:18" x14ac:dyDescent="0.25">
      <c r="A500" t="s">
        <v>528</v>
      </c>
      <c r="B500">
        <v>94.6</v>
      </c>
      <c r="C500">
        <v>96.9</v>
      </c>
      <c r="D500">
        <v>94</v>
      </c>
      <c r="E500">
        <v>93.6</v>
      </c>
      <c r="F500">
        <v>79.7</v>
      </c>
      <c r="G500">
        <v>86.65</v>
      </c>
      <c r="H500" t="s">
        <v>19</v>
      </c>
      <c r="I500">
        <v>1</v>
      </c>
      <c r="J500" t="s">
        <v>20</v>
      </c>
      <c r="K500">
        <v>87.7</v>
      </c>
      <c r="L500">
        <v>210</v>
      </c>
      <c r="M500">
        <v>67.599999999999994</v>
      </c>
      <c r="N500">
        <v>7.7</v>
      </c>
      <c r="O500">
        <v>3.5</v>
      </c>
      <c r="P500">
        <v>5</v>
      </c>
      <c r="Q500" t="s">
        <v>28</v>
      </c>
      <c r="R500" t="s">
        <v>26</v>
      </c>
    </row>
    <row r="501" spans="1:18" x14ac:dyDescent="0.25">
      <c r="A501" t="s">
        <v>529</v>
      </c>
      <c r="B501">
        <v>92.7</v>
      </c>
      <c r="C501">
        <v>96.6</v>
      </c>
      <c r="D501">
        <v>97</v>
      </c>
      <c r="E501">
        <v>94.2</v>
      </c>
      <c r="F501">
        <v>97.8</v>
      </c>
      <c r="G501">
        <v>96</v>
      </c>
      <c r="H501" t="s">
        <v>19</v>
      </c>
      <c r="I501">
        <v>4</v>
      </c>
      <c r="J501" t="s">
        <v>38</v>
      </c>
      <c r="K501">
        <v>85.8</v>
      </c>
      <c r="L501">
        <v>206</v>
      </c>
      <c r="M501">
        <v>87.8</v>
      </c>
      <c r="N501">
        <v>7.8</v>
      </c>
      <c r="O501">
        <v>3.9</v>
      </c>
      <c r="P501">
        <v>2</v>
      </c>
      <c r="Q501" t="s">
        <v>25</v>
      </c>
      <c r="R501" t="s">
        <v>33</v>
      </c>
    </row>
    <row r="502" spans="1:18" x14ac:dyDescent="0.25">
      <c r="A502" t="s">
        <v>530</v>
      </c>
      <c r="B502">
        <v>79.099999999999994</v>
      </c>
      <c r="C502">
        <v>69.8</v>
      </c>
      <c r="D502">
        <v>74.099999999999994</v>
      </c>
      <c r="E502">
        <v>78.400000000000006</v>
      </c>
      <c r="F502">
        <v>74.400000000000006</v>
      </c>
      <c r="G502">
        <v>76.400000000000006</v>
      </c>
      <c r="H502" t="s">
        <v>19</v>
      </c>
      <c r="I502">
        <v>2</v>
      </c>
      <c r="J502" t="s">
        <v>20</v>
      </c>
      <c r="K502">
        <v>75</v>
      </c>
      <c r="L502">
        <v>180</v>
      </c>
      <c r="M502">
        <v>71.400000000000006</v>
      </c>
      <c r="N502">
        <v>7.8</v>
      </c>
      <c r="O502">
        <v>5.6</v>
      </c>
      <c r="P502">
        <v>1</v>
      </c>
      <c r="Q502" t="s">
        <v>25</v>
      </c>
      <c r="R502" t="s">
        <v>26</v>
      </c>
    </row>
    <row r="503" spans="1:18" x14ac:dyDescent="0.25">
      <c r="A503" t="s">
        <v>531</v>
      </c>
      <c r="B503">
        <v>68.7</v>
      </c>
      <c r="C503">
        <v>66.099999999999994</v>
      </c>
      <c r="D503">
        <v>69.599999999999994</v>
      </c>
      <c r="E503">
        <v>69.5</v>
      </c>
      <c r="F503">
        <v>65.3</v>
      </c>
      <c r="G503">
        <v>67.400000000000006</v>
      </c>
      <c r="H503" t="s">
        <v>19</v>
      </c>
      <c r="I503">
        <v>2</v>
      </c>
      <c r="J503" t="s">
        <v>20</v>
      </c>
      <c r="K503">
        <v>80.2</v>
      </c>
      <c r="L503">
        <v>192</v>
      </c>
      <c r="M503">
        <v>75.400000000000006</v>
      </c>
      <c r="N503">
        <v>7.2</v>
      </c>
      <c r="O503">
        <v>1.2</v>
      </c>
      <c r="P503">
        <v>5</v>
      </c>
      <c r="Q503" t="s">
        <v>28</v>
      </c>
      <c r="R503" t="s">
        <v>26</v>
      </c>
    </row>
    <row r="504" spans="1:18" x14ac:dyDescent="0.25">
      <c r="A504" t="s">
        <v>532</v>
      </c>
      <c r="B504">
        <v>60.6</v>
      </c>
      <c r="C504">
        <v>63</v>
      </c>
      <c r="D504">
        <v>46.3</v>
      </c>
      <c r="E504">
        <v>57</v>
      </c>
      <c r="F504">
        <v>57.7</v>
      </c>
      <c r="G504">
        <v>57.35</v>
      </c>
      <c r="H504" t="s">
        <v>19</v>
      </c>
      <c r="I504">
        <v>1</v>
      </c>
      <c r="J504" t="s">
        <v>20</v>
      </c>
      <c r="K504">
        <v>72.8</v>
      </c>
      <c r="L504">
        <v>175</v>
      </c>
      <c r="M504">
        <v>61.5</v>
      </c>
      <c r="N504">
        <v>8.3000000000000007</v>
      </c>
      <c r="O504">
        <v>3.9</v>
      </c>
      <c r="P504">
        <v>3</v>
      </c>
      <c r="Q504" t="s">
        <v>25</v>
      </c>
      <c r="R504" t="s">
        <v>22</v>
      </c>
    </row>
    <row r="505" spans="1:18" x14ac:dyDescent="0.25">
      <c r="A505" t="s">
        <v>533</v>
      </c>
      <c r="B505">
        <v>89.5</v>
      </c>
      <c r="C505">
        <v>79.900000000000006</v>
      </c>
      <c r="D505">
        <v>89.1</v>
      </c>
      <c r="E505">
        <v>84.8</v>
      </c>
      <c r="F505">
        <v>79.400000000000006</v>
      </c>
      <c r="G505">
        <v>82.1</v>
      </c>
      <c r="H505" t="s">
        <v>19</v>
      </c>
      <c r="I505">
        <v>1</v>
      </c>
      <c r="J505" t="s">
        <v>20</v>
      </c>
      <c r="K505">
        <v>79.900000000000006</v>
      </c>
      <c r="L505">
        <v>192</v>
      </c>
      <c r="M505">
        <v>62.3</v>
      </c>
      <c r="N505">
        <v>6.2</v>
      </c>
      <c r="O505">
        <v>5.3</v>
      </c>
      <c r="P505">
        <v>4</v>
      </c>
      <c r="Q505" t="s">
        <v>28</v>
      </c>
      <c r="R505" t="s">
        <v>22</v>
      </c>
    </row>
    <row r="506" spans="1:18" x14ac:dyDescent="0.25">
      <c r="A506" t="s">
        <v>534</v>
      </c>
      <c r="B506">
        <v>73.7</v>
      </c>
      <c r="C506">
        <v>75.3</v>
      </c>
      <c r="D506">
        <v>69.900000000000006</v>
      </c>
      <c r="E506">
        <v>77.7</v>
      </c>
      <c r="F506">
        <v>89</v>
      </c>
      <c r="G506">
        <v>83.35</v>
      </c>
      <c r="H506" t="s">
        <v>19</v>
      </c>
      <c r="I506">
        <v>4</v>
      </c>
      <c r="J506" t="s">
        <v>24</v>
      </c>
      <c r="K506">
        <v>81.7</v>
      </c>
      <c r="L506">
        <v>196</v>
      </c>
      <c r="M506">
        <v>85.1</v>
      </c>
      <c r="N506">
        <v>7</v>
      </c>
      <c r="O506">
        <v>2.2000000000000002</v>
      </c>
      <c r="P506">
        <v>1</v>
      </c>
      <c r="Q506" t="s">
        <v>25</v>
      </c>
      <c r="R506" t="s">
        <v>26</v>
      </c>
    </row>
    <row r="507" spans="1:18" x14ac:dyDescent="0.25">
      <c r="A507" t="s">
        <v>535</v>
      </c>
      <c r="B507">
        <v>42.3</v>
      </c>
      <c r="C507">
        <v>51.3</v>
      </c>
      <c r="D507">
        <v>56.5</v>
      </c>
      <c r="E507">
        <v>48.9</v>
      </c>
      <c r="F507">
        <v>43.8</v>
      </c>
      <c r="G507">
        <v>46.35</v>
      </c>
      <c r="H507" t="s">
        <v>32</v>
      </c>
      <c r="I507">
        <v>2</v>
      </c>
      <c r="J507" t="s">
        <v>20</v>
      </c>
      <c r="K507">
        <v>56.9</v>
      </c>
      <c r="L507">
        <v>137</v>
      </c>
      <c r="M507">
        <v>64.3</v>
      </c>
      <c r="N507">
        <v>6.5</v>
      </c>
      <c r="O507">
        <v>5.4</v>
      </c>
      <c r="P507">
        <v>3</v>
      </c>
      <c r="Q507" t="s">
        <v>28</v>
      </c>
      <c r="R507" t="s">
        <v>33</v>
      </c>
    </row>
    <row r="508" spans="1:18" x14ac:dyDescent="0.25">
      <c r="A508" t="s">
        <v>536</v>
      </c>
      <c r="B508">
        <v>80.900000000000006</v>
      </c>
      <c r="C508">
        <v>94</v>
      </c>
      <c r="D508">
        <v>88.5</v>
      </c>
      <c r="E508">
        <v>90.1</v>
      </c>
      <c r="F508">
        <v>81.599999999999994</v>
      </c>
      <c r="G508">
        <v>85.85</v>
      </c>
      <c r="H508" t="s">
        <v>19</v>
      </c>
      <c r="I508">
        <v>3</v>
      </c>
      <c r="J508" t="s">
        <v>20</v>
      </c>
      <c r="K508">
        <v>86</v>
      </c>
      <c r="L508">
        <v>206</v>
      </c>
      <c r="M508">
        <v>81.8</v>
      </c>
      <c r="N508">
        <v>7.4</v>
      </c>
      <c r="O508">
        <v>1.1000000000000001</v>
      </c>
      <c r="P508">
        <v>3</v>
      </c>
      <c r="Q508" t="s">
        <v>25</v>
      </c>
      <c r="R508" t="s">
        <v>33</v>
      </c>
    </row>
    <row r="509" spans="1:18" x14ac:dyDescent="0.25">
      <c r="A509" t="s">
        <v>537</v>
      </c>
      <c r="B509">
        <v>87.8</v>
      </c>
      <c r="C509">
        <v>84</v>
      </c>
      <c r="D509">
        <v>84.2</v>
      </c>
      <c r="E509">
        <v>85.2</v>
      </c>
      <c r="F509">
        <v>80.099999999999994</v>
      </c>
      <c r="G509">
        <v>82.65</v>
      </c>
      <c r="H509" t="s">
        <v>19</v>
      </c>
      <c r="I509">
        <v>3</v>
      </c>
      <c r="J509" t="s">
        <v>38</v>
      </c>
      <c r="K509">
        <v>84.9</v>
      </c>
      <c r="L509">
        <v>204</v>
      </c>
      <c r="M509">
        <v>76.5</v>
      </c>
      <c r="N509">
        <v>6.8</v>
      </c>
      <c r="O509">
        <v>4.7</v>
      </c>
      <c r="P509">
        <v>2</v>
      </c>
      <c r="Q509" t="s">
        <v>25</v>
      </c>
      <c r="R509" t="s">
        <v>22</v>
      </c>
    </row>
    <row r="510" spans="1:18" x14ac:dyDescent="0.25">
      <c r="A510" t="s">
        <v>538</v>
      </c>
      <c r="B510">
        <v>86.7</v>
      </c>
      <c r="C510">
        <v>89.3</v>
      </c>
      <c r="D510">
        <v>89.1</v>
      </c>
      <c r="E510">
        <v>92.2</v>
      </c>
      <c r="F510">
        <v>90.2</v>
      </c>
      <c r="G510">
        <v>91.2</v>
      </c>
      <c r="H510" t="s">
        <v>19</v>
      </c>
      <c r="I510">
        <v>3</v>
      </c>
      <c r="J510" t="s">
        <v>20</v>
      </c>
      <c r="K510">
        <v>94.7</v>
      </c>
      <c r="L510">
        <v>227</v>
      </c>
      <c r="M510">
        <v>78.099999999999994</v>
      </c>
      <c r="N510">
        <v>5.6</v>
      </c>
      <c r="O510">
        <v>5.7</v>
      </c>
      <c r="P510">
        <v>2</v>
      </c>
      <c r="Q510" t="s">
        <v>25</v>
      </c>
      <c r="R510" t="s">
        <v>22</v>
      </c>
    </row>
    <row r="511" spans="1:18" x14ac:dyDescent="0.25">
      <c r="A511" t="s">
        <v>539</v>
      </c>
      <c r="B511">
        <v>69.2</v>
      </c>
      <c r="C511">
        <v>87</v>
      </c>
      <c r="D511">
        <v>78.5</v>
      </c>
      <c r="E511">
        <v>79.900000000000006</v>
      </c>
      <c r="F511">
        <v>76.2</v>
      </c>
      <c r="G511">
        <v>78.05</v>
      </c>
      <c r="H511" t="s">
        <v>19</v>
      </c>
      <c r="I511">
        <v>1</v>
      </c>
      <c r="J511" t="s">
        <v>20</v>
      </c>
      <c r="K511">
        <v>76.099999999999994</v>
      </c>
      <c r="L511">
        <v>183</v>
      </c>
      <c r="M511">
        <v>61.6</v>
      </c>
      <c r="N511">
        <v>6.6</v>
      </c>
      <c r="O511">
        <v>4.3</v>
      </c>
      <c r="P511">
        <v>1</v>
      </c>
      <c r="Q511" t="s">
        <v>25</v>
      </c>
      <c r="R511" t="s">
        <v>33</v>
      </c>
    </row>
    <row r="512" spans="1:18" x14ac:dyDescent="0.25">
      <c r="A512" t="s">
        <v>540</v>
      </c>
      <c r="B512">
        <v>75.7</v>
      </c>
      <c r="C512">
        <v>82.4</v>
      </c>
      <c r="D512">
        <v>80.8</v>
      </c>
      <c r="E512">
        <v>73.7</v>
      </c>
      <c r="F512">
        <v>68.599999999999994</v>
      </c>
      <c r="G512">
        <v>71.150000000000006</v>
      </c>
      <c r="H512" t="s">
        <v>19</v>
      </c>
      <c r="I512">
        <v>4</v>
      </c>
      <c r="J512" t="s">
        <v>24</v>
      </c>
      <c r="K512">
        <v>70.5</v>
      </c>
      <c r="L512">
        <v>169</v>
      </c>
      <c r="M512">
        <v>91.5</v>
      </c>
      <c r="N512">
        <v>7.7</v>
      </c>
      <c r="O512">
        <v>3.2</v>
      </c>
      <c r="P512">
        <v>4</v>
      </c>
      <c r="Q512" t="s">
        <v>28</v>
      </c>
      <c r="R512" t="s">
        <v>33</v>
      </c>
    </row>
    <row r="513" spans="1:18" x14ac:dyDescent="0.25">
      <c r="A513" t="s">
        <v>541</v>
      </c>
      <c r="B513">
        <v>75.5</v>
      </c>
      <c r="C513">
        <v>67.900000000000006</v>
      </c>
      <c r="D513">
        <v>50.6</v>
      </c>
      <c r="E513">
        <v>63</v>
      </c>
      <c r="F513">
        <v>79.599999999999994</v>
      </c>
      <c r="G513">
        <v>71.3</v>
      </c>
      <c r="H513" t="s">
        <v>19</v>
      </c>
      <c r="I513">
        <v>1</v>
      </c>
      <c r="J513" t="s">
        <v>140</v>
      </c>
      <c r="K513">
        <v>67</v>
      </c>
      <c r="L513">
        <v>161</v>
      </c>
      <c r="M513">
        <v>65.599999999999994</v>
      </c>
      <c r="N513">
        <v>7.6</v>
      </c>
      <c r="O513">
        <v>1.2</v>
      </c>
      <c r="P513">
        <v>1</v>
      </c>
      <c r="Q513" t="s">
        <v>25</v>
      </c>
      <c r="R513" t="s">
        <v>33</v>
      </c>
    </row>
    <row r="514" spans="1:18" x14ac:dyDescent="0.25">
      <c r="A514" t="s">
        <v>542</v>
      </c>
      <c r="B514">
        <v>91.3</v>
      </c>
      <c r="C514">
        <v>91.7</v>
      </c>
      <c r="D514">
        <v>97.7</v>
      </c>
      <c r="E514">
        <v>91.3</v>
      </c>
      <c r="F514">
        <v>79.900000000000006</v>
      </c>
      <c r="G514">
        <v>85.6</v>
      </c>
      <c r="H514" t="s">
        <v>19</v>
      </c>
      <c r="I514">
        <v>4</v>
      </c>
      <c r="J514" t="s">
        <v>38</v>
      </c>
      <c r="K514">
        <v>79</v>
      </c>
      <c r="L514">
        <v>190</v>
      </c>
      <c r="M514">
        <v>92.1</v>
      </c>
      <c r="N514">
        <v>6.4</v>
      </c>
      <c r="O514">
        <v>5.6</v>
      </c>
      <c r="P514">
        <v>4</v>
      </c>
      <c r="Q514" t="s">
        <v>28</v>
      </c>
      <c r="R514" t="s">
        <v>22</v>
      </c>
    </row>
    <row r="515" spans="1:18" x14ac:dyDescent="0.25">
      <c r="A515" t="s">
        <v>543</v>
      </c>
      <c r="B515">
        <v>91.8</v>
      </c>
      <c r="C515">
        <v>83.6</v>
      </c>
      <c r="D515">
        <v>89.3</v>
      </c>
      <c r="E515">
        <v>87.6</v>
      </c>
      <c r="F515">
        <v>100</v>
      </c>
      <c r="G515">
        <v>93.8</v>
      </c>
      <c r="H515" t="s">
        <v>19</v>
      </c>
      <c r="I515">
        <v>5</v>
      </c>
      <c r="J515" t="s">
        <v>24</v>
      </c>
      <c r="K515">
        <v>90.5</v>
      </c>
      <c r="L515">
        <v>217</v>
      </c>
      <c r="M515">
        <v>103.1</v>
      </c>
      <c r="N515">
        <v>7.2</v>
      </c>
      <c r="O515">
        <v>3.4</v>
      </c>
      <c r="P515">
        <v>1</v>
      </c>
      <c r="Q515" t="s">
        <v>25</v>
      </c>
      <c r="R515" t="s">
        <v>33</v>
      </c>
    </row>
    <row r="516" spans="1:18" x14ac:dyDescent="0.25">
      <c r="A516" t="s">
        <v>544</v>
      </c>
      <c r="B516">
        <v>42.9</v>
      </c>
      <c r="C516">
        <v>38.299999999999997</v>
      </c>
      <c r="D516">
        <v>36.5</v>
      </c>
      <c r="E516">
        <v>42.5</v>
      </c>
      <c r="F516">
        <v>56.4</v>
      </c>
      <c r="G516">
        <v>49.45</v>
      </c>
      <c r="H516" t="s">
        <v>32</v>
      </c>
      <c r="I516">
        <v>3</v>
      </c>
      <c r="J516" t="s">
        <v>20</v>
      </c>
      <c r="K516">
        <v>69</v>
      </c>
      <c r="L516">
        <v>166</v>
      </c>
      <c r="M516">
        <v>72.3</v>
      </c>
      <c r="N516">
        <v>8.1999999999999993</v>
      </c>
      <c r="O516">
        <v>1.1000000000000001</v>
      </c>
      <c r="P516">
        <v>3</v>
      </c>
      <c r="Q516" t="s">
        <v>28</v>
      </c>
      <c r="R516" t="s">
        <v>22</v>
      </c>
    </row>
    <row r="517" spans="1:18" x14ac:dyDescent="0.25">
      <c r="A517" t="s">
        <v>545</v>
      </c>
      <c r="B517">
        <v>41</v>
      </c>
      <c r="C517">
        <v>44.1</v>
      </c>
      <c r="D517">
        <v>36.1</v>
      </c>
      <c r="E517">
        <v>41.5</v>
      </c>
      <c r="F517">
        <v>47.2</v>
      </c>
      <c r="G517">
        <v>44.35</v>
      </c>
      <c r="H517" t="s">
        <v>32</v>
      </c>
      <c r="I517">
        <v>3</v>
      </c>
      <c r="J517" t="s">
        <v>38</v>
      </c>
      <c r="K517">
        <v>62.3</v>
      </c>
      <c r="L517">
        <v>150</v>
      </c>
      <c r="M517">
        <v>82.1</v>
      </c>
      <c r="N517">
        <v>5.8</v>
      </c>
      <c r="O517">
        <v>4.4000000000000004</v>
      </c>
      <c r="P517">
        <v>4</v>
      </c>
      <c r="Q517" t="s">
        <v>28</v>
      </c>
      <c r="R517" t="s">
        <v>26</v>
      </c>
    </row>
    <row r="518" spans="1:18" x14ac:dyDescent="0.25">
      <c r="A518" t="s">
        <v>546</v>
      </c>
      <c r="B518">
        <v>65.3</v>
      </c>
      <c r="C518">
        <v>62.8</v>
      </c>
      <c r="D518">
        <v>69.099999999999994</v>
      </c>
      <c r="E518">
        <v>60.7</v>
      </c>
      <c r="F518">
        <v>73.2</v>
      </c>
      <c r="G518">
        <v>66.95</v>
      </c>
      <c r="H518" t="s">
        <v>19</v>
      </c>
      <c r="I518">
        <v>3</v>
      </c>
      <c r="J518" t="s">
        <v>20</v>
      </c>
      <c r="K518">
        <v>76.5</v>
      </c>
      <c r="L518">
        <v>184</v>
      </c>
      <c r="M518">
        <v>79.5</v>
      </c>
      <c r="N518">
        <v>7.3</v>
      </c>
      <c r="O518">
        <v>3.4</v>
      </c>
      <c r="P518">
        <v>3</v>
      </c>
      <c r="Q518" t="s">
        <v>25</v>
      </c>
      <c r="R518" t="s">
        <v>26</v>
      </c>
    </row>
    <row r="519" spans="1:18" x14ac:dyDescent="0.25">
      <c r="A519" t="s">
        <v>547</v>
      </c>
      <c r="B519">
        <v>83.1</v>
      </c>
      <c r="C519">
        <v>91.6</v>
      </c>
      <c r="D519">
        <v>79.900000000000006</v>
      </c>
      <c r="E519">
        <v>84.6</v>
      </c>
      <c r="F519">
        <v>75.400000000000006</v>
      </c>
      <c r="G519">
        <v>80</v>
      </c>
      <c r="H519" t="s">
        <v>19</v>
      </c>
      <c r="I519">
        <v>3</v>
      </c>
      <c r="J519" t="s">
        <v>20</v>
      </c>
      <c r="K519">
        <v>83</v>
      </c>
      <c r="L519">
        <v>199</v>
      </c>
      <c r="M519">
        <v>70.2</v>
      </c>
      <c r="N519">
        <v>7.4</v>
      </c>
      <c r="O519">
        <v>1.6</v>
      </c>
      <c r="P519">
        <v>5</v>
      </c>
      <c r="Q519" t="s">
        <v>28</v>
      </c>
      <c r="R519" t="s">
        <v>26</v>
      </c>
    </row>
    <row r="520" spans="1:18" x14ac:dyDescent="0.25">
      <c r="A520" t="s">
        <v>548</v>
      </c>
      <c r="B520">
        <v>95.6</v>
      </c>
      <c r="C520">
        <v>97.6</v>
      </c>
      <c r="D520">
        <v>88.5</v>
      </c>
      <c r="E520">
        <v>94.3</v>
      </c>
      <c r="F520">
        <v>96.9</v>
      </c>
      <c r="G520">
        <v>95.6</v>
      </c>
      <c r="H520" t="s">
        <v>19</v>
      </c>
      <c r="I520">
        <v>5</v>
      </c>
      <c r="J520" t="s">
        <v>24</v>
      </c>
      <c r="K520">
        <v>86.7</v>
      </c>
      <c r="L520">
        <v>208</v>
      </c>
      <c r="M520">
        <v>100.3</v>
      </c>
      <c r="N520">
        <v>7.5</v>
      </c>
      <c r="O520">
        <v>2.1</v>
      </c>
      <c r="P520">
        <v>4</v>
      </c>
      <c r="Q520" t="s">
        <v>28</v>
      </c>
      <c r="R520" t="s">
        <v>33</v>
      </c>
    </row>
    <row r="521" spans="1:18" x14ac:dyDescent="0.25">
      <c r="A521" t="s">
        <v>549</v>
      </c>
      <c r="B521">
        <v>49.9</v>
      </c>
      <c r="C521">
        <v>40.799999999999997</v>
      </c>
      <c r="D521">
        <v>54</v>
      </c>
      <c r="E521">
        <v>48.3</v>
      </c>
      <c r="F521">
        <v>49.3</v>
      </c>
      <c r="G521">
        <v>48.8</v>
      </c>
      <c r="H521" t="s">
        <v>32</v>
      </c>
      <c r="I521">
        <v>5</v>
      </c>
      <c r="J521" t="s">
        <v>24</v>
      </c>
      <c r="K521">
        <v>62.5</v>
      </c>
      <c r="L521">
        <v>150</v>
      </c>
      <c r="M521">
        <v>107.4</v>
      </c>
      <c r="N521">
        <v>8.1</v>
      </c>
      <c r="O521">
        <v>1.3</v>
      </c>
      <c r="P521">
        <v>4</v>
      </c>
      <c r="Q521" t="s">
        <v>28</v>
      </c>
      <c r="R521" t="s">
        <v>22</v>
      </c>
    </row>
    <row r="522" spans="1:18" x14ac:dyDescent="0.25">
      <c r="A522" t="s">
        <v>550</v>
      </c>
      <c r="B522">
        <v>69.3</v>
      </c>
      <c r="C522">
        <v>77.900000000000006</v>
      </c>
      <c r="D522">
        <v>74.400000000000006</v>
      </c>
      <c r="E522">
        <v>72.7</v>
      </c>
      <c r="F522">
        <v>73.099999999999994</v>
      </c>
      <c r="G522">
        <v>72.900000000000006</v>
      </c>
      <c r="H522" t="s">
        <v>19</v>
      </c>
      <c r="I522">
        <v>2</v>
      </c>
      <c r="J522" t="s">
        <v>20</v>
      </c>
      <c r="K522">
        <v>74.8</v>
      </c>
      <c r="L522">
        <v>180</v>
      </c>
      <c r="M522">
        <v>73.3</v>
      </c>
      <c r="N522">
        <v>6.2</v>
      </c>
      <c r="O522">
        <v>3.9</v>
      </c>
      <c r="P522">
        <v>6</v>
      </c>
      <c r="Q522" t="s">
        <v>28</v>
      </c>
      <c r="R522" t="s">
        <v>33</v>
      </c>
    </row>
    <row r="523" spans="1:18" x14ac:dyDescent="0.25">
      <c r="A523" t="s">
        <v>551</v>
      </c>
      <c r="B523">
        <v>65.900000000000006</v>
      </c>
      <c r="C523">
        <v>56</v>
      </c>
      <c r="D523">
        <v>56.3</v>
      </c>
      <c r="E523">
        <v>60.9</v>
      </c>
      <c r="F523">
        <v>66.7</v>
      </c>
      <c r="G523">
        <v>63.8</v>
      </c>
      <c r="H523" t="s">
        <v>19</v>
      </c>
      <c r="I523">
        <v>4</v>
      </c>
      <c r="J523" t="s">
        <v>38</v>
      </c>
      <c r="K523">
        <v>62.7</v>
      </c>
      <c r="L523">
        <v>150</v>
      </c>
      <c r="M523">
        <v>87.1</v>
      </c>
      <c r="N523">
        <v>6.3</v>
      </c>
      <c r="O523">
        <v>4.0999999999999996</v>
      </c>
      <c r="P523">
        <v>3</v>
      </c>
      <c r="Q523" t="s">
        <v>25</v>
      </c>
      <c r="R523" t="s">
        <v>22</v>
      </c>
    </row>
    <row r="524" spans="1:18" x14ac:dyDescent="0.25">
      <c r="A524" t="s">
        <v>552</v>
      </c>
      <c r="B524">
        <v>92.5</v>
      </c>
      <c r="C524">
        <v>91.4</v>
      </c>
      <c r="D524">
        <v>94.4</v>
      </c>
      <c r="E524">
        <v>93.3</v>
      </c>
      <c r="F524">
        <v>94.3</v>
      </c>
      <c r="G524">
        <v>93.8</v>
      </c>
      <c r="H524" t="s">
        <v>19</v>
      </c>
      <c r="I524">
        <v>5</v>
      </c>
      <c r="J524" t="s">
        <v>24</v>
      </c>
      <c r="K524">
        <v>88</v>
      </c>
      <c r="L524">
        <v>211</v>
      </c>
      <c r="M524">
        <v>97.5</v>
      </c>
      <c r="N524">
        <v>6</v>
      </c>
      <c r="O524">
        <v>3.5</v>
      </c>
      <c r="P524">
        <v>1</v>
      </c>
      <c r="Q524" t="s">
        <v>25</v>
      </c>
      <c r="R524" t="s">
        <v>33</v>
      </c>
    </row>
    <row r="525" spans="1:18" x14ac:dyDescent="0.25">
      <c r="A525" t="s">
        <v>553</v>
      </c>
      <c r="B525">
        <v>82.5</v>
      </c>
      <c r="C525">
        <v>87.6</v>
      </c>
      <c r="D525">
        <v>81.2</v>
      </c>
      <c r="E525">
        <v>86.3</v>
      </c>
      <c r="F525">
        <v>94</v>
      </c>
      <c r="G525">
        <v>90.15</v>
      </c>
      <c r="H525" t="s">
        <v>19</v>
      </c>
      <c r="I525">
        <v>5</v>
      </c>
      <c r="J525" t="s">
        <v>24</v>
      </c>
      <c r="K525">
        <v>83</v>
      </c>
      <c r="L525">
        <v>199</v>
      </c>
      <c r="M525">
        <v>94.9</v>
      </c>
      <c r="N525">
        <v>6.2</v>
      </c>
      <c r="O525">
        <v>5.0999999999999996</v>
      </c>
      <c r="P525">
        <v>4</v>
      </c>
      <c r="Q525" t="s">
        <v>28</v>
      </c>
      <c r="R525" t="s">
        <v>26</v>
      </c>
    </row>
    <row r="526" spans="1:18" x14ac:dyDescent="0.25">
      <c r="A526" t="s">
        <v>554</v>
      </c>
      <c r="B526">
        <v>88.8</v>
      </c>
      <c r="C526">
        <v>96.1</v>
      </c>
      <c r="D526">
        <v>91.6</v>
      </c>
      <c r="E526">
        <v>86.1</v>
      </c>
      <c r="F526">
        <v>86.4</v>
      </c>
      <c r="G526">
        <v>86.25</v>
      </c>
      <c r="H526" t="s">
        <v>19</v>
      </c>
      <c r="I526">
        <v>3</v>
      </c>
      <c r="J526" t="s">
        <v>20</v>
      </c>
      <c r="K526">
        <v>86.8</v>
      </c>
      <c r="L526">
        <v>208</v>
      </c>
      <c r="M526">
        <v>71.3</v>
      </c>
      <c r="N526">
        <v>7.1</v>
      </c>
      <c r="O526">
        <v>5.3</v>
      </c>
      <c r="P526">
        <v>7</v>
      </c>
      <c r="Q526" t="s">
        <v>21</v>
      </c>
      <c r="R526" t="s">
        <v>22</v>
      </c>
    </row>
    <row r="527" spans="1:18" x14ac:dyDescent="0.25">
      <c r="A527" t="s">
        <v>555</v>
      </c>
      <c r="B527">
        <v>61.3</v>
      </c>
      <c r="C527">
        <v>81.3</v>
      </c>
      <c r="D527">
        <v>71.099999999999994</v>
      </c>
      <c r="E527">
        <v>65.8</v>
      </c>
      <c r="F527">
        <v>71.2</v>
      </c>
      <c r="G527">
        <v>68.5</v>
      </c>
      <c r="H527" t="s">
        <v>19</v>
      </c>
      <c r="I527">
        <v>3</v>
      </c>
      <c r="J527" t="s">
        <v>20</v>
      </c>
      <c r="K527">
        <v>73.400000000000006</v>
      </c>
      <c r="L527">
        <v>176</v>
      </c>
      <c r="M527">
        <v>74.599999999999994</v>
      </c>
      <c r="N527">
        <v>6.7</v>
      </c>
      <c r="O527">
        <v>4.0999999999999996</v>
      </c>
      <c r="P527">
        <v>1</v>
      </c>
      <c r="Q527" t="s">
        <v>25</v>
      </c>
      <c r="R527" t="s">
        <v>33</v>
      </c>
    </row>
    <row r="528" spans="1:18" x14ac:dyDescent="0.25">
      <c r="A528" t="s">
        <v>556</v>
      </c>
      <c r="B528">
        <v>63</v>
      </c>
      <c r="C528">
        <v>65.8</v>
      </c>
      <c r="D528">
        <v>65.5</v>
      </c>
      <c r="E528">
        <v>62.8</v>
      </c>
      <c r="F528">
        <v>65.599999999999994</v>
      </c>
      <c r="G528">
        <v>64.2</v>
      </c>
      <c r="H528" t="s">
        <v>19</v>
      </c>
      <c r="I528">
        <v>2</v>
      </c>
      <c r="J528" t="s">
        <v>20</v>
      </c>
      <c r="K528">
        <v>70.599999999999994</v>
      </c>
      <c r="L528">
        <v>169</v>
      </c>
      <c r="M528">
        <v>64.2</v>
      </c>
      <c r="N528">
        <v>7</v>
      </c>
      <c r="O528">
        <v>1.1000000000000001</v>
      </c>
      <c r="P528">
        <v>4</v>
      </c>
      <c r="Q528" t="s">
        <v>28</v>
      </c>
      <c r="R528" t="s">
        <v>22</v>
      </c>
    </row>
    <row r="529" spans="1:18" x14ac:dyDescent="0.25">
      <c r="A529" t="s">
        <v>557</v>
      </c>
      <c r="B529">
        <v>55</v>
      </c>
      <c r="C529">
        <v>54.1</v>
      </c>
      <c r="D529">
        <v>56.8</v>
      </c>
      <c r="E529">
        <v>55</v>
      </c>
      <c r="F529">
        <v>73.099999999999994</v>
      </c>
      <c r="G529">
        <v>64.05</v>
      </c>
      <c r="H529" t="s">
        <v>19</v>
      </c>
      <c r="I529">
        <v>5</v>
      </c>
      <c r="J529" t="s">
        <v>24</v>
      </c>
      <c r="K529">
        <v>63.2</v>
      </c>
      <c r="L529">
        <v>152</v>
      </c>
      <c r="M529">
        <v>106.9</v>
      </c>
      <c r="N529">
        <v>6.4</v>
      </c>
      <c r="O529">
        <v>4.5</v>
      </c>
      <c r="P529">
        <v>1</v>
      </c>
      <c r="Q529" t="s">
        <v>25</v>
      </c>
      <c r="R529" t="s">
        <v>22</v>
      </c>
    </row>
    <row r="530" spans="1:18" x14ac:dyDescent="0.25">
      <c r="A530" t="s">
        <v>558</v>
      </c>
      <c r="B530">
        <v>48.5</v>
      </c>
      <c r="C530">
        <v>45.8</v>
      </c>
      <c r="D530">
        <v>51.9</v>
      </c>
      <c r="E530">
        <v>43.1</v>
      </c>
      <c r="F530">
        <v>50.7</v>
      </c>
      <c r="G530">
        <v>46.9</v>
      </c>
      <c r="H530" t="s">
        <v>32</v>
      </c>
      <c r="I530">
        <v>2</v>
      </c>
      <c r="J530" t="s">
        <v>20</v>
      </c>
      <c r="K530">
        <v>61.9</v>
      </c>
      <c r="L530">
        <v>149</v>
      </c>
      <c r="M530">
        <v>65.099999999999994</v>
      </c>
      <c r="N530">
        <v>6.3</v>
      </c>
      <c r="O530">
        <v>3.1</v>
      </c>
      <c r="P530">
        <v>1</v>
      </c>
      <c r="Q530" t="s">
        <v>25</v>
      </c>
      <c r="R530" t="s">
        <v>33</v>
      </c>
    </row>
    <row r="531" spans="1:18" x14ac:dyDescent="0.25">
      <c r="A531" t="s">
        <v>559</v>
      </c>
      <c r="B531">
        <v>89.9</v>
      </c>
      <c r="C531">
        <v>92</v>
      </c>
      <c r="D531">
        <v>87.6</v>
      </c>
      <c r="E531">
        <v>87.6</v>
      </c>
      <c r="F531">
        <v>79.2</v>
      </c>
      <c r="G531">
        <v>83.4</v>
      </c>
      <c r="H531" t="s">
        <v>19</v>
      </c>
      <c r="I531">
        <v>3</v>
      </c>
      <c r="J531" t="s">
        <v>38</v>
      </c>
      <c r="K531">
        <v>87.5</v>
      </c>
      <c r="L531">
        <v>210</v>
      </c>
      <c r="M531">
        <v>81.5</v>
      </c>
      <c r="N531">
        <v>6.3</v>
      </c>
      <c r="O531">
        <v>3.8</v>
      </c>
      <c r="P531">
        <v>6</v>
      </c>
      <c r="Q531" t="s">
        <v>28</v>
      </c>
      <c r="R531" t="s">
        <v>33</v>
      </c>
    </row>
    <row r="532" spans="1:18" x14ac:dyDescent="0.25">
      <c r="A532" t="s">
        <v>560</v>
      </c>
      <c r="B532">
        <v>84.6</v>
      </c>
      <c r="C532">
        <v>83.1</v>
      </c>
      <c r="D532">
        <v>78.8</v>
      </c>
      <c r="E532">
        <v>84.7</v>
      </c>
      <c r="F532">
        <v>75.599999999999994</v>
      </c>
      <c r="G532">
        <v>80.150000000000006</v>
      </c>
      <c r="H532" t="s">
        <v>19</v>
      </c>
      <c r="I532">
        <v>2</v>
      </c>
      <c r="J532" t="s">
        <v>20</v>
      </c>
      <c r="K532">
        <v>76.599999999999994</v>
      </c>
      <c r="L532">
        <v>184</v>
      </c>
      <c r="M532">
        <v>75.7</v>
      </c>
      <c r="N532">
        <v>6.9</v>
      </c>
      <c r="O532">
        <v>4.2</v>
      </c>
      <c r="P532">
        <v>4</v>
      </c>
      <c r="Q532" t="s">
        <v>28</v>
      </c>
      <c r="R532" t="s">
        <v>22</v>
      </c>
    </row>
    <row r="533" spans="1:18" x14ac:dyDescent="0.25">
      <c r="A533" t="s">
        <v>561</v>
      </c>
      <c r="B533">
        <v>99.1</v>
      </c>
      <c r="C533">
        <v>104</v>
      </c>
      <c r="D533">
        <v>97.2</v>
      </c>
      <c r="E533">
        <v>95</v>
      </c>
      <c r="F533">
        <v>90.6</v>
      </c>
      <c r="G533">
        <v>92.8</v>
      </c>
      <c r="H533" t="s">
        <v>19</v>
      </c>
      <c r="I533">
        <v>2</v>
      </c>
      <c r="J533" t="s">
        <v>20</v>
      </c>
      <c r="K533">
        <v>87.9</v>
      </c>
      <c r="L533">
        <v>211</v>
      </c>
      <c r="M533">
        <v>65.599999999999994</v>
      </c>
      <c r="N533">
        <v>6.6</v>
      </c>
      <c r="O533">
        <v>2.8</v>
      </c>
      <c r="P533">
        <v>2</v>
      </c>
      <c r="Q533" t="s">
        <v>25</v>
      </c>
      <c r="R533" t="s">
        <v>22</v>
      </c>
    </row>
    <row r="534" spans="1:18" x14ac:dyDescent="0.25">
      <c r="A534" t="s">
        <v>562</v>
      </c>
      <c r="B534">
        <v>101.8</v>
      </c>
      <c r="C534">
        <v>96</v>
      </c>
      <c r="D534">
        <v>105.2</v>
      </c>
      <c r="E534">
        <v>94.8</v>
      </c>
      <c r="F534">
        <v>83.2</v>
      </c>
      <c r="G534">
        <v>89</v>
      </c>
      <c r="H534" t="s">
        <v>19</v>
      </c>
      <c r="I534">
        <v>3</v>
      </c>
      <c r="J534" t="s">
        <v>20</v>
      </c>
      <c r="K534">
        <v>88.6</v>
      </c>
      <c r="L534">
        <v>213</v>
      </c>
      <c r="M534">
        <v>72.400000000000006</v>
      </c>
      <c r="N534">
        <v>6.9</v>
      </c>
      <c r="O534">
        <v>5.6</v>
      </c>
      <c r="P534">
        <v>6</v>
      </c>
      <c r="Q534" t="s">
        <v>28</v>
      </c>
      <c r="R534" t="s">
        <v>26</v>
      </c>
    </row>
    <row r="535" spans="1:18" x14ac:dyDescent="0.25">
      <c r="A535" t="s">
        <v>563</v>
      </c>
      <c r="B535">
        <v>73.3</v>
      </c>
      <c r="C535">
        <v>73</v>
      </c>
      <c r="D535">
        <v>65.5</v>
      </c>
      <c r="E535">
        <v>70.5</v>
      </c>
      <c r="F535">
        <v>71.5</v>
      </c>
      <c r="G535">
        <v>71</v>
      </c>
      <c r="H535" t="s">
        <v>19</v>
      </c>
      <c r="I535">
        <v>5</v>
      </c>
      <c r="J535" t="s">
        <v>24</v>
      </c>
      <c r="K535">
        <v>71.7</v>
      </c>
      <c r="L535">
        <v>172</v>
      </c>
      <c r="M535">
        <v>100.3</v>
      </c>
      <c r="N535">
        <v>7.5</v>
      </c>
      <c r="O535">
        <v>1.7</v>
      </c>
      <c r="P535">
        <v>7</v>
      </c>
      <c r="Q535" t="s">
        <v>21</v>
      </c>
      <c r="R535" t="s">
        <v>22</v>
      </c>
    </row>
    <row r="536" spans="1:18" x14ac:dyDescent="0.25">
      <c r="A536" t="s">
        <v>564</v>
      </c>
      <c r="B536">
        <v>82.3</v>
      </c>
      <c r="C536">
        <v>85.6</v>
      </c>
      <c r="D536">
        <v>80.5</v>
      </c>
      <c r="E536">
        <v>82.3</v>
      </c>
      <c r="F536">
        <v>76.099999999999994</v>
      </c>
      <c r="G536">
        <v>79.2</v>
      </c>
      <c r="H536" t="s">
        <v>19</v>
      </c>
      <c r="I536">
        <v>1</v>
      </c>
      <c r="J536" t="s">
        <v>20</v>
      </c>
      <c r="K536">
        <v>78.2</v>
      </c>
      <c r="L536">
        <v>188</v>
      </c>
      <c r="M536">
        <v>67.3</v>
      </c>
      <c r="N536">
        <v>6.7</v>
      </c>
      <c r="O536">
        <v>4.4000000000000004</v>
      </c>
      <c r="P536">
        <v>4</v>
      </c>
      <c r="Q536" t="s">
        <v>28</v>
      </c>
      <c r="R536" t="s">
        <v>26</v>
      </c>
    </row>
    <row r="537" spans="1:18" x14ac:dyDescent="0.25">
      <c r="A537" t="s">
        <v>565</v>
      </c>
      <c r="B537">
        <v>85.4</v>
      </c>
      <c r="C537">
        <v>94.1</v>
      </c>
      <c r="D537">
        <v>94</v>
      </c>
      <c r="E537">
        <v>92</v>
      </c>
      <c r="F537">
        <v>93</v>
      </c>
      <c r="G537">
        <v>92.5</v>
      </c>
      <c r="H537" t="s">
        <v>19</v>
      </c>
      <c r="I537">
        <v>3</v>
      </c>
      <c r="J537" t="s">
        <v>38</v>
      </c>
      <c r="K537">
        <v>87.1</v>
      </c>
      <c r="L537">
        <v>209</v>
      </c>
      <c r="M537">
        <v>85.7</v>
      </c>
      <c r="N537">
        <v>7.6</v>
      </c>
      <c r="O537">
        <v>1</v>
      </c>
      <c r="P537">
        <v>4</v>
      </c>
      <c r="Q537" t="s">
        <v>28</v>
      </c>
      <c r="R537" t="s">
        <v>26</v>
      </c>
    </row>
    <row r="538" spans="1:18" x14ac:dyDescent="0.25">
      <c r="A538" t="s">
        <v>566</v>
      </c>
      <c r="B538">
        <v>81.400000000000006</v>
      </c>
      <c r="C538">
        <v>90.9</v>
      </c>
      <c r="D538">
        <v>86.5</v>
      </c>
      <c r="E538">
        <v>86.7</v>
      </c>
      <c r="F538">
        <v>70.3</v>
      </c>
      <c r="G538">
        <v>78.5</v>
      </c>
      <c r="H538" t="s">
        <v>19</v>
      </c>
      <c r="I538">
        <v>1</v>
      </c>
      <c r="J538" t="s">
        <v>20</v>
      </c>
      <c r="K538">
        <v>77.7</v>
      </c>
      <c r="L538">
        <v>186</v>
      </c>
      <c r="M538">
        <v>64.5</v>
      </c>
      <c r="N538">
        <v>6.7</v>
      </c>
      <c r="O538">
        <v>5.6</v>
      </c>
      <c r="P538">
        <v>2</v>
      </c>
      <c r="Q538" t="s">
        <v>25</v>
      </c>
      <c r="R538" t="s">
        <v>26</v>
      </c>
    </row>
    <row r="539" spans="1:18" x14ac:dyDescent="0.25">
      <c r="A539" t="s">
        <v>567</v>
      </c>
      <c r="B539">
        <v>52.1</v>
      </c>
      <c r="C539">
        <v>50.5</v>
      </c>
      <c r="D539">
        <v>48.7</v>
      </c>
      <c r="E539">
        <v>53.6</v>
      </c>
      <c r="F539">
        <v>53.1</v>
      </c>
      <c r="G539">
        <v>53.35</v>
      </c>
      <c r="H539" t="s">
        <v>19</v>
      </c>
      <c r="I539">
        <v>2</v>
      </c>
      <c r="J539" t="s">
        <v>20</v>
      </c>
      <c r="K539">
        <v>68.599999999999994</v>
      </c>
      <c r="L539">
        <v>165</v>
      </c>
      <c r="M539">
        <v>66.599999999999994</v>
      </c>
      <c r="N539">
        <v>7.9</v>
      </c>
      <c r="O539">
        <v>1.6</v>
      </c>
      <c r="P539">
        <v>3</v>
      </c>
      <c r="Q539" t="s">
        <v>28</v>
      </c>
      <c r="R539" t="s">
        <v>22</v>
      </c>
    </row>
    <row r="540" spans="1:18" x14ac:dyDescent="0.25">
      <c r="A540" t="s">
        <v>568</v>
      </c>
      <c r="B540">
        <v>61.7</v>
      </c>
      <c r="C540">
        <v>62</v>
      </c>
      <c r="D540">
        <v>70.400000000000006</v>
      </c>
      <c r="E540">
        <v>64.8</v>
      </c>
      <c r="F540">
        <v>71.5</v>
      </c>
      <c r="G540">
        <v>68.150000000000006</v>
      </c>
      <c r="H540" t="s">
        <v>19</v>
      </c>
      <c r="I540">
        <v>3</v>
      </c>
      <c r="J540" t="s">
        <v>20</v>
      </c>
      <c r="K540">
        <v>67.900000000000006</v>
      </c>
      <c r="L540">
        <v>163</v>
      </c>
      <c r="M540">
        <v>79.599999999999994</v>
      </c>
      <c r="N540">
        <v>7.7</v>
      </c>
      <c r="O540">
        <v>1.5</v>
      </c>
      <c r="P540">
        <v>4</v>
      </c>
      <c r="Q540" t="s">
        <v>28</v>
      </c>
      <c r="R540" t="s">
        <v>26</v>
      </c>
    </row>
    <row r="541" spans="1:18" x14ac:dyDescent="0.25">
      <c r="A541" t="s">
        <v>569</v>
      </c>
      <c r="B541">
        <v>46.2</v>
      </c>
      <c r="C541">
        <v>41.6</v>
      </c>
      <c r="D541">
        <v>58.7</v>
      </c>
      <c r="E541">
        <v>47.1</v>
      </c>
      <c r="F541">
        <v>62.7</v>
      </c>
      <c r="G541">
        <v>54.9</v>
      </c>
      <c r="H541" t="s">
        <v>19</v>
      </c>
      <c r="I541">
        <v>3</v>
      </c>
      <c r="J541" t="s">
        <v>20</v>
      </c>
      <c r="K541">
        <v>68.900000000000006</v>
      </c>
      <c r="L541">
        <v>165</v>
      </c>
      <c r="M541">
        <v>81.400000000000006</v>
      </c>
      <c r="N541">
        <v>7.5</v>
      </c>
      <c r="O541">
        <v>2.7</v>
      </c>
      <c r="P541">
        <v>1</v>
      </c>
      <c r="Q541" t="s">
        <v>25</v>
      </c>
      <c r="R541" t="s">
        <v>22</v>
      </c>
    </row>
    <row r="542" spans="1:18" x14ac:dyDescent="0.25">
      <c r="A542" t="s">
        <v>570</v>
      </c>
      <c r="B542">
        <v>92.8</v>
      </c>
      <c r="C542">
        <v>94.7</v>
      </c>
      <c r="D542">
        <v>93.5</v>
      </c>
      <c r="E542">
        <v>92.5</v>
      </c>
      <c r="F542">
        <v>92.3</v>
      </c>
      <c r="G542">
        <v>92.4</v>
      </c>
      <c r="H542" t="s">
        <v>19</v>
      </c>
      <c r="I542">
        <v>2</v>
      </c>
      <c r="J542" t="s">
        <v>20</v>
      </c>
      <c r="K542">
        <v>97.9</v>
      </c>
      <c r="L542">
        <v>235</v>
      </c>
      <c r="M542">
        <v>65.2</v>
      </c>
      <c r="N542">
        <v>7</v>
      </c>
      <c r="O542">
        <v>2.9</v>
      </c>
      <c r="P542">
        <v>2</v>
      </c>
      <c r="Q542" t="s">
        <v>25</v>
      </c>
      <c r="R542" t="s">
        <v>22</v>
      </c>
    </row>
    <row r="543" spans="1:18" x14ac:dyDescent="0.25">
      <c r="A543" t="s">
        <v>571</v>
      </c>
      <c r="B543">
        <v>76</v>
      </c>
      <c r="C543">
        <v>77.2</v>
      </c>
      <c r="D543">
        <v>68.8</v>
      </c>
      <c r="E543">
        <v>73.3</v>
      </c>
      <c r="F543">
        <v>73</v>
      </c>
      <c r="G543">
        <v>73.150000000000006</v>
      </c>
      <c r="H543" t="s">
        <v>19</v>
      </c>
      <c r="I543">
        <v>2</v>
      </c>
      <c r="J543" t="s">
        <v>20</v>
      </c>
      <c r="K543">
        <v>72.400000000000006</v>
      </c>
      <c r="L543">
        <v>174</v>
      </c>
      <c r="M543">
        <v>72.900000000000006</v>
      </c>
      <c r="N543">
        <v>7.6</v>
      </c>
      <c r="O543">
        <v>2.1</v>
      </c>
      <c r="P543">
        <v>4</v>
      </c>
      <c r="Q543" t="s">
        <v>28</v>
      </c>
      <c r="R543" t="s">
        <v>33</v>
      </c>
    </row>
    <row r="544" spans="1:18" x14ac:dyDescent="0.25">
      <c r="A544" t="s">
        <v>572</v>
      </c>
      <c r="B544">
        <v>52.2</v>
      </c>
      <c r="C544">
        <v>54.9</v>
      </c>
      <c r="D544">
        <v>44.8</v>
      </c>
      <c r="E544">
        <v>52.6</v>
      </c>
      <c r="F544">
        <v>47.1</v>
      </c>
      <c r="G544">
        <v>49.85</v>
      </c>
      <c r="H544" t="s">
        <v>32</v>
      </c>
      <c r="I544">
        <v>1</v>
      </c>
      <c r="J544" t="s">
        <v>20</v>
      </c>
      <c r="K544">
        <v>69</v>
      </c>
      <c r="L544">
        <v>166</v>
      </c>
      <c r="M544">
        <v>58.1</v>
      </c>
      <c r="N544">
        <v>6.7</v>
      </c>
      <c r="O544">
        <v>3.9</v>
      </c>
      <c r="P544">
        <v>4</v>
      </c>
      <c r="Q544" t="s">
        <v>28</v>
      </c>
      <c r="R544" t="s">
        <v>22</v>
      </c>
    </row>
    <row r="545" spans="1:18" x14ac:dyDescent="0.25">
      <c r="A545" t="s">
        <v>573</v>
      </c>
      <c r="B545">
        <v>79.400000000000006</v>
      </c>
      <c r="C545">
        <v>85.3</v>
      </c>
      <c r="D545">
        <v>78.2</v>
      </c>
      <c r="E545">
        <v>76.900000000000006</v>
      </c>
      <c r="F545">
        <v>71.099999999999994</v>
      </c>
      <c r="G545">
        <v>74</v>
      </c>
      <c r="H545" t="s">
        <v>19</v>
      </c>
      <c r="I545">
        <v>2</v>
      </c>
      <c r="J545" t="s">
        <v>20</v>
      </c>
      <c r="K545">
        <v>74.8</v>
      </c>
      <c r="L545">
        <v>180</v>
      </c>
      <c r="M545">
        <v>72.5</v>
      </c>
      <c r="N545">
        <v>7</v>
      </c>
      <c r="O545">
        <v>3.2</v>
      </c>
      <c r="P545">
        <v>6</v>
      </c>
      <c r="Q545" t="s">
        <v>28</v>
      </c>
      <c r="R545" t="s">
        <v>22</v>
      </c>
    </row>
    <row r="546" spans="1:18" x14ac:dyDescent="0.25">
      <c r="A546" t="s">
        <v>574</v>
      </c>
      <c r="B546">
        <v>74.3</v>
      </c>
      <c r="C546">
        <v>74</v>
      </c>
      <c r="D546">
        <v>79.5</v>
      </c>
      <c r="E546">
        <v>74</v>
      </c>
      <c r="F546">
        <v>80.7</v>
      </c>
      <c r="G546">
        <v>77.349999999999994</v>
      </c>
      <c r="H546" t="s">
        <v>19</v>
      </c>
      <c r="I546">
        <v>5</v>
      </c>
      <c r="J546" t="s">
        <v>24</v>
      </c>
      <c r="K546">
        <v>82.2</v>
      </c>
      <c r="L546">
        <v>197</v>
      </c>
      <c r="M546">
        <v>96.3</v>
      </c>
      <c r="N546">
        <v>7.5</v>
      </c>
      <c r="O546">
        <v>1.2</v>
      </c>
      <c r="P546">
        <v>5</v>
      </c>
      <c r="Q546" t="s">
        <v>28</v>
      </c>
      <c r="R546" t="s">
        <v>26</v>
      </c>
    </row>
    <row r="547" spans="1:18" x14ac:dyDescent="0.25">
      <c r="A547" t="s">
        <v>575</v>
      </c>
      <c r="B547">
        <v>49.8</v>
      </c>
      <c r="C547">
        <v>63</v>
      </c>
      <c r="D547">
        <v>62.1</v>
      </c>
      <c r="E547">
        <v>59.7</v>
      </c>
      <c r="F547">
        <v>71</v>
      </c>
      <c r="G547">
        <v>65.349999999999994</v>
      </c>
      <c r="H547" t="s">
        <v>19</v>
      </c>
      <c r="I547">
        <v>5</v>
      </c>
      <c r="J547" t="s">
        <v>24</v>
      </c>
      <c r="K547">
        <v>63.5</v>
      </c>
      <c r="L547">
        <v>152</v>
      </c>
      <c r="M547">
        <v>110.5</v>
      </c>
      <c r="N547">
        <v>7</v>
      </c>
      <c r="O547">
        <v>2.6</v>
      </c>
      <c r="P547">
        <v>5</v>
      </c>
      <c r="Q547" t="s">
        <v>28</v>
      </c>
      <c r="R547" t="s">
        <v>22</v>
      </c>
    </row>
    <row r="548" spans="1:18" x14ac:dyDescent="0.25">
      <c r="A548" t="s">
        <v>576</v>
      </c>
      <c r="B548">
        <v>41.5</v>
      </c>
      <c r="C548">
        <v>40.799999999999997</v>
      </c>
      <c r="D548">
        <v>46.2</v>
      </c>
      <c r="E548">
        <v>46.2</v>
      </c>
      <c r="F548">
        <v>45.5</v>
      </c>
      <c r="G548">
        <v>45.85</v>
      </c>
      <c r="H548" t="s">
        <v>32</v>
      </c>
      <c r="I548">
        <v>2</v>
      </c>
      <c r="J548" t="s">
        <v>20</v>
      </c>
      <c r="K548">
        <v>65.5</v>
      </c>
      <c r="L548">
        <v>157</v>
      </c>
      <c r="M548">
        <v>73.2</v>
      </c>
      <c r="N548">
        <v>6.1</v>
      </c>
      <c r="O548">
        <v>5.0999999999999996</v>
      </c>
      <c r="P548">
        <v>5</v>
      </c>
      <c r="Q548" t="s">
        <v>28</v>
      </c>
      <c r="R548" t="s">
        <v>22</v>
      </c>
    </row>
    <row r="549" spans="1:18" x14ac:dyDescent="0.25">
      <c r="A549" t="s">
        <v>577</v>
      </c>
      <c r="B549">
        <v>76.2</v>
      </c>
      <c r="C549">
        <v>75</v>
      </c>
      <c r="D549">
        <v>74</v>
      </c>
      <c r="E549">
        <v>76.900000000000006</v>
      </c>
      <c r="F549">
        <v>77.099999999999994</v>
      </c>
      <c r="G549">
        <v>77</v>
      </c>
      <c r="H549" t="s">
        <v>19</v>
      </c>
      <c r="I549">
        <v>3</v>
      </c>
      <c r="J549" t="s">
        <v>38</v>
      </c>
      <c r="K549">
        <v>74.099999999999994</v>
      </c>
      <c r="L549">
        <v>178</v>
      </c>
      <c r="M549">
        <v>75.8</v>
      </c>
      <c r="N549">
        <v>6.9</v>
      </c>
      <c r="O549">
        <v>4.4000000000000004</v>
      </c>
      <c r="P549">
        <v>4</v>
      </c>
      <c r="Q549" t="s">
        <v>28</v>
      </c>
      <c r="R549" t="s">
        <v>33</v>
      </c>
    </row>
    <row r="550" spans="1:18" x14ac:dyDescent="0.25">
      <c r="A550" t="s">
        <v>578</v>
      </c>
      <c r="B550">
        <v>62.6</v>
      </c>
      <c r="C550">
        <v>72.099999999999994</v>
      </c>
      <c r="D550">
        <v>63.2</v>
      </c>
      <c r="E550">
        <v>68.599999999999994</v>
      </c>
      <c r="F550">
        <v>79.8</v>
      </c>
      <c r="G550">
        <v>74.2</v>
      </c>
      <c r="H550" t="s">
        <v>19</v>
      </c>
      <c r="I550">
        <v>5</v>
      </c>
      <c r="J550" t="s">
        <v>24</v>
      </c>
      <c r="K550">
        <v>73.3</v>
      </c>
      <c r="L550">
        <v>176</v>
      </c>
      <c r="M550">
        <v>95.7</v>
      </c>
      <c r="N550">
        <v>7.3</v>
      </c>
      <c r="O550">
        <v>4.5999999999999996</v>
      </c>
      <c r="P550">
        <v>4</v>
      </c>
      <c r="Q550" t="s">
        <v>28</v>
      </c>
      <c r="R550" t="s">
        <v>33</v>
      </c>
    </row>
    <row r="551" spans="1:18" x14ac:dyDescent="0.25">
      <c r="A551" t="s">
        <v>579</v>
      </c>
      <c r="B551">
        <v>85.5</v>
      </c>
      <c r="C551">
        <v>86.7</v>
      </c>
      <c r="D551">
        <v>86.7</v>
      </c>
      <c r="E551">
        <v>82.5</v>
      </c>
      <c r="F551">
        <v>70.8</v>
      </c>
      <c r="G551">
        <v>76.650000000000006</v>
      </c>
      <c r="H551" t="s">
        <v>19</v>
      </c>
      <c r="I551">
        <v>1</v>
      </c>
      <c r="J551" t="s">
        <v>140</v>
      </c>
      <c r="K551">
        <v>76.099999999999994</v>
      </c>
      <c r="L551">
        <v>183</v>
      </c>
      <c r="M551">
        <v>62.8</v>
      </c>
      <c r="N551">
        <v>7.2</v>
      </c>
      <c r="O551">
        <v>4.5</v>
      </c>
      <c r="P551">
        <v>5</v>
      </c>
      <c r="Q551" t="s">
        <v>28</v>
      </c>
      <c r="R551" t="s">
        <v>26</v>
      </c>
    </row>
    <row r="552" spans="1:18" x14ac:dyDescent="0.25">
      <c r="A552" t="s">
        <v>580</v>
      </c>
      <c r="B552">
        <v>76.3</v>
      </c>
      <c r="C552">
        <v>67.099999999999994</v>
      </c>
      <c r="D552">
        <v>73.2</v>
      </c>
      <c r="E552">
        <v>68.599999999999994</v>
      </c>
      <c r="F552">
        <v>78</v>
      </c>
      <c r="G552">
        <v>73.3</v>
      </c>
      <c r="H552" t="s">
        <v>19</v>
      </c>
      <c r="I552">
        <v>4</v>
      </c>
      <c r="J552" t="s">
        <v>24</v>
      </c>
      <c r="K552">
        <v>78.400000000000006</v>
      </c>
      <c r="L552">
        <v>188</v>
      </c>
      <c r="M552">
        <v>100.8</v>
      </c>
      <c r="N552">
        <v>6.6</v>
      </c>
      <c r="O552">
        <v>2.6</v>
      </c>
      <c r="P552">
        <v>4</v>
      </c>
      <c r="Q552" t="s">
        <v>28</v>
      </c>
      <c r="R552" t="s">
        <v>26</v>
      </c>
    </row>
    <row r="553" spans="1:18" x14ac:dyDescent="0.25">
      <c r="A553" t="s">
        <v>581</v>
      </c>
      <c r="B553">
        <v>93</v>
      </c>
      <c r="C553">
        <v>86.5</v>
      </c>
      <c r="D553">
        <v>79.099999999999994</v>
      </c>
      <c r="E553">
        <v>86.9</v>
      </c>
      <c r="F553">
        <v>92.9</v>
      </c>
      <c r="G553">
        <v>89.9</v>
      </c>
      <c r="H553" t="s">
        <v>19</v>
      </c>
      <c r="I553">
        <v>5</v>
      </c>
      <c r="J553" t="s">
        <v>24</v>
      </c>
      <c r="K553">
        <v>79.3</v>
      </c>
      <c r="L553">
        <v>190</v>
      </c>
      <c r="M553">
        <v>95</v>
      </c>
      <c r="N553">
        <v>8.1999999999999993</v>
      </c>
      <c r="O553">
        <v>1.5</v>
      </c>
      <c r="P553">
        <v>3</v>
      </c>
      <c r="Q553" t="s">
        <v>28</v>
      </c>
      <c r="R553" t="s">
        <v>33</v>
      </c>
    </row>
    <row r="554" spans="1:18" x14ac:dyDescent="0.25">
      <c r="A554" t="s">
        <v>582</v>
      </c>
      <c r="B554">
        <v>69.3</v>
      </c>
      <c r="C554">
        <v>62.8</v>
      </c>
      <c r="D554">
        <v>78.3</v>
      </c>
      <c r="E554">
        <v>70.400000000000006</v>
      </c>
      <c r="F554">
        <v>71.900000000000006</v>
      </c>
      <c r="G554">
        <v>71.150000000000006</v>
      </c>
      <c r="H554" t="s">
        <v>19</v>
      </c>
      <c r="I554">
        <v>1</v>
      </c>
      <c r="J554" t="s">
        <v>20</v>
      </c>
      <c r="K554">
        <v>77.900000000000006</v>
      </c>
      <c r="L554">
        <v>187</v>
      </c>
      <c r="M554">
        <v>55.7</v>
      </c>
      <c r="N554">
        <v>7.1</v>
      </c>
      <c r="O554">
        <v>2.4</v>
      </c>
      <c r="P554">
        <v>1</v>
      </c>
      <c r="Q554" t="s">
        <v>25</v>
      </c>
      <c r="R554" t="s">
        <v>33</v>
      </c>
    </row>
    <row r="555" spans="1:18" x14ac:dyDescent="0.25">
      <c r="A555" t="s">
        <v>583</v>
      </c>
      <c r="B555">
        <v>78.3</v>
      </c>
      <c r="C555">
        <v>69.099999999999994</v>
      </c>
      <c r="D555">
        <v>73.7</v>
      </c>
      <c r="E555">
        <v>70.900000000000006</v>
      </c>
      <c r="F555">
        <v>72.400000000000006</v>
      </c>
      <c r="G555">
        <v>71.650000000000006</v>
      </c>
      <c r="H555" t="s">
        <v>19</v>
      </c>
      <c r="I555">
        <v>2</v>
      </c>
      <c r="J555" t="s">
        <v>20</v>
      </c>
      <c r="K555">
        <v>73.7</v>
      </c>
      <c r="L555">
        <v>177</v>
      </c>
      <c r="M555">
        <v>70.5</v>
      </c>
      <c r="N555">
        <v>6.8</v>
      </c>
      <c r="O555">
        <v>5.2</v>
      </c>
      <c r="P555">
        <v>1</v>
      </c>
      <c r="Q555" t="s">
        <v>25</v>
      </c>
      <c r="R555" t="s">
        <v>22</v>
      </c>
    </row>
    <row r="556" spans="1:18" x14ac:dyDescent="0.25">
      <c r="A556" t="s">
        <v>584</v>
      </c>
      <c r="B556">
        <v>89</v>
      </c>
      <c r="C556">
        <v>92.7</v>
      </c>
      <c r="D556">
        <v>95.2</v>
      </c>
      <c r="E556">
        <v>88.2</v>
      </c>
      <c r="F556">
        <v>91.4</v>
      </c>
      <c r="G556">
        <v>89.8</v>
      </c>
      <c r="H556" t="s">
        <v>19</v>
      </c>
      <c r="I556">
        <v>5</v>
      </c>
      <c r="J556" t="s">
        <v>24</v>
      </c>
      <c r="K556">
        <v>83.5</v>
      </c>
      <c r="L556">
        <v>200</v>
      </c>
      <c r="M556">
        <v>91.5</v>
      </c>
      <c r="N556">
        <v>5.8</v>
      </c>
      <c r="O556">
        <v>5.9</v>
      </c>
      <c r="P556">
        <v>3</v>
      </c>
      <c r="Q556" t="s">
        <v>28</v>
      </c>
      <c r="R556" t="s">
        <v>26</v>
      </c>
    </row>
    <row r="557" spans="1:18" x14ac:dyDescent="0.25">
      <c r="A557" t="s">
        <v>585</v>
      </c>
      <c r="B557">
        <v>60.5</v>
      </c>
      <c r="C557">
        <v>65.099999999999994</v>
      </c>
      <c r="D557">
        <v>55.5</v>
      </c>
      <c r="E557">
        <v>62.2</v>
      </c>
      <c r="F557">
        <v>63.3</v>
      </c>
      <c r="G557">
        <v>62.75</v>
      </c>
      <c r="H557" t="s">
        <v>19</v>
      </c>
      <c r="I557">
        <v>3</v>
      </c>
      <c r="J557" t="s">
        <v>38</v>
      </c>
      <c r="K557">
        <v>71.8</v>
      </c>
      <c r="L557">
        <v>172</v>
      </c>
      <c r="M557">
        <v>79.3</v>
      </c>
      <c r="N557">
        <v>7</v>
      </c>
      <c r="O557">
        <v>3.5</v>
      </c>
      <c r="P557">
        <v>3</v>
      </c>
      <c r="Q557" t="s">
        <v>25</v>
      </c>
      <c r="R557" t="s">
        <v>26</v>
      </c>
    </row>
    <row r="558" spans="1:18" x14ac:dyDescent="0.25">
      <c r="A558" t="s">
        <v>586</v>
      </c>
      <c r="B558">
        <v>44.3</v>
      </c>
      <c r="C558">
        <v>49.9</v>
      </c>
      <c r="D558">
        <v>40.5</v>
      </c>
      <c r="E558">
        <v>47.4</v>
      </c>
      <c r="F558">
        <v>48</v>
      </c>
      <c r="G558">
        <v>47.7</v>
      </c>
      <c r="H558" t="s">
        <v>32</v>
      </c>
      <c r="I558">
        <v>1</v>
      </c>
      <c r="J558" t="s">
        <v>20</v>
      </c>
      <c r="K558">
        <v>59.9</v>
      </c>
      <c r="L558">
        <v>144</v>
      </c>
      <c r="M558">
        <v>59.3</v>
      </c>
      <c r="N558">
        <v>7.8</v>
      </c>
      <c r="O558">
        <v>1</v>
      </c>
      <c r="P558">
        <v>3</v>
      </c>
      <c r="Q558" t="s">
        <v>25</v>
      </c>
      <c r="R558" t="s">
        <v>22</v>
      </c>
    </row>
    <row r="559" spans="1:18" x14ac:dyDescent="0.25">
      <c r="A559" t="s">
        <v>587</v>
      </c>
      <c r="B559">
        <v>40.1</v>
      </c>
      <c r="C559">
        <v>41.8</v>
      </c>
      <c r="D559">
        <v>40.799999999999997</v>
      </c>
      <c r="E559">
        <v>41.6</v>
      </c>
      <c r="F559">
        <v>59.9</v>
      </c>
      <c r="G559">
        <v>50.75</v>
      </c>
      <c r="H559" t="s">
        <v>19</v>
      </c>
      <c r="I559">
        <v>2</v>
      </c>
      <c r="J559" t="s">
        <v>20</v>
      </c>
      <c r="K559">
        <v>61.8</v>
      </c>
      <c r="L559">
        <v>148</v>
      </c>
      <c r="M559">
        <v>70</v>
      </c>
      <c r="N559">
        <v>6.7</v>
      </c>
      <c r="O559">
        <v>1.7</v>
      </c>
      <c r="P559">
        <v>1</v>
      </c>
      <c r="Q559" t="s">
        <v>25</v>
      </c>
      <c r="R559" t="s">
        <v>22</v>
      </c>
    </row>
    <row r="560" spans="1:18" x14ac:dyDescent="0.25">
      <c r="A560" t="s">
        <v>588</v>
      </c>
      <c r="B560">
        <v>79.599999999999994</v>
      </c>
      <c r="C560">
        <v>81.599999999999994</v>
      </c>
      <c r="D560">
        <v>84</v>
      </c>
      <c r="E560">
        <v>81.5</v>
      </c>
      <c r="F560">
        <v>79.3</v>
      </c>
      <c r="G560">
        <v>80.400000000000006</v>
      </c>
      <c r="H560" t="s">
        <v>19</v>
      </c>
      <c r="I560">
        <v>3</v>
      </c>
      <c r="J560" t="s">
        <v>20</v>
      </c>
      <c r="K560">
        <v>88.4</v>
      </c>
      <c r="L560">
        <v>212</v>
      </c>
      <c r="M560">
        <v>81.400000000000006</v>
      </c>
      <c r="N560">
        <v>7.5</v>
      </c>
      <c r="O560">
        <v>2.6</v>
      </c>
      <c r="P560">
        <v>6</v>
      </c>
      <c r="Q560" t="s">
        <v>28</v>
      </c>
      <c r="R560" t="s">
        <v>26</v>
      </c>
    </row>
    <row r="561" spans="1:18" x14ac:dyDescent="0.25">
      <c r="A561" t="s">
        <v>589</v>
      </c>
      <c r="B561">
        <v>75</v>
      </c>
      <c r="C561">
        <v>70.8</v>
      </c>
      <c r="D561">
        <v>83.1</v>
      </c>
      <c r="E561">
        <v>74.099999999999994</v>
      </c>
      <c r="F561">
        <v>77.400000000000006</v>
      </c>
      <c r="G561">
        <v>75.75</v>
      </c>
      <c r="H561" t="s">
        <v>19</v>
      </c>
      <c r="I561">
        <v>4</v>
      </c>
      <c r="J561" t="s">
        <v>38</v>
      </c>
      <c r="K561">
        <v>73.2</v>
      </c>
      <c r="L561">
        <v>176</v>
      </c>
      <c r="M561">
        <v>84.3</v>
      </c>
      <c r="N561">
        <v>7.5</v>
      </c>
      <c r="O561">
        <v>3.9</v>
      </c>
      <c r="P561">
        <v>1</v>
      </c>
      <c r="Q561" t="s">
        <v>25</v>
      </c>
      <c r="R561" t="s">
        <v>33</v>
      </c>
    </row>
    <row r="562" spans="1:18" x14ac:dyDescent="0.25">
      <c r="A562" t="s">
        <v>590</v>
      </c>
      <c r="B562">
        <v>79.5</v>
      </c>
      <c r="C562">
        <v>82.2</v>
      </c>
      <c r="D562">
        <v>82.3</v>
      </c>
      <c r="E562">
        <v>78.7</v>
      </c>
      <c r="F562">
        <v>86.7</v>
      </c>
      <c r="G562">
        <v>82.7</v>
      </c>
      <c r="H562" t="s">
        <v>19</v>
      </c>
      <c r="I562">
        <v>4</v>
      </c>
      <c r="J562" t="s">
        <v>38</v>
      </c>
      <c r="K562">
        <v>85.2</v>
      </c>
      <c r="L562">
        <v>204</v>
      </c>
      <c r="M562">
        <v>88</v>
      </c>
      <c r="N562">
        <v>7.5</v>
      </c>
      <c r="O562">
        <v>1.4</v>
      </c>
      <c r="P562">
        <v>2</v>
      </c>
      <c r="Q562" t="s">
        <v>25</v>
      </c>
      <c r="R562" t="s">
        <v>33</v>
      </c>
    </row>
    <row r="563" spans="1:18" x14ac:dyDescent="0.25">
      <c r="A563" t="s">
        <v>591</v>
      </c>
      <c r="B563">
        <v>51.7</v>
      </c>
      <c r="C563">
        <v>53.8</v>
      </c>
      <c r="D563">
        <v>50.5</v>
      </c>
      <c r="E563">
        <v>51.7</v>
      </c>
      <c r="F563">
        <v>65.2</v>
      </c>
      <c r="G563">
        <v>58.45</v>
      </c>
      <c r="H563" t="s">
        <v>19</v>
      </c>
      <c r="I563">
        <v>5</v>
      </c>
      <c r="J563" t="s">
        <v>24</v>
      </c>
      <c r="K563">
        <v>73.3</v>
      </c>
      <c r="L563">
        <v>176</v>
      </c>
      <c r="M563">
        <v>99.7</v>
      </c>
      <c r="N563">
        <v>7</v>
      </c>
      <c r="O563">
        <v>5.7</v>
      </c>
      <c r="P563">
        <v>3</v>
      </c>
      <c r="Q563" t="s">
        <v>25</v>
      </c>
      <c r="R563" t="s">
        <v>22</v>
      </c>
    </row>
    <row r="564" spans="1:18" x14ac:dyDescent="0.25">
      <c r="A564" t="s">
        <v>592</v>
      </c>
      <c r="B564">
        <v>49.7</v>
      </c>
      <c r="C564">
        <v>50</v>
      </c>
      <c r="D564">
        <v>42.4</v>
      </c>
      <c r="E564">
        <v>47.5</v>
      </c>
      <c r="F564">
        <v>40.799999999999997</v>
      </c>
      <c r="G564">
        <v>44.15</v>
      </c>
      <c r="H564" t="s">
        <v>32</v>
      </c>
      <c r="I564">
        <v>2</v>
      </c>
      <c r="J564" t="s">
        <v>20</v>
      </c>
      <c r="K564">
        <v>59.7</v>
      </c>
      <c r="L564">
        <v>143</v>
      </c>
      <c r="M564">
        <v>72.2</v>
      </c>
      <c r="N564">
        <v>7.1</v>
      </c>
      <c r="O564">
        <v>2.8</v>
      </c>
      <c r="P564">
        <v>5</v>
      </c>
      <c r="Q564" t="s">
        <v>28</v>
      </c>
      <c r="R564" t="s">
        <v>26</v>
      </c>
    </row>
    <row r="565" spans="1:18" x14ac:dyDescent="0.25">
      <c r="A565" t="s">
        <v>593</v>
      </c>
      <c r="B565">
        <v>46.8</v>
      </c>
      <c r="C565">
        <v>38.200000000000003</v>
      </c>
      <c r="D565">
        <v>46.9</v>
      </c>
      <c r="E565">
        <v>40.799999999999997</v>
      </c>
      <c r="F565">
        <v>53.1</v>
      </c>
      <c r="G565">
        <v>46.95</v>
      </c>
      <c r="H565" t="s">
        <v>32</v>
      </c>
      <c r="I565">
        <v>3</v>
      </c>
      <c r="J565" t="s">
        <v>38</v>
      </c>
      <c r="K565">
        <v>53.1</v>
      </c>
      <c r="L565">
        <v>127</v>
      </c>
      <c r="M565">
        <v>82</v>
      </c>
      <c r="N565">
        <v>6.8</v>
      </c>
      <c r="O565">
        <v>5.6</v>
      </c>
      <c r="P565">
        <v>4</v>
      </c>
      <c r="Q565" t="s">
        <v>28</v>
      </c>
      <c r="R565" t="s">
        <v>22</v>
      </c>
    </row>
    <row r="566" spans="1:18" x14ac:dyDescent="0.25">
      <c r="A566" t="s">
        <v>594</v>
      </c>
      <c r="B566">
        <v>64</v>
      </c>
      <c r="C566">
        <v>48.5</v>
      </c>
      <c r="D566">
        <v>54.5</v>
      </c>
      <c r="E566">
        <v>59.3</v>
      </c>
      <c r="F566">
        <v>66.2</v>
      </c>
      <c r="G566">
        <v>62.75</v>
      </c>
      <c r="H566" t="s">
        <v>19</v>
      </c>
      <c r="I566">
        <v>3</v>
      </c>
      <c r="J566" t="s">
        <v>38</v>
      </c>
      <c r="K566">
        <v>71.2</v>
      </c>
      <c r="L566">
        <v>171</v>
      </c>
      <c r="M566">
        <v>83.5</v>
      </c>
      <c r="N566">
        <v>5.4</v>
      </c>
      <c r="O566">
        <v>4.9000000000000004</v>
      </c>
      <c r="P566">
        <v>2</v>
      </c>
      <c r="Q566" t="s">
        <v>25</v>
      </c>
      <c r="R566" t="s">
        <v>33</v>
      </c>
    </row>
    <row r="567" spans="1:18" x14ac:dyDescent="0.25">
      <c r="A567" t="s">
        <v>595</v>
      </c>
      <c r="B567">
        <v>65</v>
      </c>
      <c r="C567">
        <v>77.900000000000006</v>
      </c>
      <c r="D567">
        <v>80.599999999999994</v>
      </c>
      <c r="E567">
        <v>72.400000000000006</v>
      </c>
      <c r="F567">
        <v>74.8</v>
      </c>
      <c r="G567">
        <v>73.599999999999994</v>
      </c>
      <c r="H567" t="s">
        <v>19</v>
      </c>
      <c r="I567">
        <v>3</v>
      </c>
      <c r="J567" t="s">
        <v>20</v>
      </c>
      <c r="K567">
        <v>73.5</v>
      </c>
      <c r="L567">
        <v>176</v>
      </c>
      <c r="M567">
        <v>80.400000000000006</v>
      </c>
      <c r="N567">
        <v>7.8</v>
      </c>
      <c r="O567">
        <v>4.8</v>
      </c>
      <c r="P567">
        <v>8</v>
      </c>
      <c r="Q567" t="s">
        <v>21</v>
      </c>
      <c r="R567" t="s">
        <v>33</v>
      </c>
    </row>
    <row r="568" spans="1:18" x14ac:dyDescent="0.25">
      <c r="A568" t="s">
        <v>596</v>
      </c>
      <c r="B568">
        <v>48.8</v>
      </c>
      <c r="C568">
        <v>59.2</v>
      </c>
      <c r="D568">
        <v>60.2</v>
      </c>
      <c r="E568">
        <v>61.6</v>
      </c>
      <c r="F568">
        <v>55.5</v>
      </c>
      <c r="G568">
        <v>58.55</v>
      </c>
      <c r="H568" t="s">
        <v>19</v>
      </c>
      <c r="I568">
        <v>2</v>
      </c>
      <c r="J568" t="s">
        <v>20</v>
      </c>
      <c r="K568">
        <v>80.099999999999994</v>
      </c>
      <c r="L568">
        <v>192</v>
      </c>
      <c r="M568">
        <v>68.7</v>
      </c>
      <c r="N568">
        <v>7.5</v>
      </c>
      <c r="O568">
        <v>4</v>
      </c>
      <c r="P568">
        <v>4</v>
      </c>
      <c r="Q568" t="s">
        <v>28</v>
      </c>
      <c r="R568" t="s">
        <v>22</v>
      </c>
    </row>
    <row r="569" spans="1:18" x14ac:dyDescent="0.25">
      <c r="A569" t="s">
        <v>597</v>
      </c>
      <c r="B569">
        <v>68.7</v>
      </c>
      <c r="C569">
        <v>59.7</v>
      </c>
      <c r="D569">
        <v>72</v>
      </c>
      <c r="E569">
        <v>64.099999999999994</v>
      </c>
      <c r="F569">
        <v>79.2</v>
      </c>
      <c r="G569">
        <v>71.650000000000006</v>
      </c>
      <c r="H569" t="s">
        <v>19</v>
      </c>
      <c r="I569">
        <v>5</v>
      </c>
      <c r="J569" t="s">
        <v>24</v>
      </c>
      <c r="K569">
        <v>72.2</v>
      </c>
      <c r="L569">
        <v>173</v>
      </c>
      <c r="M569">
        <v>101.4</v>
      </c>
      <c r="N569">
        <v>6.6</v>
      </c>
      <c r="O569">
        <v>4.0999999999999996</v>
      </c>
      <c r="P569">
        <v>1</v>
      </c>
      <c r="Q569" t="s">
        <v>25</v>
      </c>
      <c r="R569" t="s">
        <v>33</v>
      </c>
    </row>
    <row r="570" spans="1:18" x14ac:dyDescent="0.25">
      <c r="A570" t="s">
        <v>598</v>
      </c>
      <c r="B570">
        <v>82.9</v>
      </c>
      <c r="C570">
        <v>93.2</v>
      </c>
      <c r="D570">
        <v>93.1</v>
      </c>
      <c r="E570">
        <v>89.7</v>
      </c>
      <c r="F570">
        <v>90.4</v>
      </c>
      <c r="G570">
        <v>90.05</v>
      </c>
      <c r="H570" t="s">
        <v>19</v>
      </c>
      <c r="I570">
        <v>4</v>
      </c>
      <c r="J570" t="s">
        <v>24</v>
      </c>
      <c r="K570">
        <v>80.900000000000006</v>
      </c>
      <c r="L570">
        <v>194</v>
      </c>
      <c r="M570">
        <v>86.2</v>
      </c>
      <c r="N570">
        <v>5.8</v>
      </c>
      <c r="O570">
        <v>4.2</v>
      </c>
      <c r="P570">
        <v>1</v>
      </c>
      <c r="Q570" t="s">
        <v>25</v>
      </c>
      <c r="R570" t="s">
        <v>26</v>
      </c>
    </row>
    <row r="571" spans="1:18" x14ac:dyDescent="0.25">
      <c r="A571" t="s">
        <v>599</v>
      </c>
      <c r="B571">
        <v>58</v>
      </c>
      <c r="C571">
        <v>57.2</v>
      </c>
      <c r="D571">
        <v>58.5</v>
      </c>
      <c r="E571">
        <v>59.2</v>
      </c>
      <c r="F571">
        <v>60.4</v>
      </c>
      <c r="G571">
        <v>59.8</v>
      </c>
      <c r="H571" t="s">
        <v>19</v>
      </c>
      <c r="I571">
        <v>3</v>
      </c>
      <c r="J571" t="s">
        <v>20</v>
      </c>
      <c r="K571">
        <v>63.8</v>
      </c>
      <c r="L571">
        <v>153</v>
      </c>
      <c r="M571">
        <v>80.2</v>
      </c>
      <c r="N571">
        <v>6.9</v>
      </c>
      <c r="O571">
        <v>4.0999999999999996</v>
      </c>
      <c r="P571">
        <v>4</v>
      </c>
      <c r="Q571" t="s">
        <v>28</v>
      </c>
      <c r="R571" t="s">
        <v>22</v>
      </c>
    </row>
    <row r="572" spans="1:18" x14ac:dyDescent="0.25">
      <c r="A572" t="s">
        <v>600</v>
      </c>
      <c r="B572">
        <v>62.4</v>
      </c>
      <c r="C572">
        <v>73.599999999999994</v>
      </c>
      <c r="D572">
        <v>65.7</v>
      </c>
      <c r="E572">
        <v>68.3</v>
      </c>
      <c r="F572">
        <v>70.2</v>
      </c>
      <c r="G572">
        <v>69.25</v>
      </c>
      <c r="H572" t="s">
        <v>19</v>
      </c>
      <c r="I572">
        <v>3</v>
      </c>
      <c r="J572" t="s">
        <v>38</v>
      </c>
      <c r="K572">
        <v>79.599999999999994</v>
      </c>
      <c r="L572">
        <v>191</v>
      </c>
      <c r="M572">
        <v>86.5</v>
      </c>
      <c r="N572">
        <v>6.1</v>
      </c>
      <c r="O572">
        <v>3.8</v>
      </c>
      <c r="P572">
        <v>6</v>
      </c>
      <c r="Q572" t="s">
        <v>28</v>
      </c>
      <c r="R572" t="s">
        <v>22</v>
      </c>
    </row>
    <row r="573" spans="1:18" x14ac:dyDescent="0.25">
      <c r="A573" t="s">
        <v>601</v>
      </c>
      <c r="B573">
        <v>74.099999999999994</v>
      </c>
      <c r="C573">
        <v>86.2</v>
      </c>
      <c r="D573">
        <v>81.400000000000006</v>
      </c>
      <c r="E573">
        <v>83.1</v>
      </c>
      <c r="F573">
        <v>83.2</v>
      </c>
      <c r="G573">
        <v>83.15</v>
      </c>
      <c r="H573" t="s">
        <v>19</v>
      </c>
      <c r="I573">
        <v>2</v>
      </c>
      <c r="J573" t="s">
        <v>20</v>
      </c>
      <c r="K573">
        <v>78.7</v>
      </c>
      <c r="L573">
        <v>189</v>
      </c>
      <c r="M573">
        <v>72.7</v>
      </c>
      <c r="N573">
        <v>6.4</v>
      </c>
      <c r="O573">
        <v>5.9</v>
      </c>
      <c r="P573">
        <v>2</v>
      </c>
      <c r="Q573" t="s">
        <v>25</v>
      </c>
      <c r="R573" t="s">
        <v>22</v>
      </c>
    </row>
    <row r="574" spans="1:18" x14ac:dyDescent="0.25">
      <c r="A574" t="s">
        <v>602</v>
      </c>
      <c r="B574">
        <v>64.5</v>
      </c>
      <c r="C574">
        <v>65.2</v>
      </c>
      <c r="D574">
        <v>64</v>
      </c>
      <c r="E574">
        <v>61.8</v>
      </c>
      <c r="F574">
        <v>86.6</v>
      </c>
      <c r="G574">
        <v>74.2</v>
      </c>
      <c r="H574" t="s">
        <v>19</v>
      </c>
      <c r="I574">
        <v>3</v>
      </c>
      <c r="J574" t="s">
        <v>38</v>
      </c>
      <c r="K574">
        <v>71.099999999999994</v>
      </c>
      <c r="L574">
        <v>171</v>
      </c>
      <c r="M574">
        <v>78.3</v>
      </c>
      <c r="N574">
        <v>6.8</v>
      </c>
      <c r="O574">
        <v>4.7</v>
      </c>
      <c r="P574">
        <v>1</v>
      </c>
      <c r="Q574" t="s">
        <v>25</v>
      </c>
      <c r="R574" t="s">
        <v>33</v>
      </c>
    </row>
    <row r="575" spans="1:18" x14ac:dyDescent="0.25">
      <c r="A575" t="s">
        <v>603</v>
      </c>
      <c r="B575">
        <v>78</v>
      </c>
      <c r="C575">
        <v>67.400000000000006</v>
      </c>
      <c r="D575">
        <v>74.599999999999994</v>
      </c>
      <c r="E575">
        <v>74.2</v>
      </c>
      <c r="F575">
        <v>75.900000000000006</v>
      </c>
      <c r="G575">
        <v>75.05</v>
      </c>
      <c r="H575" t="s">
        <v>19</v>
      </c>
      <c r="I575">
        <v>4</v>
      </c>
      <c r="J575" t="s">
        <v>38</v>
      </c>
      <c r="K575">
        <v>81.900000000000006</v>
      </c>
      <c r="L575">
        <v>197</v>
      </c>
      <c r="M575">
        <v>84.5</v>
      </c>
      <c r="N575">
        <v>6.1</v>
      </c>
      <c r="O575">
        <v>4.9000000000000004</v>
      </c>
      <c r="P575">
        <v>1</v>
      </c>
      <c r="Q575" t="s">
        <v>25</v>
      </c>
      <c r="R575" t="s">
        <v>26</v>
      </c>
    </row>
    <row r="576" spans="1:18" x14ac:dyDescent="0.25">
      <c r="A576" t="s">
        <v>604</v>
      </c>
      <c r="B576">
        <v>84.5</v>
      </c>
      <c r="C576">
        <v>93.5</v>
      </c>
      <c r="D576">
        <v>84.5</v>
      </c>
      <c r="E576">
        <v>87.4</v>
      </c>
      <c r="F576">
        <v>84.3</v>
      </c>
      <c r="G576">
        <v>85.85</v>
      </c>
      <c r="H576" t="s">
        <v>19</v>
      </c>
      <c r="I576">
        <v>3</v>
      </c>
      <c r="J576" t="s">
        <v>38</v>
      </c>
      <c r="K576">
        <v>81.3</v>
      </c>
      <c r="L576">
        <v>195</v>
      </c>
      <c r="M576">
        <v>77.7</v>
      </c>
      <c r="N576">
        <v>7</v>
      </c>
      <c r="O576">
        <v>5.4</v>
      </c>
      <c r="P576">
        <v>4</v>
      </c>
      <c r="Q576" t="s">
        <v>28</v>
      </c>
      <c r="R576" t="s">
        <v>22</v>
      </c>
    </row>
    <row r="577" spans="1:18" x14ac:dyDescent="0.25">
      <c r="A577" t="s">
        <v>605</v>
      </c>
      <c r="B577">
        <v>79.3</v>
      </c>
      <c r="C577">
        <v>93.5</v>
      </c>
      <c r="D577">
        <v>91.4</v>
      </c>
      <c r="E577">
        <v>92.2</v>
      </c>
      <c r="F577">
        <v>91.5</v>
      </c>
      <c r="G577">
        <v>91.85</v>
      </c>
      <c r="H577" t="s">
        <v>19</v>
      </c>
      <c r="I577">
        <v>5</v>
      </c>
      <c r="J577" t="s">
        <v>24</v>
      </c>
      <c r="K577">
        <v>85.9</v>
      </c>
      <c r="L577">
        <v>206</v>
      </c>
      <c r="M577">
        <v>102.3</v>
      </c>
      <c r="N577">
        <v>7.8</v>
      </c>
      <c r="O577">
        <v>2.1</v>
      </c>
      <c r="P577">
        <v>3</v>
      </c>
      <c r="Q577" t="s">
        <v>28</v>
      </c>
      <c r="R577" t="s">
        <v>22</v>
      </c>
    </row>
    <row r="578" spans="1:18" x14ac:dyDescent="0.25">
      <c r="A578" t="s">
        <v>606</v>
      </c>
      <c r="B578">
        <v>45.4</v>
      </c>
      <c r="C578">
        <v>46.2</v>
      </c>
      <c r="D578">
        <v>48.5</v>
      </c>
      <c r="E578">
        <v>48.1</v>
      </c>
      <c r="F578">
        <v>61.1</v>
      </c>
      <c r="G578">
        <v>54.6</v>
      </c>
      <c r="H578" t="s">
        <v>19</v>
      </c>
      <c r="I578">
        <v>3</v>
      </c>
      <c r="J578" t="s">
        <v>38</v>
      </c>
      <c r="K578">
        <v>64</v>
      </c>
      <c r="L578">
        <v>154</v>
      </c>
      <c r="M578">
        <v>89.6</v>
      </c>
      <c r="N578">
        <v>8.1</v>
      </c>
      <c r="O578">
        <v>1.4</v>
      </c>
      <c r="P578">
        <v>4</v>
      </c>
      <c r="Q578" t="s">
        <v>28</v>
      </c>
      <c r="R578" t="s">
        <v>33</v>
      </c>
    </row>
    <row r="579" spans="1:18" x14ac:dyDescent="0.25">
      <c r="A579" t="s">
        <v>607</v>
      </c>
      <c r="B579">
        <v>92.9</v>
      </c>
      <c r="C579">
        <v>91.7</v>
      </c>
      <c r="D579">
        <v>80.3</v>
      </c>
      <c r="E579">
        <v>91</v>
      </c>
      <c r="F579">
        <v>90.6</v>
      </c>
      <c r="G579">
        <v>90.8</v>
      </c>
      <c r="H579" t="s">
        <v>19</v>
      </c>
      <c r="I579">
        <v>3</v>
      </c>
      <c r="J579" t="s">
        <v>20</v>
      </c>
      <c r="K579">
        <v>88.9</v>
      </c>
      <c r="L579">
        <v>213</v>
      </c>
      <c r="M579">
        <v>72.8</v>
      </c>
      <c r="N579">
        <v>7</v>
      </c>
      <c r="O579">
        <v>3.4</v>
      </c>
      <c r="P579">
        <v>4</v>
      </c>
      <c r="Q579" t="s">
        <v>28</v>
      </c>
      <c r="R579" t="s">
        <v>26</v>
      </c>
    </row>
    <row r="580" spans="1:18" x14ac:dyDescent="0.25">
      <c r="A580" t="s">
        <v>608</v>
      </c>
      <c r="B580">
        <v>59.7</v>
      </c>
      <c r="C580">
        <v>58.2</v>
      </c>
      <c r="D580">
        <v>69.400000000000006</v>
      </c>
      <c r="E580">
        <v>67.099999999999994</v>
      </c>
      <c r="F580">
        <v>84.2</v>
      </c>
      <c r="G580">
        <v>75.650000000000006</v>
      </c>
      <c r="H580" t="s">
        <v>19</v>
      </c>
      <c r="I580">
        <v>4</v>
      </c>
      <c r="J580" t="s">
        <v>24</v>
      </c>
      <c r="K580">
        <v>76.5</v>
      </c>
      <c r="L580">
        <v>184</v>
      </c>
      <c r="M580">
        <v>95.4</v>
      </c>
      <c r="N580">
        <v>6.2</v>
      </c>
      <c r="O580">
        <v>3.6</v>
      </c>
      <c r="P580">
        <v>1</v>
      </c>
      <c r="Q580" t="s">
        <v>25</v>
      </c>
      <c r="R580" t="s">
        <v>22</v>
      </c>
    </row>
    <row r="581" spans="1:18" x14ac:dyDescent="0.25">
      <c r="A581" t="s">
        <v>609</v>
      </c>
      <c r="B581">
        <v>55.1</v>
      </c>
      <c r="C581">
        <v>56.2</v>
      </c>
      <c r="D581">
        <v>49.3</v>
      </c>
      <c r="E581">
        <v>54.2</v>
      </c>
      <c r="F581">
        <v>49.9</v>
      </c>
      <c r="G581">
        <v>52.05</v>
      </c>
      <c r="H581" t="s">
        <v>19</v>
      </c>
      <c r="I581">
        <v>2</v>
      </c>
      <c r="J581" t="s">
        <v>20</v>
      </c>
      <c r="K581">
        <v>66</v>
      </c>
      <c r="L581">
        <v>158</v>
      </c>
      <c r="M581">
        <v>67.400000000000006</v>
      </c>
      <c r="N581">
        <v>6.9</v>
      </c>
      <c r="O581">
        <v>5.0999999999999996</v>
      </c>
      <c r="P581">
        <v>3</v>
      </c>
      <c r="Q581" t="s">
        <v>28</v>
      </c>
      <c r="R581" t="s">
        <v>33</v>
      </c>
    </row>
    <row r="582" spans="1:18" x14ac:dyDescent="0.25">
      <c r="A582" t="s">
        <v>610</v>
      </c>
      <c r="B582">
        <v>65.2</v>
      </c>
      <c r="C582">
        <v>60.1</v>
      </c>
      <c r="D582">
        <v>59.5</v>
      </c>
      <c r="E582">
        <v>65.3</v>
      </c>
      <c r="F582">
        <v>69.7</v>
      </c>
      <c r="G582">
        <v>67.5</v>
      </c>
      <c r="H582" t="s">
        <v>19</v>
      </c>
      <c r="I582">
        <v>3</v>
      </c>
      <c r="J582" t="s">
        <v>20</v>
      </c>
      <c r="K582">
        <v>72.900000000000006</v>
      </c>
      <c r="L582">
        <v>175</v>
      </c>
      <c r="M582">
        <v>74.8</v>
      </c>
      <c r="N582">
        <v>6.9</v>
      </c>
      <c r="O582">
        <v>3.2</v>
      </c>
      <c r="P582">
        <v>3</v>
      </c>
      <c r="Q582" t="s">
        <v>25</v>
      </c>
      <c r="R582" t="s">
        <v>22</v>
      </c>
    </row>
    <row r="583" spans="1:18" x14ac:dyDescent="0.25">
      <c r="A583" t="s">
        <v>611</v>
      </c>
      <c r="B583">
        <v>96.8</v>
      </c>
      <c r="C583">
        <v>87.1</v>
      </c>
      <c r="D583">
        <v>85.5</v>
      </c>
      <c r="E583">
        <v>93.9</v>
      </c>
      <c r="F583">
        <v>77.900000000000006</v>
      </c>
      <c r="G583">
        <v>85.9</v>
      </c>
      <c r="H583" t="s">
        <v>19</v>
      </c>
      <c r="I583">
        <v>2</v>
      </c>
      <c r="J583" t="s">
        <v>20</v>
      </c>
      <c r="K583">
        <v>85.1</v>
      </c>
      <c r="L583">
        <v>204</v>
      </c>
      <c r="M583">
        <v>72.8</v>
      </c>
      <c r="N583">
        <v>6.1</v>
      </c>
      <c r="O583">
        <v>3.9</v>
      </c>
      <c r="P583">
        <v>2</v>
      </c>
      <c r="Q583" t="s">
        <v>25</v>
      </c>
      <c r="R583" t="s">
        <v>33</v>
      </c>
    </row>
    <row r="584" spans="1:18" x14ac:dyDescent="0.25">
      <c r="A584" t="s">
        <v>612</v>
      </c>
      <c r="B584">
        <v>67.7</v>
      </c>
      <c r="C584">
        <v>59.5</v>
      </c>
      <c r="D584">
        <v>58.1</v>
      </c>
      <c r="E584">
        <v>67.099999999999994</v>
      </c>
      <c r="F584">
        <v>59.1</v>
      </c>
      <c r="G584">
        <v>63.1</v>
      </c>
      <c r="H584" t="s">
        <v>19</v>
      </c>
      <c r="I584">
        <v>3</v>
      </c>
      <c r="J584" t="s">
        <v>20</v>
      </c>
      <c r="K584">
        <v>66.2</v>
      </c>
      <c r="L584">
        <v>159</v>
      </c>
      <c r="M584">
        <v>81</v>
      </c>
      <c r="N584">
        <v>7.6</v>
      </c>
      <c r="O584">
        <v>3.6</v>
      </c>
      <c r="P584">
        <v>2</v>
      </c>
      <c r="Q584" t="s">
        <v>25</v>
      </c>
      <c r="R584" t="s">
        <v>26</v>
      </c>
    </row>
    <row r="585" spans="1:18" x14ac:dyDescent="0.25">
      <c r="A585" t="s">
        <v>613</v>
      </c>
      <c r="B585">
        <v>53.2</v>
      </c>
      <c r="C585">
        <v>63.6</v>
      </c>
      <c r="D585">
        <v>51.3</v>
      </c>
      <c r="E585">
        <v>58.1</v>
      </c>
      <c r="F585">
        <v>64.5</v>
      </c>
      <c r="G585">
        <v>61.3</v>
      </c>
      <c r="H585" t="s">
        <v>19</v>
      </c>
      <c r="I585">
        <v>4</v>
      </c>
      <c r="J585" t="s">
        <v>24</v>
      </c>
      <c r="K585">
        <v>70.3</v>
      </c>
      <c r="L585">
        <v>169</v>
      </c>
      <c r="M585">
        <v>92.9</v>
      </c>
      <c r="N585">
        <v>8.6999999999999993</v>
      </c>
      <c r="O585">
        <v>1.2</v>
      </c>
      <c r="P585">
        <v>4</v>
      </c>
      <c r="Q585" t="s">
        <v>28</v>
      </c>
      <c r="R585" t="s">
        <v>33</v>
      </c>
    </row>
    <row r="586" spans="1:18" x14ac:dyDescent="0.25">
      <c r="A586" t="s">
        <v>614</v>
      </c>
      <c r="B586">
        <v>80.8</v>
      </c>
      <c r="C586">
        <v>71.7</v>
      </c>
      <c r="D586">
        <v>71.3</v>
      </c>
      <c r="E586">
        <v>74.8</v>
      </c>
      <c r="F586">
        <v>81.2</v>
      </c>
      <c r="G586">
        <v>78</v>
      </c>
      <c r="H586" t="s">
        <v>19</v>
      </c>
      <c r="I586">
        <v>3</v>
      </c>
      <c r="J586" t="s">
        <v>20</v>
      </c>
      <c r="K586">
        <v>86.9</v>
      </c>
      <c r="L586">
        <v>209</v>
      </c>
      <c r="M586">
        <v>90.7</v>
      </c>
      <c r="N586">
        <v>6.8</v>
      </c>
      <c r="O586">
        <v>4.0999999999999996</v>
      </c>
      <c r="P586">
        <v>2</v>
      </c>
      <c r="Q586" t="s">
        <v>25</v>
      </c>
      <c r="R586" t="s">
        <v>22</v>
      </c>
    </row>
    <row r="587" spans="1:18" x14ac:dyDescent="0.25">
      <c r="A587" t="s">
        <v>615</v>
      </c>
      <c r="B587">
        <v>52.4</v>
      </c>
      <c r="C587">
        <v>60.9</v>
      </c>
      <c r="D587">
        <v>63</v>
      </c>
      <c r="E587">
        <v>53.2</v>
      </c>
      <c r="F587">
        <v>67.3</v>
      </c>
      <c r="G587">
        <v>60.25</v>
      </c>
      <c r="H587" t="s">
        <v>19</v>
      </c>
      <c r="I587">
        <v>4</v>
      </c>
      <c r="J587" t="s">
        <v>24</v>
      </c>
      <c r="K587">
        <v>62.2</v>
      </c>
      <c r="L587">
        <v>149</v>
      </c>
      <c r="M587">
        <v>87.5</v>
      </c>
      <c r="N587">
        <v>7.5</v>
      </c>
      <c r="O587">
        <v>5.0999999999999996</v>
      </c>
      <c r="P587">
        <v>4</v>
      </c>
      <c r="Q587" t="s">
        <v>28</v>
      </c>
      <c r="R587" t="s">
        <v>22</v>
      </c>
    </row>
    <row r="588" spans="1:18" x14ac:dyDescent="0.25">
      <c r="A588" t="s">
        <v>616</v>
      </c>
      <c r="B588">
        <v>44</v>
      </c>
      <c r="C588">
        <v>41.5</v>
      </c>
      <c r="D588">
        <v>41.5</v>
      </c>
      <c r="E588">
        <v>44.2</v>
      </c>
      <c r="F588">
        <v>64</v>
      </c>
      <c r="G588">
        <v>54.1</v>
      </c>
      <c r="H588" t="s">
        <v>19</v>
      </c>
      <c r="I588">
        <v>3</v>
      </c>
      <c r="J588" t="s">
        <v>38</v>
      </c>
      <c r="K588">
        <v>58.2</v>
      </c>
      <c r="L588">
        <v>140</v>
      </c>
      <c r="M588">
        <v>85.7</v>
      </c>
      <c r="N588">
        <v>7.5</v>
      </c>
      <c r="O588">
        <v>1.8</v>
      </c>
      <c r="P588">
        <v>3</v>
      </c>
      <c r="Q588" t="s">
        <v>25</v>
      </c>
      <c r="R588" t="s">
        <v>33</v>
      </c>
    </row>
    <row r="589" spans="1:18" x14ac:dyDescent="0.25">
      <c r="A589" t="s">
        <v>617</v>
      </c>
      <c r="B589">
        <v>42.4</v>
      </c>
      <c r="C589">
        <v>38.6</v>
      </c>
      <c r="D589">
        <v>48</v>
      </c>
      <c r="E589">
        <v>47.1</v>
      </c>
      <c r="F589">
        <v>55.6</v>
      </c>
      <c r="G589">
        <v>51.35</v>
      </c>
      <c r="H589" t="s">
        <v>19</v>
      </c>
      <c r="I589">
        <v>2</v>
      </c>
      <c r="J589" t="s">
        <v>20</v>
      </c>
      <c r="K589">
        <v>59.2</v>
      </c>
      <c r="L589">
        <v>142</v>
      </c>
      <c r="M589">
        <v>71</v>
      </c>
      <c r="N589">
        <v>6.6</v>
      </c>
      <c r="O589">
        <v>4</v>
      </c>
      <c r="P589">
        <v>1</v>
      </c>
      <c r="Q589" t="s">
        <v>25</v>
      </c>
      <c r="R589" t="s">
        <v>26</v>
      </c>
    </row>
    <row r="590" spans="1:18" x14ac:dyDescent="0.25">
      <c r="A590" t="s">
        <v>618</v>
      </c>
      <c r="B590">
        <v>44.8</v>
      </c>
      <c r="C590">
        <v>41.5</v>
      </c>
      <c r="D590">
        <v>49</v>
      </c>
      <c r="E590">
        <v>47</v>
      </c>
      <c r="F590">
        <v>53.2</v>
      </c>
      <c r="G590">
        <v>50.1</v>
      </c>
      <c r="H590" t="s">
        <v>19</v>
      </c>
      <c r="I590">
        <v>4</v>
      </c>
      <c r="J590" t="s">
        <v>24</v>
      </c>
      <c r="K590">
        <v>67.099999999999994</v>
      </c>
      <c r="L590">
        <v>161</v>
      </c>
      <c r="M590">
        <v>88.1</v>
      </c>
      <c r="N590">
        <v>6.5</v>
      </c>
      <c r="O590">
        <v>4</v>
      </c>
      <c r="P590">
        <v>5</v>
      </c>
      <c r="Q590" t="s">
        <v>28</v>
      </c>
      <c r="R590" t="s">
        <v>26</v>
      </c>
    </row>
    <row r="591" spans="1:18" x14ac:dyDescent="0.25">
      <c r="A591" t="s">
        <v>619</v>
      </c>
      <c r="B591">
        <v>43.9</v>
      </c>
      <c r="C591">
        <v>54.5</v>
      </c>
      <c r="D591">
        <v>49</v>
      </c>
      <c r="E591">
        <v>48.4</v>
      </c>
      <c r="F591">
        <v>64.8</v>
      </c>
      <c r="G591">
        <v>56.6</v>
      </c>
      <c r="H591" t="s">
        <v>19</v>
      </c>
      <c r="I591">
        <v>2</v>
      </c>
      <c r="J591" t="s">
        <v>20</v>
      </c>
      <c r="K591">
        <v>66.400000000000006</v>
      </c>
      <c r="L591">
        <v>159</v>
      </c>
      <c r="M591">
        <v>69.5</v>
      </c>
      <c r="N591">
        <v>8.3000000000000007</v>
      </c>
      <c r="O591">
        <v>1.8</v>
      </c>
      <c r="P591">
        <v>1</v>
      </c>
      <c r="Q591" t="s">
        <v>25</v>
      </c>
      <c r="R591" t="s">
        <v>22</v>
      </c>
    </row>
    <row r="592" spans="1:18" x14ac:dyDescent="0.25">
      <c r="A592" t="s">
        <v>620</v>
      </c>
      <c r="B592">
        <v>46.8</v>
      </c>
      <c r="C592">
        <v>46.9</v>
      </c>
      <c r="D592">
        <v>47.2</v>
      </c>
      <c r="E592">
        <v>47.6</v>
      </c>
      <c r="F592">
        <v>45.9</v>
      </c>
      <c r="G592">
        <v>46.75</v>
      </c>
      <c r="H592" t="s">
        <v>32</v>
      </c>
      <c r="I592">
        <v>2</v>
      </c>
      <c r="J592" t="s">
        <v>20</v>
      </c>
      <c r="K592">
        <v>63</v>
      </c>
      <c r="L592">
        <v>151</v>
      </c>
      <c r="M592">
        <v>69.7</v>
      </c>
      <c r="N592">
        <v>7.1</v>
      </c>
      <c r="O592">
        <v>1.6</v>
      </c>
      <c r="P592">
        <v>5</v>
      </c>
      <c r="Q592" t="s">
        <v>28</v>
      </c>
      <c r="R592" t="s">
        <v>22</v>
      </c>
    </row>
    <row r="593" spans="1:18" x14ac:dyDescent="0.25">
      <c r="A593" t="s">
        <v>621</v>
      </c>
      <c r="B593">
        <v>83.8</v>
      </c>
      <c r="C593">
        <v>72.5</v>
      </c>
      <c r="D593">
        <v>69.3</v>
      </c>
      <c r="E593">
        <v>75.2</v>
      </c>
      <c r="F593">
        <v>71.900000000000006</v>
      </c>
      <c r="G593">
        <v>73.55</v>
      </c>
      <c r="H593" t="s">
        <v>19</v>
      </c>
      <c r="I593">
        <v>3</v>
      </c>
      <c r="J593" t="s">
        <v>20</v>
      </c>
      <c r="K593">
        <v>73</v>
      </c>
      <c r="L593">
        <v>175</v>
      </c>
      <c r="M593">
        <v>94.8</v>
      </c>
      <c r="N593">
        <v>6.6</v>
      </c>
      <c r="O593">
        <v>5.9</v>
      </c>
      <c r="P593">
        <v>6</v>
      </c>
      <c r="Q593" t="s">
        <v>21</v>
      </c>
      <c r="R593" t="s">
        <v>33</v>
      </c>
    </row>
    <row r="594" spans="1:18" x14ac:dyDescent="0.25">
      <c r="A594" t="s">
        <v>622</v>
      </c>
      <c r="B594">
        <v>43.1</v>
      </c>
      <c r="C594">
        <v>50.8</v>
      </c>
      <c r="D594">
        <v>57.3</v>
      </c>
      <c r="E594">
        <v>50</v>
      </c>
      <c r="F594">
        <v>62.4</v>
      </c>
      <c r="G594">
        <v>56.2</v>
      </c>
      <c r="H594" t="s">
        <v>19</v>
      </c>
      <c r="I594">
        <v>2</v>
      </c>
      <c r="J594" t="s">
        <v>20</v>
      </c>
      <c r="K594">
        <v>65.5</v>
      </c>
      <c r="L594">
        <v>157</v>
      </c>
      <c r="M594">
        <v>69.5</v>
      </c>
      <c r="N594">
        <v>6.8</v>
      </c>
      <c r="O594">
        <v>3</v>
      </c>
      <c r="P594">
        <v>1</v>
      </c>
      <c r="Q594" t="s">
        <v>25</v>
      </c>
      <c r="R594" t="s">
        <v>33</v>
      </c>
    </row>
    <row r="595" spans="1:18" x14ac:dyDescent="0.25">
      <c r="A595" t="s">
        <v>623</v>
      </c>
      <c r="B595">
        <v>50.9</v>
      </c>
      <c r="C595">
        <v>61.5</v>
      </c>
      <c r="D595">
        <v>68</v>
      </c>
      <c r="E595">
        <v>59</v>
      </c>
      <c r="F595">
        <v>52.5</v>
      </c>
      <c r="G595">
        <v>55.75</v>
      </c>
      <c r="H595" t="s">
        <v>19</v>
      </c>
      <c r="I595">
        <v>1</v>
      </c>
      <c r="J595" t="s">
        <v>140</v>
      </c>
      <c r="K595">
        <v>61.7</v>
      </c>
      <c r="L595">
        <v>148</v>
      </c>
      <c r="M595">
        <v>54.7</v>
      </c>
      <c r="N595">
        <v>7.1</v>
      </c>
      <c r="O595">
        <v>2.1</v>
      </c>
      <c r="P595">
        <v>3</v>
      </c>
      <c r="Q595" t="s">
        <v>28</v>
      </c>
      <c r="R595" t="s">
        <v>33</v>
      </c>
    </row>
    <row r="596" spans="1:18" x14ac:dyDescent="0.25">
      <c r="A596" t="s">
        <v>624</v>
      </c>
      <c r="B596">
        <v>96.7</v>
      </c>
      <c r="C596">
        <v>94.9</v>
      </c>
      <c r="D596">
        <v>80.900000000000006</v>
      </c>
      <c r="E596">
        <v>89.3</v>
      </c>
      <c r="F596">
        <v>93</v>
      </c>
      <c r="G596">
        <v>91.15</v>
      </c>
      <c r="H596" t="s">
        <v>19</v>
      </c>
      <c r="I596">
        <v>4</v>
      </c>
      <c r="J596" t="s">
        <v>38</v>
      </c>
      <c r="K596">
        <v>85.4</v>
      </c>
      <c r="L596">
        <v>205</v>
      </c>
      <c r="M596">
        <v>87.3</v>
      </c>
      <c r="N596">
        <v>8</v>
      </c>
      <c r="O596">
        <v>1.9</v>
      </c>
      <c r="P596">
        <v>4</v>
      </c>
      <c r="Q596" t="s">
        <v>28</v>
      </c>
      <c r="R596" t="s">
        <v>26</v>
      </c>
    </row>
    <row r="597" spans="1:18" x14ac:dyDescent="0.25">
      <c r="A597" t="s">
        <v>625</v>
      </c>
      <c r="B597">
        <v>65</v>
      </c>
      <c r="C597">
        <v>73.3</v>
      </c>
      <c r="D597">
        <v>60.9</v>
      </c>
      <c r="E597">
        <v>66.099999999999994</v>
      </c>
      <c r="F597">
        <v>76.2</v>
      </c>
      <c r="G597">
        <v>71.150000000000006</v>
      </c>
      <c r="H597" t="s">
        <v>19</v>
      </c>
      <c r="I597">
        <v>3</v>
      </c>
      <c r="J597" t="s">
        <v>20</v>
      </c>
      <c r="K597">
        <v>77.400000000000006</v>
      </c>
      <c r="L597">
        <v>186</v>
      </c>
      <c r="M597">
        <v>70.099999999999994</v>
      </c>
      <c r="N597">
        <v>6.5</v>
      </c>
      <c r="O597">
        <v>4.3</v>
      </c>
      <c r="P597">
        <v>5</v>
      </c>
      <c r="Q597" t="s">
        <v>28</v>
      </c>
      <c r="R597" t="s">
        <v>26</v>
      </c>
    </row>
    <row r="598" spans="1:18" x14ac:dyDescent="0.25">
      <c r="A598" t="s">
        <v>626</v>
      </c>
      <c r="B598">
        <v>73.400000000000006</v>
      </c>
      <c r="C598">
        <v>74.900000000000006</v>
      </c>
      <c r="D598">
        <v>75.3</v>
      </c>
      <c r="E598">
        <v>76.7</v>
      </c>
      <c r="F598">
        <v>84.1</v>
      </c>
      <c r="G598">
        <v>80.400000000000006</v>
      </c>
      <c r="H598" t="s">
        <v>19</v>
      </c>
      <c r="I598">
        <v>3</v>
      </c>
      <c r="J598" t="s">
        <v>20</v>
      </c>
      <c r="K598">
        <v>72.099999999999994</v>
      </c>
      <c r="L598">
        <v>173</v>
      </c>
      <c r="M598">
        <v>77.400000000000006</v>
      </c>
      <c r="N598">
        <v>6.6</v>
      </c>
      <c r="O598">
        <v>4</v>
      </c>
      <c r="P598">
        <v>2</v>
      </c>
      <c r="Q598" t="s">
        <v>25</v>
      </c>
      <c r="R598" t="s">
        <v>22</v>
      </c>
    </row>
    <row r="599" spans="1:18" x14ac:dyDescent="0.25">
      <c r="A599" t="s">
        <v>627</v>
      </c>
      <c r="B599">
        <v>54.7</v>
      </c>
      <c r="C599">
        <v>42.8</v>
      </c>
      <c r="D599">
        <v>44.7</v>
      </c>
      <c r="E599">
        <v>49.5</v>
      </c>
      <c r="F599">
        <v>60.9</v>
      </c>
      <c r="G599">
        <v>55.2</v>
      </c>
      <c r="H599" t="s">
        <v>19</v>
      </c>
      <c r="I599">
        <v>5</v>
      </c>
      <c r="J599" t="s">
        <v>24</v>
      </c>
      <c r="K599">
        <v>57.1</v>
      </c>
      <c r="L599">
        <v>137</v>
      </c>
      <c r="M599">
        <v>98.8</v>
      </c>
      <c r="N599">
        <v>7.3</v>
      </c>
      <c r="O599">
        <v>4.2</v>
      </c>
      <c r="P599">
        <v>2</v>
      </c>
      <c r="Q599" t="s">
        <v>25</v>
      </c>
      <c r="R599" t="s">
        <v>22</v>
      </c>
    </row>
    <row r="600" spans="1:18" x14ac:dyDescent="0.25">
      <c r="A600" t="s">
        <v>628</v>
      </c>
      <c r="B600">
        <v>47.5</v>
      </c>
      <c r="C600">
        <v>48.5</v>
      </c>
      <c r="D600">
        <v>53.1</v>
      </c>
      <c r="E600">
        <v>50.6</v>
      </c>
      <c r="F600">
        <v>79.8</v>
      </c>
      <c r="G600">
        <v>65.2</v>
      </c>
      <c r="H600" t="s">
        <v>19</v>
      </c>
      <c r="I600">
        <v>3</v>
      </c>
      <c r="J600" t="s">
        <v>38</v>
      </c>
      <c r="K600">
        <v>73.2</v>
      </c>
      <c r="L600">
        <v>176</v>
      </c>
      <c r="M600">
        <v>86.8</v>
      </c>
      <c r="N600">
        <v>8.4</v>
      </c>
      <c r="O600">
        <v>1.4</v>
      </c>
      <c r="P600">
        <v>1</v>
      </c>
      <c r="Q600" t="s">
        <v>25</v>
      </c>
      <c r="R600" t="s">
        <v>22</v>
      </c>
    </row>
    <row r="601" spans="1:18" x14ac:dyDescent="0.25">
      <c r="A601" t="s">
        <v>629</v>
      </c>
      <c r="B601">
        <v>51.4</v>
      </c>
      <c r="C601">
        <v>43.5</v>
      </c>
      <c r="D601">
        <v>38.6</v>
      </c>
      <c r="E601">
        <v>42.2</v>
      </c>
      <c r="F601">
        <v>68.8</v>
      </c>
      <c r="G601">
        <v>55.5</v>
      </c>
      <c r="H601" t="s">
        <v>19</v>
      </c>
      <c r="I601">
        <v>5</v>
      </c>
      <c r="J601" t="s">
        <v>24</v>
      </c>
      <c r="K601">
        <v>58.1</v>
      </c>
      <c r="L601">
        <v>139</v>
      </c>
      <c r="M601">
        <v>99.4</v>
      </c>
      <c r="N601">
        <v>6.7</v>
      </c>
      <c r="O601">
        <v>5.5</v>
      </c>
      <c r="P601">
        <v>1</v>
      </c>
      <c r="Q601" t="s">
        <v>25</v>
      </c>
      <c r="R601" t="s">
        <v>33</v>
      </c>
    </row>
    <row r="602" spans="1:18" x14ac:dyDescent="0.25">
      <c r="A602" t="s">
        <v>630</v>
      </c>
      <c r="B602">
        <v>52.7</v>
      </c>
      <c r="C602">
        <v>44.5</v>
      </c>
      <c r="D602">
        <v>60.1</v>
      </c>
      <c r="E602">
        <v>49.3</v>
      </c>
      <c r="F602">
        <v>57.3</v>
      </c>
      <c r="G602">
        <v>53.3</v>
      </c>
      <c r="H602" t="s">
        <v>19</v>
      </c>
      <c r="I602">
        <v>2</v>
      </c>
      <c r="J602" t="s">
        <v>20</v>
      </c>
      <c r="K602">
        <v>70.3</v>
      </c>
      <c r="L602">
        <v>169</v>
      </c>
      <c r="M602">
        <v>63.1</v>
      </c>
      <c r="N602">
        <v>6.8</v>
      </c>
      <c r="O602">
        <v>2.9</v>
      </c>
      <c r="P602">
        <v>3</v>
      </c>
      <c r="Q602" t="s">
        <v>28</v>
      </c>
      <c r="R602" t="s">
        <v>26</v>
      </c>
    </row>
    <row r="603" spans="1:18" x14ac:dyDescent="0.25">
      <c r="A603" t="s">
        <v>631</v>
      </c>
      <c r="B603">
        <v>52.9</v>
      </c>
      <c r="C603">
        <v>50.5</v>
      </c>
      <c r="D603">
        <v>61.3</v>
      </c>
      <c r="E603">
        <v>55.3</v>
      </c>
      <c r="F603">
        <v>63.9</v>
      </c>
      <c r="G603">
        <v>59.6</v>
      </c>
      <c r="H603" t="s">
        <v>19</v>
      </c>
      <c r="I603">
        <v>3</v>
      </c>
      <c r="J603" t="s">
        <v>38</v>
      </c>
      <c r="K603">
        <v>66.900000000000006</v>
      </c>
      <c r="L603">
        <v>161</v>
      </c>
      <c r="M603">
        <v>82</v>
      </c>
      <c r="N603">
        <v>7</v>
      </c>
      <c r="O603">
        <v>2.6</v>
      </c>
      <c r="P603">
        <v>2</v>
      </c>
      <c r="Q603" t="s">
        <v>25</v>
      </c>
      <c r="R603" t="s">
        <v>22</v>
      </c>
    </row>
    <row r="604" spans="1:18" x14ac:dyDescent="0.25">
      <c r="A604" t="s">
        <v>632</v>
      </c>
      <c r="B604">
        <v>60.5</v>
      </c>
      <c r="C604">
        <v>51.5</v>
      </c>
      <c r="D604">
        <v>50.8</v>
      </c>
      <c r="E604">
        <v>49.7</v>
      </c>
      <c r="F604">
        <v>68.900000000000006</v>
      </c>
      <c r="G604">
        <v>59.3</v>
      </c>
      <c r="H604" t="s">
        <v>19</v>
      </c>
      <c r="I604">
        <v>5</v>
      </c>
      <c r="J604" t="s">
        <v>24</v>
      </c>
      <c r="K604">
        <v>64.099999999999994</v>
      </c>
      <c r="L604">
        <v>154</v>
      </c>
      <c r="M604">
        <v>90.9</v>
      </c>
      <c r="N604">
        <v>7</v>
      </c>
      <c r="O604">
        <v>3.3</v>
      </c>
      <c r="P604">
        <v>3</v>
      </c>
      <c r="Q604" t="s">
        <v>28</v>
      </c>
      <c r="R604" t="s">
        <v>22</v>
      </c>
    </row>
    <row r="605" spans="1:18" x14ac:dyDescent="0.25">
      <c r="A605" t="s">
        <v>633</v>
      </c>
      <c r="B605">
        <v>41.9</v>
      </c>
      <c r="C605">
        <v>44.6</v>
      </c>
      <c r="D605">
        <v>50</v>
      </c>
      <c r="E605">
        <v>44.9</v>
      </c>
      <c r="F605">
        <v>59.4</v>
      </c>
      <c r="G605">
        <v>52.15</v>
      </c>
      <c r="H605" t="s">
        <v>19</v>
      </c>
      <c r="I605">
        <v>3</v>
      </c>
      <c r="J605" t="s">
        <v>38</v>
      </c>
      <c r="K605">
        <v>64.599999999999994</v>
      </c>
      <c r="L605">
        <v>155</v>
      </c>
      <c r="M605">
        <v>77.7</v>
      </c>
      <c r="N605">
        <v>7.3</v>
      </c>
      <c r="O605">
        <v>3</v>
      </c>
      <c r="P605">
        <v>2</v>
      </c>
      <c r="Q605" t="s">
        <v>25</v>
      </c>
      <c r="R605" t="s">
        <v>22</v>
      </c>
    </row>
    <row r="606" spans="1:18" x14ac:dyDescent="0.25">
      <c r="A606" t="s">
        <v>634</v>
      </c>
      <c r="B606">
        <v>50.3</v>
      </c>
      <c r="C606">
        <v>46.8</v>
      </c>
      <c r="D606">
        <v>52.2</v>
      </c>
      <c r="E606">
        <v>46.6</v>
      </c>
      <c r="F606">
        <v>53.6</v>
      </c>
      <c r="G606">
        <v>50.1</v>
      </c>
      <c r="H606" t="s">
        <v>19</v>
      </c>
      <c r="I606">
        <v>4</v>
      </c>
      <c r="J606" t="s">
        <v>38</v>
      </c>
      <c r="K606">
        <v>58.9</v>
      </c>
      <c r="L606">
        <v>141</v>
      </c>
      <c r="M606">
        <v>90.3</v>
      </c>
      <c r="N606">
        <v>5.9</v>
      </c>
      <c r="O606">
        <v>5.3</v>
      </c>
      <c r="P606">
        <v>5</v>
      </c>
      <c r="Q606" t="s">
        <v>28</v>
      </c>
      <c r="R606" t="s">
        <v>22</v>
      </c>
    </row>
    <row r="607" spans="1:18" x14ac:dyDescent="0.25">
      <c r="A607" t="s">
        <v>635</v>
      </c>
      <c r="B607">
        <v>66.8</v>
      </c>
      <c r="C607">
        <v>61.6</v>
      </c>
      <c r="D607">
        <v>62.5</v>
      </c>
      <c r="E607">
        <v>65.3</v>
      </c>
      <c r="F607">
        <v>60.9</v>
      </c>
      <c r="G607">
        <v>63.1</v>
      </c>
      <c r="H607" t="s">
        <v>19</v>
      </c>
      <c r="I607">
        <v>3</v>
      </c>
      <c r="J607" t="s">
        <v>20</v>
      </c>
      <c r="K607">
        <v>73.3</v>
      </c>
      <c r="L607">
        <v>176</v>
      </c>
      <c r="M607">
        <v>68.5</v>
      </c>
      <c r="N607">
        <v>6.7</v>
      </c>
      <c r="O607">
        <v>5.6</v>
      </c>
      <c r="P607">
        <v>5</v>
      </c>
      <c r="Q607" t="s">
        <v>28</v>
      </c>
      <c r="R607" t="s">
        <v>22</v>
      </c>
    </row>
    <row r="608" spans="1:18" x14ac:dyDescent="0.25">
      <c r="A608" t="s">
        <v>636</v>
      </c>
      <c r="B608">
        <v>57.9</v>
      </c>
      <c r="C608">
        <v>50.2</v>
      </c>
      <c r="D608">
        <v>47.3</v>
      </c>
      <c r="E608">
        <v>51.3</v>
      </c>
      <c r="F608">
        <v>53.9</v>
      </c>
      <c r="G608">
        <v>52.6</v>
      </c>
      <c r="H608" t="s">
        <v>19</v>
      </c>
      <c r="I608">
        <v>1</v>
      </c>
      <c r="J608" t="s">
        <v>20</v>
      </c>
      <c r="K608">
        <v>63.8</v>
      </c>
      <c r="L608">
        <v>153</v>
      </c>
      <c r="M608">
        <v>61.6</v>
      </c>
      <c r="N608">
        <v>7.3</v>
      </c>
      <c r="O608">
        <v>2.5</v>
      </c>
      <c r="P608">
        <v>5</v>
      </c>
      <c r="Q608" t="s">
        <v>28</v>
      </c>
      <c r="R608" t="s">
        <v>22</v>
      </c>
    </row>
    <row r="609" spans="1:18" x14ac:dyDescent="0.25">
      <c r="A609" t="s">
        <v>637</v>
      </c>
      <c r="B609">
        <v>67.8</v>
      </c>
      <c r="C609">
        <v>55.4</v>
      </c>
      <c r="D609">
        <v>60.4</v>
      </c>
      <c r="E609">
        <v>60</v>
      </c>
      <c r="F609">
        <v>61.9</v>
      </c>
      <c r="G609">
        <v>60.95</v>
      </c>
      <c r="H609" t="s">
        <v>19</v>
      </c>
      <c r="I609">
        <v>3</v>
      </c>
      <c r="J609" t="s">
        <v>20</v>
      </c>
      <c r="K609">
        <v>63.4</v>
      </c>
      <c r="L609">
        <v>152</v>
      </c>
      <c r="M609">
        <v>73.3</v>
      </c>
      <c r="N609">
        <v>5.5</v>
      </c>
      <c r="O609">
        <v>5.3</v>
      </c>
      <c r="P609">
        <v>6</v>
      </c>
      <c r="Q609" t="s">
        <v>21</v>
      </c>
      <c r="R609" t="s">
        <v>26</v>
      </c>
    </row>
    <row r="610" spans="1:18" x14ac:dyDescent="0.25">
      <c r="A610" t="s">
        <v>638</v>
      </c>
      <c r="B610">
        <v>67.8</v>
      </c>
      <c r="C610">
        <v>72.099999999999994</v>
      </c>
      <c r="D610">
        <v>72</v>
      </c>
      <c r="E610">
        <v>67.7</v>
      </c>
      <c r="F610">
        <v>66</v>
      </c>
      <c r="G610">
        <v>66.849999999999994</v>
      </c>
      <c r="H610" t="s">
        <v>19</v>
      </c>
      <c r="I610">
        <v>3</v>
      </c>
      <c r="J610" t="s">
        <v>20</v>
      </c>
      <c r="K610">
        <v>75.5</v>
      </c>
      <c r="L610">
        <v>181</v>
      </c>
      <c r="M610">
        <v>78.5</v>
      </c>
      <c r="N610">
        <v>6.1</v>
      </c>
      <c r="O610">
        <v>4.9000000000000004</v>
      </c>
      <c r="P610">
        <v>5</v>
      </c>
      <c r="Q610" t="s">
        <v>28</v>
      </c>
      <c r="R610" t="s">
        <v>22</v>
      </c>
    </row>
    <row r="611" spans="1:18" x14ac:dyDescent="0.25">
      <c r="A611" t="s">
        <v>639</v>
      </c>
      <c r="B611">
        <v>74.2</v>
      </c>
      <c r="C611">
        <v>83.1</v>
      </c>
      <c r="D611">
        <v>78.7</v>
      </c>
      <c r="E611">
        <v>78</v>
      </c>
      <c r="F611">
        <v>77.2</v>
      </c>
      <c r="G611">
        <v>77.599999999999994</v>
      </c>
      <c r="H611" t="s">
        <v>19</v>
      </c>
      <c r="I611">
        <v>5</v>
      </c>
      <c r="J611" t="s">
        <v>24</v>
      </c>
      <c r="K611">
        <v>77.7</v>
      </c>
      <c r="L611">
        <v>186</v>
      </c>
      <c r="M611">
        <v>103.7</v>
      </c>
      <c r="N611">
        <v>6.1</v>
      </c>
      <c r="O611">
        <v>5.7</v>
      </c>
      <c r="P611">
        <v>3</v>
      </c>
      <c r="Q611" t="s">
        <v>25</v>
      </c>
      <c r="R611" t="s">
        <v>26</v>
      </c>
    </row>
    <row r="612" spans="1:18" x14ac:dyDescent="0.25">
      <c r="A612" t="s">
        <v>640</v>
      </c>
      <c r="B612">
        <v>44.5</v>
      </c>
      <c r="C612">
        <v>32.9</v>
      </c>
      <c r="D612">
        <v>34.299999999999997</v>
      </c>
      <c r="E612">
        <v>42.2</v>
      </c>
      <c r="F612">
        <v>48.8</v>
      </c>
      <c r="G612">
        <v>45.5</v>
      </c>
      <c r="H612" t="s">
        <v>32</v>
      </c>
      <c r="I612">
        <v>2</v>
      </c>
      <c r="J612" t="s">
        <v>20</v>
      </c>
      <c r="K612">
        <v>60.3</v>
      </c>
      <c r="L612">
        <v>145</v>
      </c>
      <c r="M612">
        <v>63.3</v>
      </c>
      <c r="N612">
        <v>7.3</v>
      </c>
      <c r="O612">
        <v>2.2000000000000002</v>
      </c>
      <c r="P612">
        <v>4</v>
      </c>
      <c r="Q612" t="s">
        <v>28</v>
      </c>
      <c r="R612" t="s">
        <v>33</v>
      </c>
    </row>
    <row r="613" spans="1:18" x14ac:dyDescent="0.25">
      <c r="A613" t="s">
        <v>641</v>
      </c>
      <c r="B613">
        <v>80.599999999999994</v>
      </c>
      <c r="C613">
        <v>79.3</v>
      </c>
      <c r="D613">
        <v>80</v>
      </c>
      <c r="E613">
        <v>84</v>
      </c>
      <c r="F613">
        <v>85</v>
      </c>
      <c r="G613">
        <v>84.5</v>
      </c>
      <c r="H613" t="s">
        <v>19</v>
      </c>
      <c r="I613">
        <v>5</v>
      </c>
      <c r="J613" t="s">
        <v>24</v>
      </c>
      <c r="K613">
        <v>75.900000000000006</v>
      </c>
      <c r="L613">
        <v>182</v>
      </c>
      <c r="M613">
        <v>89.4</v>
      </c>
      <c r="N613">
        <v>7.8</v>
      </c>
      <c r="O613">
        <v>3.9</v>
      </c>
      <c r="P613">
        <v>2</v>
      </c>
      <c r="Q613" t="s">
        <v>25</v>
      </c>
      <c r="R613" t="s">
        <v>26</v>
      </c>
    </row>
    <row r="614" spans="1:18" x14ac:dyDescent="0.25">
      <c r="A614" t="s">
        <v>642</v>
      </c>
      <c r="B614">
        <v>84.6</v>
      </c>
      <c r="C614">
        <v>67.099999999999994</v>
      </c>
      <c r="D614">
        <v>74.2</v>
      </c>
      <c r="E614">
        <v>74.5</v>
      </c>
      <c r="F614">
        <v>79.400000000000006</v>
      </c>
      <c r="G614">
        <v>76.95</v>
      </c>
      <c r="H614" t="s">
        <v>19</v>
      </c>
      <c r="I614">
        <v>5</v>
      </c>
      <c r="J614" t="s">
        <v>24</v>
      </c>
      <c r="K614">
        <v>85.2</v>
      </c>
      <c r="L614">
        <v>204</v>
      </c>
      <c r="M614">
        <v>97.7</v>
      </c>
      <c r="N614">
        <v>7.4</v>
      </c>
      <c r="O614">
        <v>2.4</v>
      </c>
      <c r="P614">
        <v>5</v>
      </c>
      <c r="Q614" t="s">
        <v>28</v>
      </c>
      <c r="R614" t="s">
        <v>33</v>
      </c>
    </row>
    <row r="615" spans="1:18" x14ac:dyDescent="0.25">
      <c r="A615" t="s">
        <v>643</v>
      </c>
      <c r="B615">
        <v>45.2</v>
      </c>
      <c r="C615">
        <v>41.2</v>
      </c>
      <c r="D615">
        <v>44.1</v>
      </c>
      <c r="E615">
        <v>44.5</v>
      </c>
      <c r="F615">
        <v>42.7</v>
      </c>
      <c r="G615">
        <v>43.6</v>
      </c>
      <c r="H615" t="s">
        <v>32</v>
      </c>
      <c r="I615">
        <v>2</v>
      </c>
      <c r="J615" t="s">
        <v>20</v>
      </c>
      <c r="K615">
        <v>66.599999999999994</v>
      </c>
      <c r="L615">
        <v>160</v>
      </c>
      <c r="M615">
        <v>70</v>
      </c>
      <c r="N615">
        <v>6</v>
      </c>
      <c r="O615">
        <v>5.0999999999999996</v>
      </c>
      <c r="P615">
        <v>6</v>
      </c>
      <c r="Q615" t="s">
        <v>21</v>
      </c>
      <c r="R615" t="s">
        <v>26</v>
      </c>
    </row>
    <row r="616" spans="1:18" x14ac:dyDescent="0.25">
      <c r="A616" t="s">
        <v>644</v>
      </c>
      <c r="B616">
        <v>86.2</v>
      </c>
      <c r="C616">
        <v>87.6</v>
      </c>
      <c r="D616">
        <v>97.9</v>
      </c>
      <c r="E616">
        <v>88</v>
      </c>
      <c r="F616">
        <v>83.6</v>
      </c>
      <c r="G616">
        <v>85.8</v>
      </c>
      <c r="H616" t="s">
        <v>19</v>
      </c>
      <c r="I616">
        <v>2</v>
      </c>
      <c r="J616" t="s">
        <v>20</v>
      </c>
      <c r="K616">
        <v>88.8</v>
      </c>
      <c r="L616">
        <v>213</v>
      </c>
      <c r="M616">
        <v>75</v>
      </c>
      <c r="N616">
        <v>7.8</v>
      </c>
      <c r="O616">
        <v>1</v>
      </c>
      <c r="P616">
        <v>2</v>
      </c>
      <c r="Q616" t="s">
        <v>25</v>
      </c>
      <c r="R616" t="s">
        <v>26</v>
      </c>
    </row>
    <row r="617" spans="1:18" x14ac:dyDescent="0.25">
      <c r="A617" t="s">
        <v>645</v>
      </c>
      <c r="B617">
        <v>91.6</v>
      </c>
      <c r="C617">
        <v>83.4</v>
      </c>
      <c r="D617">
        <v>83.7</v>
      </c>
      <c r="E617">
        <v>90.6</v>
      </c>
      <c r="F617">
        <v>79.2</v>
      </c>
      <c r="G617">
        <v>84.9</v>
      </c>
      <c r="H617" t="s">
        <v>19</v>
      </c>
      <c r="I617">
        <v>5</v>
      </c>
      <c r="J617" t="s">
        <v>24</v>
      </c>
      <c r="K617">
        <v>83.8</v>
      </c>
      <c r="L617">
        <v>201</v>
      </c>
      <c r="M617">
        <v>93.6</v>
      </c>
      <c r="N617">
        <v>6.7</v>
      </c>
      <c r="O617">
        <v>3.8</v>
      </c>
      <c r="P617">
        <v>6</v>
      </c>
      <c r="Q617" t="s">
        <v>21</v>
      </c>
      <c r="R617" t="s">
        <v>22</v>
      </c>
    </row>
    <row r="618" spans="1:18" x14ac:dyDescent="0.25">
      <c r="A618" t="s">
        <v>646</v>
      </c>
      <c r="B618">
        <v>36.6</v>
      </c>
      <c r="C618">
        <v>38.700000000000003</v>
      </c>
      <c r="D618">
        <v>45.9</v>
      </c>
      <c r="E618">
        <v>43.4</v>
      </c>
      <c r="F618">
        <v>63.1</v>
      </c>
      <c r="G618">
        <v>53.25</v>
      </c>
      <c r="H618" t="s">
        <v>19</v>
      </c>
      <c r="I618">
        <v>5</v>
      </c>
      <c r="J618" t="s">
        <v>24</v>
      </c>
      <c r="K618">
        <v>53</v>
      </c>
      <c r="L618">
        <v>127</v>
      </c>
      <c r="M618">
        <v>97.7</v>
      </c>
      <c r="N618">
        <v>7.4</v>
      </c>
      <c r="O618">
        <v>2.7</v>
      </c>
      <c r="P618">
        <v>1</v>
      </c>
      <c r="Q618" t="s">
        <v>25</v>
      </c>
      <c r="R618" t="s">
        <v>26</v>
      </c>
    </row>
    <row r="619" spans="1:18" x14ac:dyDescent="0.25">
      <c r="A619" t="s">
        <v>647</v>
      </c>
      <c r="B619">
        <v>50.4</v>
      </c>
      <c r="C619">
        <v>50.2</v>
      </c>
      <c r="D619">
        <v>62.7</v>
      </c>
      <c r="E619">
        <v>55.2</v>
      </c>
      <c r="F619">
        <v>68.5</v>
      </c>
      <c r="G619">
        <v>61.85</v>
      </c>
      <c r="H619" t="s">
        <v>19</v>
      </c>
      <c r="I619">
        <v>3</v>
      </c>
      <c r="J619" t="s">
        <v>20</v>
      </c>
      <c r="K619">
        <v>77.400000000000006</v>
      </c>
      <c r="L619">
        <v>186</v>
      </c>
      <c r="M619">
        <v>79.599999999999994</v>
      </c>
      <c r="N619">
        <v>7.5</v>
      </c>
      <c r="O619">
        <v>2.6</v>
      </c>
      <c r="P619">
        <v>1</v>
      </c>
      <c r="Q619" t="s">
        <v>25</v>
      </c>
      <c r="R619" t="s">
        <v>26</v>
      </c>
    </row>
    <row r="620" spans="1:18" x14ac:dyDescent="0.25">
      <c r="A620" t="s">
        <v>648</v>
      </c>
      <c r="B620">
        <v>90.3</v>
      </c>
      <c r="C620">
        <v>85.4</v>
      </c>
      <c r="D620">
        <v>95.7</v>
      </c>
      <c r="E620">
        <v>84.3</v>
      </c>
      <c r="F620">
        <v>79.7</v>
      </c>
      <c r="G620">
        <v>82</v>
      </c>
      <c r="H620" t="s">
        <v>19</v>
      </c>
      <c r="I620">
        <v>2</v>
      </c>
      <c r="J620" t="s">
        <v>20</v>
      </c>
      <c r="K620">
        <v>81.900000000000006</v>
      </c>
      <c r="L620">
        <v>197</v>
      </c>
      <c r="M620">
        <v>78</v>
      </c>
      <c r="N620">
        <v>7.3</v>
      </c>
      <c r="O620">
        <v>4.2</v>
      </c>
      <c r="P620">
        <v>4</v>
      </c>
      <c r="Q620" t="s">
        <v>28</v>
      </c>
      <c r="R620" t="s">
        <v>22</v>
      </c>
    </row>
    <row r="621" spans="1:18" x14ac:dyDescent="0.25">
      <c r="A621" t="s">
        <v>649</v>
      </c>
      <c r="B621">
        <v>77.900000000000006</v>
      </c>
      <c r="C621">
        <v>81.5</v>
      </c>
      <c r="D621">
        <v>79.099999999999994</v>
      </c>
      <c r="E621">
        <v>81.2</v>
      </c>
      <c r="F621">
        <v>76.900000000000006</v>
      </c>
      <c r="G621">
        <v>79.05</v>
      </c>
      <c r="H621" t="s">
        <v>19</v>
      </c>
      <c r="I621">
        <v>3</v>
      </c>
      <c r="J621" t="s">
        <v>38</v>
      </c>
      <c r="K621">
        <v>76.8</v>
      </c>
      <c r="L621">
        <v>184</v>
      </c>
      <c r="M621">
        <v>71.3</v>
      </c>
      <c r="N621">
        <v>6.4</v>
      </c>
      <c r="O621">
        <v>5.3</v>
      </c>
      <c r="P621">
        <v>5</v>
      </c>
      <c r="Q621" t="s">
        <v>28</v>
      </c>
      <c r="R621" t="s">
        <v>33</v>
      </c>
    </row>
    <row r="622" spans="1:18" x14ac:dyDescent="0.25">
      <c r="A622" t="s">
        <v>650</v>
      </c>
      <c r="B622">
        <v>44.9</v>
      </c>
      <c r="C622">
        <v>46.5</v>
      </c>
      <c r="D622">
        <v>52.6</v>
      </c>
      <c r="E622">
        <v>50.1</v>
      </c>
      <c r="F622">
        <v>57.1</v>
      </c>
      <c r="G622">
        <v>53.6</v>
      </c>
      <c r="H622" t="s">
        <v>19</v>
      </c>
      <c r="I622">
        <v>4</v>
      </c>
      <c r="J622" t="s">
        <v>38</v>
      </c>
      <c r="K622">
        <v>67.2</v>
      </c>
      <c r="L622">
        <v>161</v>
      </c>
      <c r="M622">
        <v>85.7</v>
      </c>
      <c r="N622">
        <v>7.6</v>
      </c>
      <c r="O622">
        <v>4</v>
      </c>
      <c r="P622">
        <v>2</v>
      </c>
      <c r="Q622" t="s">
        <v>25</v>
      </c>
      <c r="R622" t="s">
        <v>22</v>
      </c>
    </row>
    <row r="623" spans="1:18" x14ac:dyDescent="0.25">
      <c r="A623" t="s">
        <v>651</v>
      </c>
      <c r="B623">
        <v>54.2</v>
      </c>
      <c r="C623">
        <v>52.4</v>
      </c>
      <c r="D623">
        <v>54.4</v>
      </c>
      <c r="E623">
        <v>51.5</v>
      </c>
      <c r="F623">
        <v>64.3</v>
      </c>
      <c r="G623">
        <v>57.9</v>
      </c>
      <c r="H623" t="s">
        <v>19</v>
      </c>
      <c r="I623">
        <v>2</v>
      </c>
      <c r="J623" t="s">
        <v>20</v>
      </c>
      <c r="K623">
        <v>71.599999999999994</v>
      </c>
      <c r="L623">
        <v>172</v>
      </c>
      <c r="M623">
        <v>72</v>
      </c>
      <c r="N623">
        <v>6.9</v>
      </c>
      <c r="O623">
        <v>5.3</v>
      </c>
      <c r="P623">
        <v>1</v>
      </c>
      <c r="Q623" t="s">
        <v>25</v>
      </c>
      <c r="R623" t="s">
        <v>22</v>
      </c>
    </row>
    <row r="624" spans="1:18" x14ac:dyDescent="0.25">
      <c r="A624" t="s">
        <v>652</v>
      </c>
      <c r="B624">
        <v>66.3</v>
      </c>
      <c r="C624">
        <v>57.6</v>
      </c>
      <c r="D624">
        <v>61.4</v>
      </c>
      <c r="E624">
        <v>60.4</v>
      </c>
      <c r="F624">
        <v>82.2</v>
      </c>
      <c r="G624">
        <v>71.3</v>
      </c>
      <c r="H624" t="s">
        <v>19</v>
      </c>
      <c r="I624">
        <v>4</v>
      </c>
      <c r="J624" t="s">
        <v>38</v>
      </c>
      <c r="K624">
        <v>70.099999999999994</v>
      </c>
      <c r="L624">
        <v>168</v>
      </c>
      <c r="M624">
        <v>84.9</v>
      </c>
      <c r="N624">
        <v>6.9</v>
      </c>
      <c r="O624">
        <v>2.2999999999999998</v>
      </c>
      <c r="P624">
        <v>1</v>
      </c>
      <c r="Q624" t="s">
        <v>25</v>
      </c>
      <c r="R624" t="s">
        <v>22</v>
      </c>
    </row>
    <row r="625" spans="1:18" x14ac:dyDescent="0.25">
      <c r="A625" t="s">
        <v>653</v>
      </c>
      <c r="B625">
        <v>70.2</v>
      </c>
      <c r="C625">
        <v>65.3</v>
      </c>
      <c r="D625">
        <v>66.2</v>
      </c>
      <c r="E625">
        <v>66.599999999999994</v>
      </c>
      <c r="F625">
        <v>69.7</v>
      </c>
      <c r="G625">
        <v>68.150000000000006</v>
      </c>
      <c r="H625" t="s">
        <v>19</v>
      </c>
      <c r="I625">
        <v>1</v>
      </c>
      <c r="J625" t="s">
        <v>20</v>
      </c>
      <c r="K625">
        <v>79.7</v>
      </c>
      <c r="L625">
        <v>191</v>
      </c>
      <c r="M625">
        <v>70.7</v>
      </c>
      <c r="N625">
        <v>8</v>
      </c>
      <c r="O625">
        <v>3.6</v>
      </c>
      <c r="P625">
        <v>1</v>
      </c>
      <c r="Q625" t="s">
        <v>25</v>
      </c>
      <c r="R625" t="s">
        <v>33</v>
      </c>
    </row>
    <row r="626" spans="1:18" x14ac:dyDescent="0.25">
      <c r="A626" t="s">
        <v>654</v>
      </c>
      <c r="B626">
        <v>79</v>
      </c>
      <c r="C626">
        <v>82.4</v>
      </c>
      <c r="D626">
        <v>76.2</v>
      </c>
      <c r="E626">
        <v>74</v>
      </c>
      <c r="F626">
        <v>79.400000000000006</v>
      </c>
      <c r="G626">
        <v>76.7</v>
      </c>
      <c r="H626" t="s">
        <v>19</v>
      </c>
      <c r="I626">
        <v>1</v>
      </c>
      <c r="J626" t="s">
        <v>20</v>
      </c>
      <c r="K626">
        <v>82.4</v>
      </c>
      <c r="L626">
        <v>198</v>
      </c>
      <c r="M626">
        <v>58.8</v>
      </c>
      <c r="N626">
        <v>7.2</v>
      </c>
      <c r="O626">
        <v>3.3</v>
      </c>
      <c r="P626">
        <v>4</v>
      </c>
      <c r="Q626" t="s">
        <v>28</v>
      </c>
      <c r="R626" t="s">
        <v>26</v>
      </c>
    </row>
    <row r="627" spans="1:18" x14ac:dyDescent="0.25">
      <c r="A627" t="s">
        <v>655</v>
      </c>
      <c r="B627">
        <v>56.5</v>
      </c>
      <c r="C627">
        <v>67</v>
      </c>
      <c r="D627">
        <v>47.6</v>
      </c>
      <c r="E627">
        <v>60.3</v>
      </c>
      <c r="F627">
        <v>71</v>
      </c>
      <c r="G627">
        <v>65.650000000000006</v>
      </c>
      <c r="H627" t="s">
        <v>19</v>
      </c>
      <c r="I627">
        <v>3</v>
      </c>
      <c r="J627" t="s">
        <v>20</v>
      </c>
      <c r="K627">
        <v>64.8</v>
      </c>
      <c r="L627">
        <v>156</v>
      </c>
      <c r="M627">
        <v>75.2</v>
      </c>
      <c r="N627">
        <v>7.3</v>
      </c>
      <c r="O627">
        <v>1.1000000000000001</v>
      </c>
      <c r="P627">
        <v>1</v>
      </c>
      <c r="Q627" t="s">
        <v>25</v>
      </c>
      <c r="R627" t="s">
        <v>26</v>
      </c>
    </row>
    <row r="628" spans="1:18" x14ac:dyDescent="0.25">
      <c r="A628" t="s">
        <v>656</v>
      </c>
      <c r="B628">
        <v>58.3</v>
      </c>
      <c r="C628">
        <v>58.9</v>
      </c>
      <c r="D628">
        <v>68.8</v>
      </c>
      <c r="E628">
        <v>65.400000000000006</v>
      </c>
      <c r="F628">
        <v>56.6</v>
      </c>
      <c r="G628">
        <v>61</v>
      </c>
      <c r="H628" t="s">
        <v>19</v>
      </c>
      <c r="I628">
        <v>2</v>
      </c>
      <c r="J628" t="s">
        <v>20</v>
      </c>
      <c r="K628">
        <v>69.400000000000006</v>
      </c>
      <c r="L628">
        <v>167</v>
      </c>
      <c r="M628">
        <v>76.900000000000006</v>
      </c>
      <c r="N628">
        <v>7.7</v>
      </c>
      <c r="O628">
        <v>3.8</v>
      </c>
      <c r="P628">
        <v>4</v>
      </c>
      <c r="Q628" t="s">
        <v>28</v>
      </c>
      <c r="R628" t="s">
        <v>22</v>
      </c>
    </row>
    <row r="629" spans="1:18" x14ac:dyDescent="0.25">
      <c r="A629" t="s">
        <v>657</v>
      </c>
      <c r="B629">
        <v>88.6</v>
      </c>
      <c r="C629">
        <v>85.3</v>
      </c>
      <c r="D629">
        <v>81.7</v>
      </c>
      <c r="E629">
        <v>81.099999999999994</v>
      </c>
      <c r="F629">
        <v>75</v>
      </c>
      <c r="G629">
        <v>78.05</v>
      </c>
      <c r="H629" t="s">
        <v>19</v>
      </c>
      <c r="I629">
        <v>2</v>
      </c>
      <c r="J629" t="s">
        <v>20</v>
      </c>
      <c r="K629">
        <v>85.3</v>
      </c>
      <c r="L629">
        <v>205</v>
      </c>
      <c r="M629">
        <v>69.7</v>
      </c>
      <c r="N629">
        <v>7.7</v>
      </c>
      <c r="O629">
        <v>4.3</v>
      </c>
      <c r="P629">
        <v>9</v>
      </c>
      <c r="Q629" t="s">
        <v>21</v>
      </c>
      <c r="R629" t="s">
        <v>22</v>
      </c>
    </row>
    <row r="630" spans="1:18" x14ac:dyDescent="0.25">
      <c r="A630" t="s">
        <v>658</v>
      </c>
      <c r="B630">
        <v>40.4</v>
      </c>
      <c r="C630">
        <v>46.1</v>
      </c>
      <c r="D630">
        <v>40.9</v>
      </c>
      <c r="E630">
        <v>42</v>
      </c>
      <c r="F630">
        <v>54.7</v>
      </c>
      <c r="G630">
        <v>48.35</v>
      </c>
      <c r="H630" t="s">
        <v>32</v>
      </c>
      <c r="I630">
        <v>3</v>
      </c>
      <c r="J630" t="s">
        <v>20</v>
      </c>
      <c r="K630">
        <v>47.4</v>
      </c>
      <c r="L630">
        <v>114</v>
      </c>
      <c r="M630">
        <v>70.400000000000006</v>
      </c>
      <c r="N630">
        <v>6.8</v>
      </c>
      <c r="O630">
        <v>4</v>
      </c>
      <c r="P630">
        <v>1</v>
      </c>
      <c r="Q630" t="s">
        <v>25</v>
      </c>
      <c r="R630" t="s">
        <v>26</v>
      </c>
    </row>
    <row r="631" spans="1:18" x14ac:dyDescent="0.25">
      <c r="A631" t="s">
        <v>659</v>
      </c>
      <c r="B631">
        <v>52.6</v>
      </c>
      <c r="C631">
        <v>48.1</v>
      </c>
      <c r="D631">
        <v>64.099999999999994</v>
      </c>
      <c r="E631">
        <v>53.9</v>
      </c>
      <c r="F631">
        <v>68.7</v>
      </c>
      <c r="G631">
        <v>61.3</v>
      </c>
      <c r="H631" t="s">
        <v>19</v>
      </c>
      <c r="I631">
        <v>2</v>
      </c>
      <c r="J631" t="s">
        <v>20</v>
      </c>
      <c r="K631">
        <v>66.2</v>
      </c>
      <c r="L631">
        <v>159</v>
      </c>
      <c r="M631">
        <v>70.7</v>
      </c>
      <c r="N631">
        <v>6.3</v>
      </c>
      <c r="O631">
        <v>4.7</v>
      </c>
      <c r="P631">
        <v>1</v>
      </c>
      <c r="Q631" t="s">
        <v>25</v>
      </c>
      <c r="R631" t="s">
        <v>26</v>
      </c>
    </row>
    <row r="632" spans="1:18" x14ac:dyDescent="0.25">
      <c r="A632" t="s">
        <v>660</v>
      </c>
      <c r="B632">
        <v>85.9</v>
      </c>
      <c r="C632">
        <v>83.3</v>
      </c>
      <c r="D632">
        <v>75.900000000000006</v>
      </c>
      <c r="E632">
        <v>79.2</v>
      </c>
      <c r="F632">
        <v>74.400000000000006</v>
      </c>
      <c r="G632">
        <v>76.8</v>
      </c>
      <c r="H632" t="s">
        <v>19</v>
      </c>
      <c r="I632">
        <v>2</v>
      </c>
      <c r="J632" t="s">
        <v>20</v>
      </c>
      <c r="K632">
        <v>72.5</v>
      </c>
      <c r="L632">
        <v>174</v>
      </c>
      <c r="M632">
        <v>72.8</v>
      </c>
      <c r="N632">
        <v>6.8</v>
      </c>
      <c r="O632">
        <v>3.9</v>
      </c>
      <c r="P632">
        <v>5</v>
      </c>
      <c r="Q632" t="s">
        <v>28</v>
      </c>
      <c r="R632" t="s">
        <v>26</v>
      </c>
    </row>
    <row r="633" spans="1:18" x14ac:dyDescent="0.25">
      <c r="A633" t="s">
        <v>661</v>
      </c>
      <c r="B633">
        <v>92</v>
      </c>
      <c r="C633">
        <v>96.9</v>
      </c>
      <c r="D633">
        <v>87.2</v>
      </c>
      <c r="E633">
        <v>89.2</v>
      </c>
      <c r="F633">
        <v>81.900000000000006</v>
      </c>
      <c r="G633">
        <v>85.55</v>
      </c>
      <c r="H633" t="s">
        <v>19</v>
      </c>
      <c r="I633">
        <v>2</v>
      </c>
      <c r="J633" t="s">
        <v>20</v>
      </c>
      <c r="K633">
        <v>82.2</v>
      </c>
      <c r="L633">
        <v>197</v>
      </c>
      <c r="M633">
        <v>70.7</v>
      </c>
      <c r="N633">
        <v>8</v>
      </c>
      <c r="O633">
        <v>1.3</v>
      </c>
      <c r="P633">
        <v>4</v>
      </c>
      <c r="Q633" t="s">
        <v>28</v>
      </c>
      <c r="R633" t="s">
        <v>33</v>
      </c>
    </row>
    <row r="634" spans="1:18" x14ac:dyDescent="0.25">
      <c r="A634" t="s">
        <v>662</v>
      </c>
      <c r="B634">
        <v>70.400000000000006</v>
      </c>
      <c r="C634">
        <v>62.5</v>
      </c>
      <c r="D634">
        <v>78.099999999999994</v>
      </c>
      <c r="E634">
        <v>68.099999999999994</v>
      </c>
      <c r="F634">
        <v>79.5</v>
      </c>
      <c r="G634">
        <v>73.8</v>
      </c>
      <c r="H634" t="s">
        <v>19</v>
      </c>
      <c r="I634">
        <v>5</v>
      </c>
      <c r="J634" t="s">
        <v>24</v>
      </c>
      <c r="K634">
        <v>72.599999999999994</v>
      </c>
      <c r="L634">
        <v>174</v>
      </c>
      <c r="M634">
        <v>94.8</v>
      </c>
      <c r="N634">
        <v>8.1999999999999993</v>
      </c>
      <c r="O634">
        <v>1.6</v>
      </c>
      <c r="P634">
        <v>7</v>
      </c>
      <c r="Q634" t="s">
        <v>21</v>
      </c>
      <c r="R634" t="s">
        <v>33</v>
      </c>
    </row>
    <row r="635" spans="1:18" x14ac:dyDescent="0.25">
      <c r="A635" t="s">
        <v>663</v>
      </c>
      <c r="B635">
        <v>80.099999999999994</v>
      </c>
      <c r="C635">
        <v>64.7</v>
      </c>
      <c r="D635">
        <v>65.099999999999994</v>
      </c>
      <c r="E635">
        <v>69.3</v>
      </c>
      <c r="F635">
        <v>63.9</v>
      </c>
      <c r="G635">
        <v>66.599999999999994</v>
      </c>
      <c r="H635" t="s">
        <v>19</v>
      </c>
      <c r="I635">
        <v>3</v>
      </c>
      <c r="J635" t="s">
        <v>20</v>
      </c>
      <c r="K635">
        <v>72.8</v>
      </c>
      <c r="L635">
        <v>175</v>
      </c>
      <c r="M635">
        <v>81.099999999999994</v>
      </c>
      <c r="N635">
        <v>7.1</v>
      </c>
      <c r="O635">
        <v>4</v>
      </c>
      <c r="P635">
        <v>6</v>
      </c>
      <c r="Q635" t="s">
        <v>28</v>
      </c>
      <c r="R635" t="s">
        <v>22</v>
      </c>
    </row>
    <row r="636" spans="1:18" x14ac:dyDescent="0.25">
      <c r="A636" t="s">
        <v>664</v>
      </c>
      <c r="B636">
        <v>42.7</v>
      </c>
      <c r="C636">
        <v>51</v>
      </c>
      <c r="D636">
        <v>43.1</v>
      </c>
      <c r="E636">
        <v>45.9</v>
      </c>
      <c r="F636">
        <v>39.1</v>
      </c>
      <c r="G636">
        <v>42.5</v>
      </c>
      <c r="H636" t="s">
        <v>32</v>
      </c>
      <c r="I636">
        <v>3</v>
      </c>
      <c r="J636" t="s">
        <v>20</v>
      </c>
      <c r="K636">
        <v>60.2</v>
      </c>
      <c r="L636">
        <v>144</v>
      </c>
      <c r="M636">
        <v>76.099999999999994</v>
      </c>
      <c r="N636">
        <v>7.3</v>
      </c>
      <c r="O636">
        <v>2.4</v>
      </c>
      <c r="P636">
        <v>5</v>
      </c>
      <c r="Q636" t="s">
        <v>28</v>
      </c>
      <c r="R636" t="s">
        <v>33</v>
      </c>
    </row>
    <row r="637" spans="1:18" x14ac:dyDescent="0.25">
      <c r="A637" t="s">
        <v>665</v>
      </c>
      <c r="B637">
        <v>69.2</v>
      </c>
      <c r="C637">
        <v>66</v>
      </c>
      <c r="D637">
        <v>63.9</v>
      </c>
      <c r="E637">
        <v>64.599999999999994</v>
      </c>
      <c r="F637">
        <v>82.7</v>
      </c>
      <c r="G637">
        <v>73.650000000000006</v>
      </c>
      <c r="H637" t="s">
        <v>19</v>
      </c>
      <c r="I637">
        <v>3</v>
      </c>
      <c r="J637" t="s">
        <v>38</v>
      </c>
      <c r="K637">
        <v>66.8</v>
      </c>
      <c r="L637">
        <v>160</v>
      </c>
      <c r="M637">
        <v>80.5</v>
      </c>
      <c r="N637">
        <v>8.3000000000000007</v>
      </c>
      <c r="O637">
        <v>1.4</v>
      </c>
      <c r="P637">
        <v>1</v>
      </c>
      <c r="Q637" t="s">
        <v>25</v>
      </c>
      <c r="R637" t="s">
        <v>22</v>
      </c>
    </row>
    <row r="638" spans="1:18" x14ac:dyDescent="0.25">
      <c r="A638" t="s">
        <v>666</v>
      </c>
      <c r="B638">
        <v>69.599999999999994</v>
      </c>
      <c r="C638">
        <v>72.099999999999994</v>
      </c>
      <c r="D638">
        <v>73.5</v>
      </c>
      <c r="E638">
        <v>69.3</v>
      </c>
      <c r="F638">
        <v>87.4</v>
      </c>
      <c r="G638">
        <v>78.349999999999994</v>
      </c>
      <c r="H638" t="s">
        <v>19</v>
      </c>
      <c r="I638">
        <v>5</v>
      </c>
      <c r="J638" t="s">
        <v>24</v>
      </c>
      <c r="K638">
        <v>86.1</v>
      </c>
      <c r="L638">
        <v>207</v>
      </c>
      <c r="M638">
        <v>100.1</v>
      </c>
      <c r="N638">
        <v>6.9</v>
      </c>
      <c r="O638">
        <v>3.1</v>
      </c>
      <c r="P638">
        <v>2</v>
      </c>
      <c r="Q638" t="s">
        <v>25</v>
      </c>
      <c r="R638" t="s">
        <v>26</v>
      </c>
    </row>
    <row r="639" spans="1:18" x14ac:dyDescent="0.25">
      <c r="A639" t="s">
        <v>667</v>
      </c>
      <c r="B639">
        <v>54.7</v>
      </c>
      <c r="C639">
        <v>55</v>
      </c>
      <c r="D639">
        <v>54.4</v>
      </c>
      <c r="E639">
        <v>53.3</v>
      </c>
      <c r="F639">
        <v>69.7</v>
      </c>
      <c r="G639">
        <v>61.5</v>
      </c>
      <c r="H639" t="s">
        <v>19</v>
      </c>
      <c r="I639">
        <v>2</v>
      </c>
      <c r="J639" t="s">
        <v>20</v>
      </c>
      <c r="K639">
        <v>76</v>
      </c>
      <c r="L639">
        <v>182</v>
      </c>
      <c r="M639">
        <v>73.5</v>
      </c>
      <c r="N639">
        <v>7.4</v>
      </c>
      <c r="O639">
        <v>3.8</v>
      </c>
      <c r="P639">
        <v>1</v>
      </c>
      <c r="Q639" t="s">
        <v>25</v>
      </c>
      <c r="R639" t="s">
        <v>26</v>
      </c>
    </row>
    <row r="640" spans="1:18" x14ac:dyDescent="0.25">
      <c r="A640" t="s">
        <v>668</v>
      </c>
      <c r="B640">
        <v>62.5</v>
      </c>
      <c r="C640">
        <v>56.8</v>
      </c>
      <c r="D640">
        <v>48.3</v>
      </c>
      <c r="E640">
        <v>54.8</v>
      </c>
      <c r="F640">
        <v>67.2</v>
      </c>
      <c r="G640">
        <v>61</v>
      </c>
      <c r="H640" t="s">
        <v>19</v>
      </c>
      <c r="I640">
        <v>4</v>
      </c>
      <c r="J640" t="s">
        <v>38</v>
      </c>
      <c r="K640">
        <v>61.6</v>
      </c>
      <c r="L640">
        <v>148</v>
      </c>
      <c r="M640">
        <v>99.2</v>
      </c>
      <c r="N640">
        <v>7.1</v>
      </c>
      <c r="O640">
        <v>2.6</v>
      </c>
      <c r="P640">
        <v>1</v>
      </c>
      <c r="Q640" t="s">
        <v>25</v>
      </c>
      <c r="R640" t="s">
        <v>22</v>
      </c>
    </row>
    <row r="641" spans="1:18" x14ac:dyDescent="0.25">
      <c r="A641" t="s">
        <v>669</v>
      </c>
      <c r="B641">
        <v>63.3</v>
      </c>
      <c r="C641">
        <v>54.1</v>
      </c>
      <c r="D641">
        <v>58.1</v>
      </c>
      <c r="E641">
        <v>60.8</v>
      </c>
      <c r="F641">
        <v>67.900000000000006</v>
      </c>
      <c r="G641">
        <v>64.349999999999994</v>
      </c>
      <c r="H641" t="s">
        <v>19</v>
      </c>
      <c r="I641">
        <v>4</v>
      </c>
      <c r="J641" t="s">
        <v>38</v>
      </c>
      <c r="K641">
        <v>78.3</v>
      </c>
      <c r="L641">
        <v>188</v>
      </c>
      <c r="M641">
        <v>92.8</v>
      </c>
      <c r="N641">
        <v>6.8</v>
      </c>
      <c r="O641">
        <v>4.5999999999999996</v>
      </c>
      <c r="P641">
        <v>4</v>
      </c>
      <c r="Q641" t="s">
        <v>28</v>
      </c>
      <c r="R641" t="s">
        <v>26</v>
      </c>
    </row>
    <row r="642" spans="1:18" x14ac:dyDescent="0.25">
      <c r="A642" t="s">
        <v>670</v>
      </c>
      <c r="B642">
        <v>43.8</v>
      </c>
      <c r="C642">
        <v>46.3</v>
      </c>
      <c r="D642">
        <v>38.1</v>
      </c>
      <c r="E642">
        <v>41.1</v>
      </c>
      <c r="F642">
        <v>56.8</v>
      </c>
      <c r="G642">
        <v>48.95</v>
      </c>
      <c r="H642" t="s">
        <v>32</v>
      </c>
      <c r="I642">
        <v>3</v>
      </c>
      <c r="J642" t="s">
        <v>38</v>
      </c>
      <c r="K642">
        <v>58.6</v>
      </c>
      <c r="L642">
        <v>141</v>
      </c>
      <c r="M642">
        <v>90.1</v>
      </c>
      <c r="N642">
        <v>6.7</v>
      </c>
      <c r="O642">
        <v>4.2</v>
      </c>
      <c r="P642">
        <v>2</v>
      </c>
      <c r="Q642" t="s">
        <v>25</v>
      </c>
      <c r="R642" t="s">
        <v>22</v>
      </c>
    </row>
    <row r="643" spans="1:18" x14ac:dyDescent="0.25">
      <c r="A643" t="s">
        <v>671</v>
      </c>
      <c r="B643">
        <v>63.1</v>
      </c>
      <c r="C643">
        <v>63.6</v>
      </c>
      <c r="D643">
        <v>57.3</v>
      </c>
      <c r="E643">
        <v>57.7</v>
      </c>
      <c r="F643">
        <v>65.900000000000006</v>
      </c>
      <c r="G643">
        <v>61.8</v>
      </c>
      <c r="H643" t="s">
        <v>19</v>
      </c>
      <c r="I643">
        <v>1</v>
      </c>
      <c r="J643" t="s">
        <v>20</v>
      </c>
      <c r="K643">
        <v>69.5</v>
      </c>
      <c r="L643">
        <v>167</v>
      </c>
      <c r="M643">
        <v>61</v>
      </c>
      <c r="N643">
        <v>7.2</v>
      </c>
      <c r="O643">
        <v>2.7</v>
      </c>
      <c r="P643">
        <v>3</v>
      </c>
      <c r="Q643" t="s">
        <v>25</v>
      </c>
      <c r="R643" t="s">
        <v>22</v>
      </c>
    </row>
    <row r="644" spans="1:18" x14ac:dyDescent="0.25">
      <c r="A644" t="s">
        <v>672</v>
      </c>
      <c r="B644">
        <v>49.8</v>
      </c>
      <c r="C644">
        <v>50.5</v>
      </c>
      <c r="D644">
        <v>53.8</v>
      </c>
      <c r="E644">
        <v>51.6</v>
      </c>
      <c r="F644">
        <v>60.7</v>
      </c>
      <c r="G644">
        <v>56.15</v>
      </c>
      <c r="H644" t="s">
        <v>19</v>
      </c>
      <c r="I644">
        <v>4</v>
      </c>
      <c r="J644" t="s">
        <v>38</v>
      </c>
      <c r="K644">
        <v>65.5</v>
      </c>
      <c r="L644">
        <v>157</v>
      </c>
      <c r="M644">
        <v>81.900000000000006</v>
      </c>
      <c r="N644">
        <v>6.4</v>
      </c>
      <c r="O644">
        <v>4.8</v>
      </c>
      <c r="P644">
        <v>5</v>
      </c>
      <c r="Q644" t="s">
        <v>28</v>
      </c>
      <c r="R644" t="s">
        <v>22</v>
      </c>
    </row>
    <row r="645" spans="1:18" x14ac:dyDescent="0.25">
      <c r="A645" t="s">
        <v>673</v>
      </c>
      <c r="B645">
        <v>53.8</v>
      </c>
      <c r="C645">
        <v>57.8</v>
      </c>
      <c r="D645">
        <v>60.1</v>
      </c>
      <c r="E645">
        <v>58</v>
      </c>
      <c r="F645">
        <v>57.3</v>
      </c>
      <c r="G645">
        <v>57.65</v>
      </c>
      <c r="H645" t="s">
        <v>19</v>
      </c>
      <c r="I645">
        <v>1</v>
      </c>
      <c r="J645" t="s">
        <v>20</v>
      </c>
      <c r="K645">
        <v>65.7</v>
      </c>
      <c r="L645">
        <v>158</v>
      </c>
      <c r="M645">
        <v>62.9</v>
      </c>
      <c r="N645">
        <v>7.4</v>
      </c>
      <c r="O645">
        <v>4.2</v>
      </c>
      <c r="P645">
        <v>4</v>
      </c>
      <c r="Q645" t="s">
        <v>28</v>
      </c>
      <c r="R645" t="s">
        <v>33</v>
      </c>
    </row>
    <row r="646" spans="1:18" x14ac:dyDescent="0.25">
      <c r="A646" t="s">
        <v>674</v>
      </c>
      <c r="B646">
        <v>41.4</v>
      </c>
      <c r="C646">
        <v>38.9</v>
      </c>
      <c r="D646">
        <v>37.700000000000003</v>
      </c>
      <c r="E646">
        <v>46.6</v>
      </c>
      <c r="F646">
        <v>55.9</v>
      </c>
      <c r="G646">
        <v>51.25</v>
      </c>
      <c r="H646" t="s">
        <v>19</v>
      </c>
      <c r="I646">
        <v>3</v>
      </c>
      <c r="J646" t="s">
        <v>38</v>
      </c>
      <c r="K646">
        <v>68.2</v>
      </c>
      <c r="L646">
        <v>164</v>
      </c>
      <c r="M646">
        <v>84.4</v>
      </c>
      <c r="N646">
        <v>6.4</v>
      </c>
      <c r="O646">
        <v>4.2</v>
      </c>
      <c r="P646">
        <v>3</v>
      </c>
      <c r="Q646" t="s">
        <v>28</v>
      </c>
      <c r="R646" t="s">
        <v>22</v>
      </c>
    </row>
    <row r="647" spans="1:18" x14ac:dyDescent="0.25">
      <c r="A647" t="s">
        <v>675</v>
      </c>
      <c r="B647">
        <v>79.099999999999994</v>
      </c>
      <c r="C647">
        <v>91.6</v>
      </c>
      <c r="D647">
        <v>94.3</v>
      </c>
      <c r="E647">
        <v>89</v>
      </c>
      <c r="F647">
        <v>88.7</v>
      </c>
      <c r="G647">
        <v>88.85</v>
      </c>
      <c r="H647" t="s">
        <v>19</v>
      </c>
      <c r="I647">
        <v>4</v>
      </c>
      <c r="J647" t="s">
        <v>38</v>
      </c>
      <c r="K647">
        <v>85.1</v>
      </c>
      <c r="L647">
        <v>204</v>
      </c>
      <c r="M647">
        <v>84.2</v>
      </c>
      <c r="N647">
        <v>6.5</v>
      </c>
      <c r="O647">
        <v>3.8</v>
      </c>
      <c r="P647">
        <v>1</v>
      </c>
      <c r="Q647" t="s">
        <v>25</v>
      </c>
      <c r="R647" t="s">
        <v>22</v>
      </c>
    </row>
    <row r="648" spans="1:18" x14ac:dyDescent="0.25">
      <c r="A648" t="s">
        <v>676</v>
      </c>
      <c r="B648">
        <v>82.9</v>
      </c>
      <c r="C648">
        <v>75.5</v>
      </c>
      <c r="D648">
        <v>73.900000000000006</v>
      </c>
      <c r="E648">
        <v>72.599999999999994</v>
      </c>
      <c r="F648">
        <v>84.4</v>
      </c>
      <c r="G648">
        <v>78.5</v>
      </c>
      <c r="H648" t="s">
        <v>19</v>
      </c>
      <c r="I648">
        <v>2</v>
      </c>
      <c r="J648" t="s">
        <v>20</v>
      </c>
      <c r="K648">
        <v>73.900000000000006</v>
      </c>
      <c r="L648">
        <v>177</v>
      </c>
      <c r="M648">
        <v>67.599999999999994</v>
      </c>
      <c r="N648">
        <v>8.6999999999999993</v>
      </c>
      <c r="O648">
        <v>1.1000000000000001</v>
      </c>
      <c r="P648">
        <v>1</v>
      </c>
      <c r="Q648" t="s">
        <v>25</v>
      </c>
      <c r="R648" t="s">
        <v>22</v>
      </c>
    </row>
    <row r="649" spans="1:18" x14ac:dyDescent="0.25">
      <c r="A649" t="s">
        <v>677</v>
      </c>
      <c r="B649">
        <v>71.8</v>
      </c>
      <c r="C649">
        <v>77</v>
      </c>
      <c r="D649">
        <v>84.3</v>
      </c>
      <c r="E649">
        <v>77.400000000000006</v>
      </c>
      <c r="F649">
        <v>85.8</v>
      </c>
      <c r="G649">
        <v>81.599999999999994</v>
      </c>
      <c r="H649" t="s">
        <v>19</v>
      </c>
      <c r="I649">
        <v>4</v>
      </c>
      <c r="J649" t="s">
        <v>24</v>
      </c>
      <c r="K649">
        <v>72.2</v>
      </c>
      <c r="L649">
        <v>173</v>
      </c>
      <c r="M649">
        <v>95.7</v>
      </c>
      <c r="N649">
        <v>7.1</v>
      </c>
      <c r="O649">
        <v>4.5</v>
      </c>
      <c r="P649">
        <v>3</v>
      </c>
      <c r="Q649" t="s">
        <v>25</v>
      </c>
      <c r="R649" t="s">
        <v>33</v>
      </c>
    </row>
    <row r="650" spans="1:18" x14ac:dyDescent="0.25">
      <c r="A650" t="s">
        <v>678</v>
      </c>
      <c r="B650">
        <v>82.3</v>
      </c>
      <c r="C650">
        <v>89</v>
      </c>
      <c r="D650">
        <v>85.6</v>
      </c>
      <c r="E650">
        <v>83.4</v>
      </c>
      <c r="F650">
        <v>93.6</v>
      </c>
      <c r="G650">
        <v>88.5</v>
      </c>
      <c r="H650" t="s">
        <v>19</v>
      </c>
      <c r="I650">
        <v>1</v>
      </c>
      <c r="J650" t="s">
        <v>20</v>
      </c>
      <c r="K650">
        <v>77.2</v>
      </c>
      <c r="L650">
        <v>185</v>
      </c>
      <c r="M650">
        <v>63</v>
      </c>
      <c r="N650">
        <v>5.9</v>
      </c>
      <c r="O650">
        <v>2.9</v>
      </c>
      <c r="P650">
        <v>1</v>
      </c>
      <c r="Q650" t="s">
        <v>25</v>
      </c>
      <c r="R650" t="s">
        <v>26</v>
      </c>
    </row>
    <row r="651" spans="1:18" x14ac:dyDescent="0.25">
      <c r="A651" t="s">
        <v>679</v>
      </c>
      <c r="B651">
        <v>66</v>
      </c>
      <c r="C651">
        <v>65.7</v>
      </c>
      <c r="D651">
        <v>72.900000000000006</v>
      </c>
      <c r="E651">
        <v>67.400000000000006</v>
      </c>
      <c r="F651">
        <v>72.599999999999994</v>
      </c>
      <c r="G651">
        <v>70</v>
      </c>
      <c r="H651" t="s">
        <v>19</v>
      </c>
      <c r="I651">
        <v>4</v>
      </c>
      <c r="J651" t="s">
        <v>24</v>
      </c>
      <c r="K651">
        <v>65.5</v>
      </c>
      <c r="L651">
        <v>157</v>
      </c>
      <c r="M651">
        <v>96.3</v>
      </c>
      <c r="N651">
        <v>6</v>
      </c>
      <c r="O651">
        <v>5.7</v>
      </c>
      <c r="P651">
        <v>4</v>
      </c>
      <c r="Q651" t="s">
        <v>28</v>
      </c>
      <c r="R651" t="s">
        <v>33</v>
      </c>
    </row>
    <row r="652" spans="1:18" x14ac:dyDescent="0.25">
      <c r="A652" t="s">
        <v>680</v>
      </c>
      <c r="B652">
        <v>46.3</v>
      </c>
      <c r="C652">
        <v>47.6</v>
      </c>
      <c r="D652">
        <v>47.1</v>
      </c>
      <c r="E652">
        <v>44.8</v>
      </c>
      <c r="F652">
        <v>61.8</v>
      </c>
      <c r="G652">
        <v>53.3</v>
      </c>
      <c r="H652" t="s">
        <v>19</v>
      </c>
      <c r="I652">
        <v>3</v>
      </c>
      <c r="J652" t="s">
        <v>20</v>
      </c>
      <c r="K652">
        <v>62.5</v>
      </c>
      <c r="L652">
        <v>150</v>
      </c>
      <c r="M652">
        <v>79.900000000000006</v>
      </c>
      <c r="N652">
        <v>5.6</v>
      </c>
      <c r="O652">
        <v>5.0999999999999996</v>
      </c>
      <c r="P652">
        <v>2</v>
      </c>
      <c r="Q652" t="s">
        <v>25</v>
      </c>
      <c r="R652" t="s">
        <v>22</v>
      </c>
    </row>
    <row r="653" spans="1:18" x14ac:dyDescent="0.25">
      <c r="A653" t="s">
        <v>681</v>
      </c>
      <c r="B653">
        <v>73.599999999999994</v>
      </c>
      <c r="C653">
        <v>64.400000000000006</v>
      </c>
      <c r="D653">
        <v>76.3</v>
      </c>
      <c r="E653">
        <v>69.5</v>
      </c>
      <c r="F653">
        <v>71.599999999999994</v>
      </c>
      <c r="G653">
        <v>70.55</v>
      </c>
      <c r="H653" t="s">
        <v>19</v>
      </c>
      <c r="I653">
        <v>2</v>
      </c>
      <c r="J653" t="s">
        <v>20</v>
      </c>
      <c r="K653">
        <v>68.8</v>
      </c>
      <c r="L653">
        <v>165</v>
      </c>
      <c r="M653">
        <v>66.2</v>
      </c>
      <c r="N653">
        <v>6.3</v>
      </c>
      <c r="O653">
        <v>3.9</v>
      </c>
      <c r="P653">
        <v>2</v>
      </c>
      <c r="Q653" t="s">
        <v>25</v>
      </c>
      <c r="R653" t="s">
        <v>33</v>
      </c>
    </row>
    <row r="654" spans="1:18" x14ac:dyDescent="0.25">
      <c r="A654" t="s">
        <v>682</v>
      </c>
      <c r="B654">
        <v>76.599999999999994</v>
      </c>
      <c r="C654">
        <v>72.2</v>
      </c>
      <c r="D654">
        <v>74.900000000000006</v>
      </c>
      <c r="E654">
        <v>72.3</v>
      </c>
      <c r="F654">
        <v>61.2</v>
      </c>
      <c r="G654">
        <v>66.75</v>
      </c>
      <c r="H654" t="s">
        <v>19</v>
      </c>
      <c r="I654">
        <v>2</v>
      </c>
      <c r="J654" t="s">
        <v>20</v>
      </c>
      <c r="K654">
        <v>74.8</v>
      </c>
      <c r="L654">
        <v>180</v>
      </c>
      <c r="M654">
        <v>62.8</v>
      </c>
      <c r="N654">
        <v>5.8</v>
      </c>
      <c r="O654">
        <v>2.2999999999999998</v>
      </c>
      <c r="P654">
        <v>6</v>
      </c>
      <c r="Q654" t="s">
        <v>21</v>
      </c>
      <c r="R654" t="s">
        <v>26</v>
      </c>
    </row>
    <row r="655" spans="1:18" x14ac:dyDescent="0.25">
      <c r="A655" t="s">
        <v>683</v>
      </c>
      <c r="B655">
        <v>78.099999999999994</v>
      </c>
      <c r="C655">
        <v>80.099999999999994</v>
      </c>
      <c r="D655">
        <v>80.5</v>
      </c>
      <c r="E655">
        <v>81</v>
      </c>
      <c r="F655">
        <v>93</v>
      </c>
      <c r="G655">
        <v>87</v>
      </c>
      <c r="H655" t="s">
        <v>19</v>
      </c>
      <c r="I655">
        <v>5</v>
      </c>
      <c r="J655" t="s">
        <v>24</v>
      </c>
      <c r="K655">
        <v>87.4</v>
      </c>
      <c r="L655">
        <v>210</v>
      </c>
      <c r="M655">
        <v>92.1</v>
      </c>
      <c r="N655">
        <v>7.3</v>
      </c>
      <c r="O655">
        <v>2</v>
      </c>
      <c r="P655">
        <v>4</v>
      </c>
      <c r="Q655" t="s">
        <v>28</v>
      </c>
      <c r="R655" t="s">
        <v>26</v>
      </c>
    </row>
    <row r="656" spans="1:18" x14ac:dyDescent="0.25">
      <c r="A656" t="s">
        <v>684</v>
      </c>
      <c r="B656">
        <v>62.9</v>
      </c>
      <c r="C656">
        <v>64.900000000000006</v>
      </c>
      <c r="D656">
        <v>75.099999999999994</v>
      </c>
      <c r="E656">
        <v>63.7</v>
      </c>
      <c r="F656">
        <v>65.7</v>
      </c>
      <c r="G656">
        <v>64.7</v>
      </c>
      <c r="H656" t="s">
        <v>19</v>
      </c>
      <c r="I656">
        <v>1</v>
      </c>
      <c r="J656" t="s">
        <v>20</v>
      </c>
      <c r="K656">
        <v>77.900000000000006</v>
      </c>
      <c r="L656">
        <v>187</v>
      </c>
      <c r="M656">
        <v>71.8</v>
      </c>
      <c r="N656">
        <v>6.6</v>
      </c>
      <c r="O656">
        <v>2.7</v>
      </c>
      <c r="P656">
        <v>4</v>
      </c>
      <c r="Q656" t="s">
        <v>28</v>
      </c>
      <c r="R656" t="s">
        <v>22</v>
      </c>
    </row>
    <row r="657" spans="1:18" x14ac:dyDescent="0.25">
      <c r="A657" t="s">
        <v>685</v>
      </c>
      <c r="B657">
        <v>48.4</v>
      </c>
      <c r="C657">
        <v>45.2</v>
      </c>
      <c r="D657">
        <v>51.5</v>
      </c>
      <c r="E657">
        <v>47</v>
      </c>
      <c r="F657">
        <v>46.8</v>
      </c>
      <c r="G657">
        <v>46.9</v>
      </c>
      <c r="H657" t="s">
        <v>32</v>
      </c>
      <c r="I657">
        <v>2</v>
      </c>
      <c r="J657" t="s">
        <v>20</v>
      </c>
      <c r="K657">
        <v>63.3</v>
      </c>
      <c r="L657">
        <v>152</v>
      </c>
      <c r="M657">
        <v>68</v>
      </c>
      <c r="N657">
        <v>7</v>
      </c>
      <c r="O657">
        <v>3.4</v>
      </c>
      <c r="P657">
        <v>5</v>
      </c>
      <c r="Q657" t="s">
        <v>28</v>
      </c>
      <c r="R657" t="s">
        <v>26</v>
      </c>
    </row>
    <row r="658" spans="1:18" x14ac:dyDescent="0.25">
      <c r="A658" t="s">
        <v>686</v>
      </c>
      <c r="B658">
        <v>54.4</v>
      </c>
      <c r="C658">
        <v>55</v>
      </c>
      <c r="D658">
        <v>58.5</v>
      </c>
      <c r="E658">
        <v>55.6</v>
      </c>
      <c r="F658">
        <v>66</v>
      </c>
      <c r="G658">
        <v>60.8</v>
      </c>
      <c r="H658" t="s">
        <v>19</v>
      </c>
      <c r="I658">
        <v>2</v>
      </c>
      <c r="J658" t="s">
        <v>20</v>
      </c>
      <c r="K658">
        <v>67.400000000000006</v>
      </c>
      <c r="L658">
        <v>162</v>
      </c>
      <c r="M658">
        <v>72.8</v>
      </c>
      <c r="N658">
        <v>6.4</v>
      </c>
      <c r="O658">
        <v>2.5</v>
      </c>
      <c r="P658">
        <v>1</v>
      </c>
      <c r="Q658" t="s">
        <v>25</v>
      </c>
      <c r="R658" t="s">
        <v>33</v>
      </c>
    </row>
    <row r="659" spans="1:18" x14ac:dyDescent="0.25">
      <c r="A659" t="s">
        <v>687</v>
      </c>
      <c r="B659">
        <v>68</v>
      </c>
      <c r="C659">
        <v>64.099999999999994</v>
      </c>
      <c r="D659">
        <v>53.6</v>
      </c>
      <c r="E659">
        <v>60</v>
      </c>
      <c r="F659">
        <v>61.7</v>
      </c>
      <c r="G659">
        <v>60.85</v>
      </c>
      <c r="H659" t="s">
        <v>19</v>
      </c>
      <c r="I659">
        <v>4</v>
      </c>
      <c r="J659" t="s">
        <v>38</v>
      </c>
      <c r="K659">
        <v>79.400000000000006</v>
      </c>
      <c r="L659">
        <v>191</v>
      </c>
      <c r="M659">
        <v>80.2</v>
      </c>
      <c r="N659">
        <v>7</v>
      </c>
      <c r="O659">
        <v>3.6</v>
      </c>
      <c r="P659">
        <v>7</v>
      </c>
      <c r="Q659" t="s">
        <v>21</v>
      </c>
      <c r="R659" t="s">
        <v>33</v>
      </c>
    </row>
    <row r="660" spans="1:18" x14ac:dyDescent="0.25">
      <c r="A660" t="s">
        <v>688</v>
      </c>
      <c r="B660">
        <v>78</v>
      </c>
      <c r="C660">
        <v>73.3</v>
      </c>
      <c r="D660">
        <v>69.099999999999994</v>
      </c>
      <c r="E660">
        <v>75.5</v>
      </c>
      <c r="F660">
        <v>83.1</v>
      </c>
      <c r="G660">
        <v>79.3</v>
      </c>
      <c r="H660" t="s">
        <v>19</v>
      </c>
      <c r="I660">
        <v>3</v>
      </c>
      <c r="J660" t="s">
        <v>38</v>
      </c>
      <c r="K660">
        <v>80.400000000000006</v>
      </c>
      <c r="L660">
        <v>193</v>
      </c>
      <c r="M660">
        <v>96.5</v>
      </c>
      <c r="N660">
        <v>7.2</v>
      </c>
      <c r="O660">
        <v>1.8</v>
      </c>
      <c r="P660">
        <v>2</v>
      </c>
      <c r="Q660" t="s">
        <v>25</v>
      </c>
      <c r="R660" t="s">
        <v>26</v>
      </c>
    </row>
    <row r="661" spans="1:18" x14ac:dyDescent="0.25">
      <c r="A661" t="s">
        <v>689</v>
      </c>
      <c r="B661">
        <v>75.099999999999994</v>
      </c>
      <c r="C661">
        <v>63.4</v>
      </c>
      <c r="D661">
        <v>72.900000000000006</v>
      </c>
      <c r="E661">
        <v>71.400000000000006</v>
      </c>
      <c r="F661">
        <v>71.2</v>
      </c>
      <c r="G661">
        <v>71.3</v>
      </c>
      <c r="H661" t="s">
        <v>19</v>
      </c>
      <c r="I661">
        <v>2</v>
      </c>
      <c r="J661" t="s">
        <v>20</v>
      </c>
      <c r="K661">
        <v>74.099999999999994</v>
      </c>
      <c r="L661">
        <v>178</v>
      </c>
      <c r="M661">
        <v>59.7</v>
      </c>
      <c r="N661">
        <v>7</v>
      </c>
      <c r="O661">
        <v>5.9</v>
      </c>
      <c r="P661">
        <v>1</v>
      </c>
      <c r="Q661" t="s">
        <v>25</v>
      </c>
      <c r="R661" t="s">
        <v>22</v>
      </c>
    </row>
    <row r="662" spans="1:18" x14ac:dyDescent="0.25">
      <c r="A662" t="s">
        <v>690</v>
      </c>
      <c r="B662">
        <v>62.9</v>
      </c>
      <c r="C662">
        <v>68.3</v>
      </c>
      <c r="D662">
        <v>60.3</v>
      </c>
      <c r="E662">
        <v>59.6</v>
      </c>
      <c r="F662">
        <v>61.8</v>
      </c>
      <c r="G662">
        <v>60.7</v>
      </c>
      <c r="H662" t="s">
        <v>19</v>
      </c>
      <c r="I662">
        <v>2</v>
      </c>
      <c r="J662" t="s">
        <v>20</v>
      </c>
      <c r="K662">
        <v>62.7</v>
      </c>
      <c r="L662">
        <v>150</v>
      </c>
      <c r="M662">
        <v>69.400000000000006</v>
      </c>
      <c r="N662">
        <v>8.1999999999999993</v>
      </c>
      <c r="O662">
        <v>1.5</v>
      </c>
      <c r="P662">
        <v>4</v>
      </c>
      <c r="Q662" t="s">
        <v>28</v>
      </c>
      <c r="R662" t="s">
        <v>22</v>
      </c>
    </row>
    <row r="663" spans="1:18" x14ac:dyDescent="0.25">
      <c r="A663" t="s">
        <v>691</v>
      </c>
      <c r="B663">
        <v>100.1</v>
      </c>
      <c r="C663">
        <v>101.2</v>
      </c>
      <c r="D663">
        <v>91.2</v>
      </c>
      <c r="E663">
        <v>94.3</v>
      </c>
      <c r="F663">
        <v>86</v>
      </c>
      <c r="G663">
        <v>90.15</v>
      </c>
      <c r="H663" t="s">
        <v>19</v>
      </c>
      <c r="I663">
        <v>2</v>
      </c>
      <c r="J663" t="s">
        <v>20</v>
      </c>
      <c r="K663">
        <v>89.1</v>
      </c>
      <c r="L663">
        <v>214</v>
      </c>
      <c r="M663">
        <v>71.599999999999994</v>
      </c>
      <c r="N663">
        <v>6.7</v>
      </c>
      <c r="O663">
        <v>5.7</v>
      </c>
      <c r="P663">
        <v>4</v>
      </c>
      <c r="Q663" t="s">
        <v>28</v>
      </c>
      <c r="R663" t="s">
        <v>33</v>
      </c>
    </row>
    <row r="664" spans="1:18" x14ac:dyDescent="0.25">
      <c r="A664" t="s">
        <v>692</v>
      </c>
      <c r="B664">
        <v>74.2</v>
      </c>
      <c r="C664">
        <v>66.900000000000006</v>
      </c>
      <c r="D664">
        <v>74</v>
      </c>
      <c r="E664">
        <v>73.3</v>
      </c>
      <c r="F664">
        <v>76.3</v>
      </c>
      <c r="G664">
        <v>74.8</v>
      </c>
      <c r="H664" t="s">
        <v>19</v>
      </c>
      <c r="I664">
        <v>2</v>
      </c>
      <c r="J664" t="s">
        <v>20</v>
      </c>
      <c r="K664">
        <v>80.8</v>
      </c>
      <c r="L664">
        <v>194</v>
      </c>
      <c r="M664">
        <v>71.5</v>
      </c>
      <c r="N664">
        <v>6.2</v>
      </c>
      <c r="O664">
        <v>5.6</v>
      </c>
      <c r="P664">
        <v>2</v>
      </c>
      <c r="Q664" t="s">
        <v>25</v>
      </c>
      <c r="R664" t="s">
        <v>26</v>
      </c>
    </row>
    <row r="665" spans="1:18" x14ac:dyDescent="0.25">
      <c r="A665" t="s">
        <v>693</v>
      </c>
      <c r="B665">
        <v>46.6</v>
      </c>
      <c r="C665">
        <v>56.5</v>
      </c>
      <c r="D665">
        <v>61</v>
      </c>
      <c r="E665">
        <v>53</v>
      </c>
      <c r="F665">
        <v>61.5</v>
      </c>
      <c r="G665">
        <v>57.25</v>
      </c>
      <c r="H665" t="s">
        <v>19</v>
      </c>
      <c r="I665">
        <v>3</v>
      </c>
      <c r="J665" t="s">
        <v>20</v>
      </c>
      <c r="K665">
        <v>63.4</v>
      </c>
      <c r="L665">
        <v>152</v>
      </c>
      <c r="M665">
        <v>81.2</v>
      </c>
      <c r="N665">
        <v>7.9</v>
      </c>
      <c r="O665">
        <v>3.6</v>
      </c>
      <c r="P665">
        <v>2</v>
      </c>
      <c r="Q665" t="s">
        <v>25</v>
      </c>
      <c r="R665" t="s">
        <v>33</v>
      </c>
    </row>
    <row r="666" spans="1:18" x14ac:dyDescent="0.25">
      <c r="A666" t="s">
        <v>694</v>
      </c>
      <c r="B666">
        <v>47.6</v>
      </c>
      <c r="C666">
        <v>43.1</v>
      </c>
      <c r="D666">
        <v>49.1</v>
      </c>
      <c r="E666">
        <v>45.6</v>
      </c>
      <c r="F666">
        <v>57.8</v>
      </c>
      <c r="G666">
        <v>51.7</v>
      </c>
      <c r="H666" t="s">
        <v>19</v>
      </c>
      <c r="I666">
        <v>4</v>
      </c>
      <c r="J666" t="s">
        <v>38</v>
      </c>
      <c r="K666">
        <v>64.3</v>
      </c>
      <c r="L666">
        <v>154</v>
      </c>
      <c r="M666">
        <v>97.2</v>
      </c>
      <c r="N666">
        <v>5.8</v>
      </c>
      <c r="O666">
        <v>4.5999999999999996</v>
      </c>
      <c r="P666">
        <v>3</v>
      </c>
      <c r="Q666" t="s">
        <v>28</v>
      </c>
      <c r="R666" t="s">
        <v>33</v>
      </c>
    </row>
    <row r="667" spans="1:18" x14ac:dyDescent="0.25">
      <c r="A667" t="s">
        <v>695</v>
      </c>
      <c r="B667">
        <v>45.2</v>
      </c>
      <c r="C667">
        <v>49.7</v>
      </c>
      <c r="D667">
        <v>42.7</v>
      </c>
      <c r="E667">
        <v>48.4</v>
      </c>
      <c r="F667">
        <v>49.5</v>
      </c>
      <c r="G667">
        <v>48.95</v>
      </c>
      <c r="H667" t="s">
        <v>32</v>
      </c>
      <c r="I667">
        <v>2</v>
      </c>
      <c r="J667" t="s">
        <v>20</v>
      </c>
      <c r="K667">
        <v>62.4</v>
      </c>
      <c r="L667">
        <v>150</v>
      </c>
      <c r="M667">
        <v>71.2</v>
      </c>
      <c r="N667">
        <v>6.3</v>
      </c>
      <c r="O667">
        <v>3.2</v>
      </c>
      <c r="P667">
        <v>2</v>
      </c>
      <c r="Q667" t="s">
        <v>25</v>
      </c>
      <c r="R667" t="s">
        <v>33</v>
      </c>
    </row>
    <row r="668" spans="1:18" x14ac:dyDescent="0.25">
      <c r="A668" t="s">
        <v>696</v>
      </c>
      <c r="B668">
        <v>50.9</v>
      </c>
      <c r="C668">
        <v>55</v>
      </c>
      <c r="D668">
        <v>53</v>
      </c>
      <c r="E668">
        <v>53.5</v>
      </c>
      <c r="F668">
        <v>58.7</v>
      </c>
      <c r="G668">
        <v>56.1</v>
      </c>
      <c r="H668" t="s">
        <v>19</v>
      </c>
      <c r="I668">
        <v>3</v>
      </c>
      <c r="J668" t="s">
        <v>20</v>
      </c>
      <c r="K668">
        <v>65.8</v>
      </c>
      <c r="L668">
        <v>158</v>
      </c>
      <c r="M668">
        <v>69.400000000000006</v>
      </c>
      <c r="N668">
        <v>6.7</v>
      </c>
      <c r="O668">
        <v>4.2</v>
      </c>
      <c r="P668">
        <v>3</v>
      </c>
      <c r="Q668" t="s">
        <v>25</v>
      </c>
      <c r="R668" t="s">
        <v>22</v>
      </c>
    </row>
    <row r="669" spans="1:18" x14ac:dyDescent="0.25">
      <c r="A669" t="s">
        <v>697</v>
      </c>
      <c r="B669">
        <v>51.8</v>
      </c>
      <c r="C669">
        <v>47.7</v>
      </c>
      <c r="D669">
        <v>44.8</v>
      </c>
      <c r="E669">
        <v>48.8</v>
      </c>
      <c r="F669">
        <v>57.3</v>
      </c>
      <c r="G669">
        <v>53.05</v>
      </c>
      <c r="H669" t="s">
        <v>19</v>
      </c>
      <c r="I669">
        <v>3</v>
      </c>
      <c r="J669" t="s">
        <v>20</v>
      </c>
      <c r="K669">
        <v>52</v>
      </c>
      <c r="L669">
        <v>125</v>
      </c>
      <c r="M669">
        <v>74.400000000000006</v>
      </c>
      <c r="N669">
        <v>8.3000000000000007</v>
      </c>
      <c r="O669">
        <v>2.7</v>
      </c>
      <c r="P669">
        <v>1</v>
      </c>
      <c r="Q669" t="s">
        <v>25</v>
      </c>
      <c r="R669" t="s">
        <v>26</v>
      </c>
    </row>
    <row r="670" spans="1:18" x14ac:dyDescent="0.25">
      <c r="A670" t="s">
        <v>698</v>
      </c>
      <c r="B670">
        <v>56.5</v>
      </c>
      <c r="C670">
        <v>46.3</v>
      </c>
      <c r="D670">
        <v>48.3</v>
      </c>
      <c r="E670">
        <v>50.3</v>
      </c>
      <c r="F670">
        <v>57.7</v>
      </c>
      <c r="G670">
        <v>54</v>
      </c>
      <c r="H670" t="s">
        <v>19</v>
      </c>
      <c r="I670">
        <v>5</v>
      </c>
      <c r="J670" t="s">
        <v>24</v>
      </c>
      <c r="K670">
        <v>64</v>
      </c>
      <c r="L670">
        <v>154</v>
      </c>
      <c r="M670">
        <v>100.6</v>
      </c>
      <c r="N670">
        <v>7.1</v>
      </c>
      <c r="O670">
        <v>2.5</v>
      </c>
      <c r="P670">
        <v>5</v>
      </c>
      <c r="Q670" t="s">
        <v>28</v>
      </c>
      <c r="R670" t="s">
        <v>26</v>
      </c>
    </row>
    <row r="671" spans="1:18" x14ac:dyDescent="0.25">
      <c r="A671" t="s">
        <v>699</v>
      </c>
      <c r="B671">
        <v>55.8</v>
      </c>
      <c r="C671">
        <v>52.2</v>
      </c>
      <c r="D671">
        <v>53.6</v>
      </c>
      <c r="E671">
        <v>55.7</v>
      </c>
      <c r="F671">
        <v>63.2</v>
      </c>
      <c r="G671">
        <v>59.45</v>
      </c>
      <c r="H671" t="s">
        <v>19</v>
      </c>
      <c r="I671">
        <v>5</v>
      </c>
      <c r="J671" t="s">
        <v>24</v>
      </c>
      <c r="K671">
        <v>72.7</v>
      </c>
      <c r="L671">
        <v>174</v>
      </c>
      <c r="M671">
        <v>108.5</v>
      </c>
      <c r="N671">
        <v>6.7</v>
      </c>
      <c r="O671">
        <v>3.9</v>
      </c>
      <c r="P671">
        <v>5</v>
      </c>
      <c r="Q671" t="s">
        <v>28</v>
      </c>
      <c r="R671" t="s">
        <v>22</v>
      </c>
    </row>
    <row r="672" spans="1:18" x14ac:dyDescent="0.25">
      <c r="A672" t="s">
        <v>700</v>
      </c>
      <c r="B672">
        <v>51.1</v>
      </c>
      <c r="C672">
        <v>45</v>
      </c>
      <c r="D672">
        <v>47.1</v>
      </c>
      <c r="E672">
        <v>49.5</v>
      </c>
      <c r="F672">
        <v>57.9</v>
      </c>
      <c r="G672">
        <v>53.7</v>
      </c>
      <c r="H672" t="s">
        <v>19</v>
      </c>
      <c r="I672">
        <v>4</v>
      </c>
      <c r="J672" t="s">
        <v>24</v>
      </c>
      <c r="K672">
        <v>61.6</v>
      </c>
      <c r="L672">
        <v>148</v>
      </c>
      <c r="M672">
        <v>85</v>
      </c>
      <c r="N672">
        <v>6.2</v>
      </c>
      <c r="O672">
        <v>3.5</v>
      </c>
      <c r="P672">
        <v>5</v>
      </c>
      <c r="Q672" t="s">
        <v>28</v>
      </c>
      <c r="R672" t="s">
        <v>33</v>
      </c>
    </row>
    <row r="673" spans="1:18" x14ac:dyDescent="0.25">
      <c r="A673" t="s">
        <v>701</v>
      </c>
      <c r="B673">
        <v>97.8</v>
      </c>
      <c r="C673">
        <v>85.2</v>
      </c>
      <c r="D673">
        <v>83</v>
      </c>
      <c r="E673">
        <v>89.3</v>
      </c>
      <c r="F673">
        <v>95</v>
      </c>
      <c r="G673">
        <v>92.15</v>
      </c>
      <c r="H673" t="s">
        <v>19</v>
      </c>
      <c r="I673">
        <v>2</v>
      </c>
      <c r="J673" t="s">
        <v>20</v>
      </c>
      <c r="K673">
        <v>84.9</v>
      </c>
      <c r="L673">
        <v>204</v>
      </c>
      <c r="M673">
        <v>75.7</v>
      </c>
      <c r="N673">
        <v>7.3</v>
      </c>
      <c r="O673">
        <v>3.9</v>
      </c>
      <c r="P673">
        <v>1</v>
      </c>
      <c r="Q673" t="s">
        <v>25</v>
      </c>
      <c r="R673" t="s">
        <v>33</v>
      </c>
    </row>
    <row r="674" spans="1:18" x14ac:dyDescent="0.25">
      <c r="A674" t="s">
        <v>702</v>
      </c>
      <c r="B674">
        <v>45.6</v>
      </c>
      <c r="C674">
        <v>44.1</v>
      </c>
      <c r="D674">
        <v>43.8</v>
      </c>
      <c r="E674">
        <v>44.4</v>
      </c>
      <c r="F674">
        <v>52.2</v>
      </c>
      <c r="G674">
        <v>48.3</v>
      </c>
      <c r="H674" t="s">
        <v>32</v>
      </c>
      <c r="I674">
        <v>1</v>
      </c>
      <c r="J674" t="s">
        <v>20</v>
      </c>
      <c r="K674">
        <v>58.4</v>
      </c>
      <c r="L674">
        <v>140</v>
      </c>
      <c r="M674">
        <v>63.6</v>
      </c>
      <c r="N674">
        <v>7.7</v>
      </c>
      <c r="O674">
        <v>2.4</v>
      </c>
      <c r="P674">
        <v>3</v>
      </c>
      <c r="Q674" t="s">
        <v>25</v>
      </c>
      <c r="R674" t="s">
        <v>22</v>
      </c>
    </row>
    <row r="675" spans="1:18" x14ac:dyDescent="0.25">
      <c r="A675" t="s">
        <v>703</v>
      </c>
      <c r="B675">
        <v>81.900000000000006</v>
      </c>
      <c r="C675">
        <v>65.3</v>
      </c>
      <c r="D675">
        <v>66</v>
      </c>
      <c r="E675">
        <v>68.8</v>
      </c>
      <c r="F675">
        <v>74.900000000000006</v>
      </c>
      <c r="G675">
        <v>71.849999999999994</v>
      </c>
      <c r="H675" t="s">
        <v>19</v>
      </c>
      <c r="I675">
        <v>2</v>
      </c>
      <c r="J675" t="s">
        <v>20</v>
      </c>
      <c r="K675">
        <v>76.2</v>
      </c>
      <c r="L675">
        <v>183</v>
      </c>
      <c r="M675">
        <v>76.900000000000006</v>
      </c>
      <c r="N675">
        <v>7.5</v>
      </c>
      <c r="O675">
        <v>2.8</v>
      </c>
      <c r="P675">
        <v>4</v>
      </c>
      <c r="Q675" t="s">
        <v>28</v>
      </c>
      <c r="R675" t="s">
        <v>26</v>
      </c>
    </row>
    <row r="676" spans="1:18" x14ac:dyDescent="0.25">
      <c r="A676" t="s">
        <v>704</v>
      </c>
      <c r="B676">
        <v>65.400000000000006</v>
      </c>
      <c r="C676">
        <v>66</v>
      </c>
      <c r="D676">
        <v>47.9</v>
      </c>
      <c r="E676">
        <v>62.6</v>
      </c>
      <c r="F676">
        <v>57.9</v>
      </c>
      <c r="G676">
        <v>60.25</v>
      </c>
      <c r="H676" t="s">
        <v>19</v>
      </c>
      <c r="I676">
        <v>2</v>
      </c>
      <c r="J676" t="s">
        <v>20</v>
      </c>
      <c r="K676">
        <v>70.2</v>
      </c>
      <c r="L676">
        <v>168</v>
      </c>
      <c r="M676">
        <v>70.2</v>
      </c>
      <c r="N676">
        <v>7.3</v>
      </c>
      <c r="O676">
        <v>1.4</v>
      </c>
      <c r="P676">
        <v>6</v>
      </c>
      <c r="Q676" t="s">
        <v>21</v>
      </c>
      <c r="R676" t="s">
        <v>22</v>
      </c>
    </row>
    <row r="677" spans="1:18" x14ac:dyDescent="0.25">
      <c r="A677" t="s">
        <v>705</v>
      </c>
      <c r="B677">
        <v>85.2</v>
      </c>
      <c r="C677">
        <v>101.5</v>
      </c>
      <c r="D677">
        <v>104.3</v>
      </c>
      <c r="E677">
        <v>94</v>
      </c>
      <c r="F677">
        <v>83.9</v>
      </c>
      <c r="G677">
        <v>88.95</v>
      </c>
      <c r="H677" t="s">
        <v>19</v>
      </c>
      <c r="I677">
        <v>3</v>
      </c>
      <c r="J677" t="s">
        <v>20</v>
      </c>
      <c r="K677">
        <v>82.3</v>
      </c>
      <c r="L677">
        <v>198</v>
      </c>
      <c r="M677">
        <v>76</v>
      </c>
      <c r="N677">
        <v>7.3</v>
      </c>
      <c r="O677">
        <v>1.3</v>
      </c>
      <c r="P677">
        <v>8</v>
      </c>
      <c r="Q677" t="s">
        <v>21</v>
      </c>
      <c r="R677" t="s">
        <v>26</v>
      </c>
    </row>
    <row r="678" spans="1:18" x14ac:dyDescent="0.25">
      <c r="A678" t="s">
        <v>706</v>
      </c>
      <c r="B678">
        <v>49.9</v>
      </c>
      <c r="C678">
        <v>43.3</v>
      </c>
      <c r="D678">
        <v>51.6</v>
      </c>
      <c r="E678">
        <v>46.2</v>
      </c>
      <c r="F678">
        <v>68.3</v>
      </c>
      <c r="G678">
        <v>57.25</v>
      </c>
      <c r="H678" t="s">
        <v>19</v>
      </c>
      <c r="I678">
        <v>4</v>
      </c>
      <c r="J678" t="s">
        <v>24</v>
      </c>
      <c r="K678">
        <v>69.7</v>
      </c>
      <c r="L678">
        <v>167</v>
      </c>
      <c r="M678">
        <v>94.9</v>
      </c>
      <c r="N678">
        <v>6.7</v>
      </c>
      <c r="O678">
        <v>2.2999999999999998</v>
      </c>
      <c r="P678">
        <v>5</v>
      </c>
      <c r="Q678" t="s">
        <v>28</v>
      </c>
      <c r="R678" t="s">
        <v>26</v>
      </c>
    </row>
    <row r="679" spans="1:18" x14ac:dyDescent="0.25">
      <c r="A679" t="s">
        <v>707</v>
      </c>
      <c r="B679">
        <v>63.8</v>
      </c>
      <c r="C679">
        <v>63.1</v>
      </c>
      <c r="D679">
        <v>60</v>
      </c>
      <c r="E679">
        <v>61.9</v>
      </c>
      <c r="F679">
        <v>77.900000000000006</v>
      </c>
      <c r="G679">
        <v>69.900000000000006</v>
      </c>
      <c r="H679" t="s">
        <v>19</v>
      </c>
      <c r="I679">
        <v>4</v>
      </c>
      <c r="J679" t="s">
        <v>24</v>
      </c>
      <c r="K679">
        <v>75.599999999999994</v>
      </c>
      <c r="L679">
        <v>181</v>
      </c>
      <c r="M679">
        <v>97.6</v>
      </c>
      <c r="N679">
        <v>7.6</v>
      </c>
      <c r="O679">
        <v>1.4</v>
      </c>
      <c r="P679">
        <v>4</v>
      </c>
      <c r="Q679" t="s">
        <v>28</v>
      </c>
      <c r="R679" t="s">
        <v>26</v>
      </c>
    </row>
    <row r="680" spans="1:18" x14ac:dyDescent="0.25">
      <c r="A680" t="s">
        <v>708</v>
      </c>
      <c r="B680">
        <v>99.8</v>
      </c>
      <c r="C680">
        <v>95.8</v>
      </c>
      <c r="D680">
        <v>93.4</v>
      </c>
      <c r="E680">
        <v>93.3</v>
      </c>
      <c r="F680">
        <v>100</v>
      </c>
      <c r="G680">
        <v>96.65</v>
      </c>
      <c r="H680" t="s">
        <v>19</v>
      </c>
      <c r="I680">
        <v>4</v>
      </c>
      <c r="J680" t="s">
        <v>24</v>
      </c>
      <c r="K680">
        <v>83.6</v>
      </c>
      <c r="L680">
        <v>201</v>
      </c>
      <c r="M680">
        <v>98.7</v>
      </c>
      <c r="N680">
        <v>7</v>
      </c>
      <c r="O680">
        <v>1.5</v>
      </c>
      <c r="P680">
        <v>1</v>
      </c>
      <c r="Q680" t="s">
        <v>25</v>
      </c>
      <c r="R680" t="s">
        <v>33</v>
      </c>
    </row>
    <row r="681" spans="1:18" x14ac:dyDescent="0.25">
      <c r="A681" t="s">
        <v>709</v>
      </c>
      <c r="B681">
        <v>91</v>
      </c>
      <c r="C681">
        <v>90</v>
      </c>
      <c r="D681">
        <v>81.7</v>
      </c>
      <c r="E681">
        <v>87.6</v>
      </c>
      <c r="F681">
        <v>84.9</v>
      </c>
      <c r="G681">
        <v>86.25</v>
      </c>
      <c r="H681" t="s">
        <v>19</v>
      </c>
      <c r="I681">
        <v>2</v>
      </c>
      <c r="J681" t="s">
        <v>20</v>
      </c>
      <c r="K681">
        <v>86.3</v>
      </c>
      <c r="L681">
        <v>207</v>
      </c>
      <c r="M681">
        <v>74.3</v>
      </c>
      <c r="N681">
        <v>5.9</v>
      </c>
      <c r="O681">
        <v>5.0999999999999996</v>
      </c>
      <c r="P681">
        <v>2</v>
      </c>
      <c r="Q681" t="s">
        <v>25</v>
      </c>
      <c r="R681" t="s">
        <v>33</v>
      </c>
    </row>
    <row r="682" spans="1:18" x14ac:dyDescent="0.25">
      <c r="A682" t="s">
        <v>710</v>
      </c>
      <c r="B682">
        <v>84.2</v>
      </c>
      <c r="C682">
        <v>85.3</v>
      </c>
      <c r="D682">
        <v>93.4</v>
      </c>
      <c r="E682">
        <v>84.9</v>
      </c>
      <c r="F682">
        <v>85.7</v>
      </c>
      <c r="G682">
        <v>85.3</v>
      </c>
      <c r="H682" t="s">
        <v>19</v>
      </c>
      <c r="I682">
        <v>4</v>
      </c>
      <c r="J682" t="s">
        <v>38</v>
      </c>
      <c r="K682">
        <v>85.2</v>
      </c>
      <c r="L682">
        <v>204</v>
      </c>
      <c r="M682">
        <v>84.5</v>
      </c>
      <c r="N682">
        <v>7.4</v>
      </c>
      <c r="O682">
        <v>1.2</v>
      </c>
      <c r="P682">
        <v>5</v>
      </c>
      <c r="Q682" t="s">
        <v>28</v>
      </c>
      <c r="R682" t="s">
        <v>22</v>
      </c>
    </row>
    <row r="683" spans="1:18" x14ac:dyDescent="0.25">
      <c r="A683" t="s">
        <v>711</v>
      </c>
      <c r="B683">
        <v>48.1</v>
      </c>
      <c r="C683">
        <v>57.9</v>
      </c>
      <c r="D683">
        <v>63.7</v>
      </c>
      <c r="E683">
        <v>54.2</v>
      </c>
      <c r="F683">
        <v>65.7</v>
      </c>
      <c r="G683">
        <v>59.95</v>
      </c>
      <c r="H683" t="s">
        <v>19</v>
      </c>
      <c r="I683">
        <v>2</v>
      </c>
      <c r="J683" t="s">
        <v>20</v>
      </c>
      <c r="K683">
        <v>70.3</v>
      </c>
      <c r="L683">
        <v>169</v>
      </c>
      <c r="M683">
        <v>64.7</v>
      </c>
      <c r="N683">
        <v>6.5</v>
      </c>
      <c r="O683">
        <v>4.3</v>
      </c>
      <c r="P683">
        <v>1</v>
      </c>
      <c r="Q683" t="s">
        <v>25</v>
      </c>
      <c r="R683" t="s">
        <v>22</v>
      </c>
    </row>
    <row r="684" spans="1:18" x14ac:dyDescent="0.25">
      <c r="A684" t="s">
        <v>712</v>
      </c>
      <c r="B684">
        <v>48.4</v>
      </c>
      <c r="C684">
        <v>51.8</v>
      </c>
      <c r="D684">
        <v>50.2</v>
      </c>
      <c r="E684">
        <v>49.4</v>
      </c>
      <c r="F684">
        <v>50</v>
      </c>
      <c r="G684">
        <v>49.7</v>
      </c>
      <c r="H684" t="s">
        <v>32</v>
      </c>
      <c r="I684">
        <v>1</v>
      </c>
      <c r="J684" t="s">
        <v>20</v>
      </c>
      <c r="K684">
        <v>56.2</v>
      </c>
      <c r="L684">
        <v>135</v>
      </c>
      <c r="M684">
        <v>66.5</v>
      </c>
      <c r="N684">
        <v>7</v>
      </c>
      <c r="O684">
        <v>2.4</v>
      </c>
      <c r="P684">
        <v>2</v>
      </c>
      <c r="Q684" t="s">
        <v>25</v>
      </c>
      <c r="R684" t="s">
        <v>33</v>
      </c>
    </row>
    <row r="685" spans="1:18" x14ac:dyDescent="0.25">
      <c r="A685" t="s">
        <v>713</v>
      </c>
      <c r="B685">
        <v>72.5</v>
      </c>
      <c r="C685">
        <v>70.599999999999994</v>
      </c>
      <c r="D685">
        <v>81.900000000000006</v>
      </c>
      <c r="E685">
        <v>76.8</v>
      </c>
      <c r="F685">
        <v>71.099999999999994</v>
      </c>
      <c r="G685">
        <v>73.95</v>
      </c>
      <c r="H685" t="s">
        <v>19</v>
      </c>
      <c r="I685">
        <v>4</v>
      </c>
      <c r="J685" t="s">
        <v>38</v>
      </c>
      <c r="K685">
        <v>83.4</v>
      </c>
      <c r="L685">
        <v>200</v>
      </c>
      <c r="M685">
        <v>90.2</v>
      </c>
      <c r="N685">
        <v>6.6</v>
      </c>
      <c r="O685">
        <v>5.4</v>
      </c>
      <c r="P685">
        <v>1</v>
      </c>
      <c r="Q685" t="s">
        <v>25</v>
      </c>
      <c r="R685" t="s">
        <v>22</v>
      </c>
    </row>
    <row r="686" spans="1:18" x14ac:dyDescent="0.25">
      <c r="A686" t="s">
        <v>714</v>
      </c>
      <c r="B686">
        <v>88.2</v>
      </c>
      <c r="C686">
        <v>95.5</v>
      </c>
      <c r="D686">
        <v>92</v>
      </c>
      <c r="E686">
        <v>91.1</v>
      </c>
      <c r="F686">
        <v>78.5</v>
      </c>
      <c r="G686">
        <v>84.8</v>
      </c>
      <c r="H686" t="s">
        <v>19</v>
      </c>
      <c r="I686">
        <v>1</v>
      </c>
      <c r="J686" t="s">
        <v>140</v>
      </c>
      <c r="K686">
        <v>82.7</v>
      </c>
      <c r="L686">
        <v>198</v>
      </c>
      <c r="M686">
        <v>55.6</v>
      </c>
      <c r="N686">
        <v>7</v>
      </c>
      <c r="O686">
        <v>3.4</v>
      </c>
      <c r="P686">
        <v>5</v>
      </c>
      <c r="Q686" t="s">
        <v>28</v>
      </c>
      <c r="R686" t="s">
        <v>33</v>
      </c>
    </row>
    <row r="687" spans="1:18" x14ac:dyDescent="0.25">
      <c r="A687" t="s">
        <v>715</v>
      </c>
      <c r="B687">
        <v>73.599999999999994</v>
      </c>
      <c r="C687">
        <v>75.099999999999994</v>
      </c>
      <c r="D687">
        <v>63.9</v>
      </c>
      <c r="E687">
        <v>70.599999999999994</v>
      </c>
      <c r="F687">
        <v>76.599999999999994</v>
      </c>
      <c r="G687">
        <v>73.599999999999994</v>
      </c>
      <c r="H687" t="s">
        <v>19</v>
      </c>
      <c r="I687">
        <v>3</v>
      </c>
      <c r="J687" t="s">
        <v>20</v>
      </c>
      <c r="K687">
        <v>73.5</v>
      </c>
      <c r="L687">
        <v>176</v>
      </c>
      <c r="M687">
        <v>73.7</v>
      </c>
      <c r="N687">
        <v>7.1</v>
      </c>
      <c r="O687">
        <v>2.5</v>
      </c>
      <c r="P687">
        <v>4</v>
      </c>
      <c r="Q687" t="s">
        <v>28</v>
      </c>
      <c r="R687" t="s">
        <v>33</v>
      </c>
    </row>
    <row r="688" spans="1:18" x14ac:dyDescent="0.25">
      <c r="A688" t="s">
        <v>716</v>
      </c>
      <c r="B688">
        <v>79.8</v>
      </c>
      <c r="C688">
        <v>67.599999999999994</v>
      </c>
      <c r="D688">
        <v>69.400000000000006</v>
      </c>
      <c r="E688">
        <v>71.400000000000006</v>
      </c>
      <c r="F688">
        <v>80</v>
      </c>
      <c r="G688">
        <v>75.7</v>
      </c>
      <c r="H688" t="s">
        <v>19</v>
      </c>
      <c r="I688">
        <v>2</v>
      </c>
      <c r="J688" t="s">
        <v>20</v>
      </c>
      <c r="K688">
        <v>88.9</v>
      </c>
      <c r="L688">
        <v>213</v>
      </c>
      <c r="M688">
        <v>70.8</v>
      </c>
      <c r="N688">
        <v>7</v>
      </c>
      <c r="O688">
        <v>3.6</v>
      </c>
      <c r="P688">
        <v>1</v>
      </c>
      <c r="Q688" t="s">
        <v>25</v>
      </c>
      <c r="R688" t="s">
        <v>26</v>
      </c>
    </row>
    <row r="689" spans="1:18" x14ac:dyDescent="0.25">
      <c r="A689" t="s">
        <v>717</v>
      </c>
      <c r="B689">
        <v>57.4</v>
      </c>
      <c r="C689">
        <v>55.6</v>
      </c>
      <c r="D689">
        <v>56.1</v>
      </c>
      <c r="E689">
        <v>55.4</v>
      </c>
      <c r="F689">
        <v>65</v>
      </c>
      <c r="G689">
        <v>60.2</v>
      </c>
      <c r="H689" t="s">
        <v>19</v>
      </c>
      <c r="I689">
        <v>4</v>
      </c>
      <c r="J689" t="s">
        <v>38</v>
      </c>
      <c r="K689">
        <v>69.2</v>
      </c>
      <c r="L689">
        <v>166</v>
      </c>
      <c r="M689">
        <v>80.3</v>
      </c>
      <c r="N689">
        <v>6.6</v>
      </c>
      <c r="O689">
        <v>2.9</v>
      </c>
      <c r="P689">
        <v>2</v>
      </c>
      <c r="Q689" t="s">
        <v>25</v>
      </c>
      <c r="R689" t="s">
        <v>26</v>
      </c>
    </row>
    <row r="690" spans="1:18" x14ac:dyDescent="0.25">
      <c r="A690" t="s">
        <v>718</v>
      </c>
      <c r="B690">
        <v>76.3</v>
      </c>
      <c r="C690">
        <v>85.7</v>
      </c>
      <c r="D690">
        <v>80</v>
      </c>
      <c r="E690">
        <v>82.3</v>
      </c>
      <c r="F690">
        <v>79.7</v>
      </c>
      <c r="G690">
        <v>81</v>
      </c>
      <c r="H690" t="s">
        <v>19</v>
      </c>
      <c r="I690">
        <v>4</v>
      </c>
      <c r="J690" t="s">
        <v>24</v>
      </c>
      <c r="K690">
        <v>79.2</v>
      </c>
      <c r="L690">
        <v>190</v>
      </c>
      <c r="M690">
        <v>86.6</v>
      </c>
      <c r="N690">
        <v>6.9</v>
      </c>
      <c r="O690">
        <v>3.8</v>
      </c>
      <c r="P690">
        <v>5</v>
      </c>
      <c r="Q690" t="s">
        <v>28</v>
      </c>
      <c r="R690" t="s">
        <v>33</v>
      </c>
    </row>
    <row r="691" spans="1:18" x14ac:dyDescent="0.25">
      <c r="A691" t="s">
        <v>719</v>
      </c>
      <c r="B691">
        <v>52.5</v>
      </c>
      <c r="C691">
        <v>49.2</v>
      </c>
      <c r="D691">
        <v>49.2</v>
      </c>
      <c r="E691">
        <v>50.3</v>
      </c>
      <c r="F691">
        <v>47.6</v>
      </c>
      <c r="G691">
        <v>48.95</v>
      </c>
      <c r="H691" t="s">
        <v>32</v>
      </c>
      <c r="I691">
        <v>2</v>
      </c>
      <c r="J691" t="s">
        <v>20</v>
      </c>
      <c r="K691">
        <v>54.1</v>
      </c>
      <c r="L691">
        <v>130</v>
      </c>
      <c r="M691">
        <v>66.5</v>
      </c>
      <c r="N691">
        <v>7.6</v>
      </c>
      <c r="O691">
        <v>1.6</v>
      </c>
      <c r="P691">
        <v>2</v>
      </c>
      <c r="Q691" t="s">
        <v>25</v>
      </c>
      <c r="R691" t="s">
        <v>26</v>
      </c>
    </row>
    <row r="692" spans="1:18" x14ac:dyDescent="0.25">
      <c r="A692" t="s">
        <v>720</v>
      </c>
      <c r="B692">
        <v>63.8</v>
      </c>
      <c r="C692">
        <v>63.2</v>
      </c>
      <c r="D692">
        <v>57.3</v>
      </c>
      <c r="E692">
        <v>57.8</v>
      </c>
      <c r="F692">
        <v>74.900000000000006</v>
      </c>
      <c r="G692">
        <v>66.349999999999994</v>
      </c>
      <c r="H692" t="s">
        <v>19</v>
      </c>
      <c r="I692">
        <v>4</v>
      </c>
      <c r="J692" t="s">
        <v>24</v>
      </c>
      <c r="K692">
        <v>75.8</v>
      </c>
      <c r="L692">
        <v>182</v>
      </c>
      <c r="M692">
        <v>90.4</v>
      </c>
      <c r="N692">
        <v>5.5</v>
      </c>
      <c r="O692">
        <v>6</v>
      </c>
      <c r="P692">
        <v>1</v>
      </c>
      <c r="Q692" t="s">
        <v>25</v>
      </c>
      <c r="R692" t="s">
        <v>33</v>
      </c>
    </row>
    <row r="693" spans="1:18" x14ac:dyDescent="0.25">
      <c r="A693" t="s">
        <v>721</v>
      </c>
      <c r="B693">
        <v>60.4</v>
      </c>
      <c r="C693">
        <v>75.2</v>
      </c>
      <c r="D693">
        <v>63</v>
      </c>
      <c r="E693">
        <v>63.4</v>
      </c>
      <c r="F693">
        <v>56.6</v>
      </c>
      <c r="G693">
        <v>60</v>
      </c>
      <c r="H693" t="s">
        <v>19</v>
      </c>
      <c r="I693">
        <v>2</v>
      </c>
      <c r="J693" t="s">
        <v>20</v>
      </c>
      <c r="K693">
        <v>65</v>
      </c>
      <c r="L693">
        <v>156</v>
      </c>
      <c r="M693">
        <v>68.099999999999994</v>
      </c>
      <c r="N693">
        <v>7.6</v>
      </c>
      <c r="O693">
        <v>3.1</v>
      </c>
      <c r="P693">
        <v>5</v>
      </c>
      <c r="Q693" t="s">
        <v>28</v>
      </c>
      <c r="R693" t="s">
        <v>26</v>
      </c>
    </row>
    <row r="694" spans="1:18" x14ac:dyDescent="0.25">
      <c r="A694" t="s">
        <v>722</v>
      </c>
      <c r="B694">
        <v>67.2</v>
      </c>
      <c r="C694">
        <v>64</v>
      </c>
      <c r="D694">
        <v>68.2</v>
      </c>
      <c r="E694">
        <v>67.900000000000006</v>
      </c>
      <c r="F694">
        <v>64</v>
      </c>
      <c r="G694">
        <v>65.95</v>
      </c>
      <c r="H694" t="s">
        <v>19</v>
      </c>
      <c r="I694">
        <v>3</v>
      </c>
      <c r="J694" t="s">
        <v>20</v>
      </c>
      <c r="K694">
        <v>68.900000000000006</v>
      </c>
      <c r="L694">
        <v>165</v>
      </c>
      <c r="M694">
        <v>69.7</v>
      </c>
      <c r="N694">
        <v>6.7</v>
      </c>
      <c r="O694">
        <v>2.7</v>
      </c>
      <c r="P694">
        <v>5</v>
      </c>
      <c r="Q694" t="s">
        <v>28</v>
      </c>
      <c r="R694" t="s">
        <v>22</v>
      </c>
    </row>
    <row r="695" spans="1:18" x14ac:dyDescent="0.25">
      <c r="A695" t="s">
        <v>723</v>
      </c>
      <c r="B695">
        <v>53.4</v>
      </c>
      <c r="C695">
        <v>46.4</v>
      </c>
      <c r="D695">
        <v>48</v>
      </c>
      <c r="E695">
        <v>53.3</v>
      </c>
      <c r="F695">
        <v>63.5</v>
      </c>
      <c r="G695">
        <v>58.4</v>
      </c>
      <c r="H695" t="s">
        <v>19</v>
      </c>
      <c r="I695">
        <v>4</v>
      </c>
      <c r="J695" t="s">
        <v>38</v>
      </c>
      <c r="K695">
        <v>65</v>
      </c>
      <c r="L695">
        <v>156</v>
      </c>
      <c r="M695">
        <v>99.2</v>
      </c>
      <c r="N695">
        <v>6.7</v>
      </c>
      <c r="O695">
        <v>4.5999999999999996</v>
      </c>
      <c r="P695">
        <v>1</v>
      </c>
      <c r="Q695" t="s">
        <v>25</v>
      </c>
      <c r="R695" t="s">
        <v>22</v>
      </c>
    </row>
    <row r="696" spans="1:18" x14ac:dyDescent="0.25">
      <c r="A696" t="s">
        <v>724</v>
      </c>
      <c r="B696">
        <v>42.4</v>
      </c>
      <c r="C696">
        <v>47.8</v>
      </c>
      <c r="D696">
        <v>42.7</v>
      </c>
      <c r="E696">
        <v>46.3</v>
      </c>
      <c r="F696">
        <v>48.3</v>
      </c>
      <c r="G696">
        <v>47.3</v>
      </c>
      <c r="H696" t="s">
        <v>32</v>
      </c>
      <c r="I696">
        <v>4</v>
      </c>
      <c r="J696" t="s">
        <v>38</v>
      </c>
      <c r="K696">
        <v>70.2</v>
      </c>
      <c r="L696">
        <v>168</v>
      </c>
      <c r="M696">
        <v>94</v>
      </c>
      <c r="N696">
        <v>7.7</v>
      </c>
      <c r="O696">
        <v>2.8</v>
      </c>
      <c r="P696">
        <v>5</v>
      </c>
      <c r="Q696" t="s">
        <v>28</v>
      </c>
      <c r="R696" t="s">
        <v>33</v>
      </c>
    </row>
    <row r="697" spans="1:18" x14ac:dyDescent="0.25">
      <c r="A697" t="s">
        <v>725</v>
      </c>
      <c r="B697">
        <v>76.8</v>
      </c>
      <c r="C697">
        <v>77.2</v>
      </c>
      <c r="D697">
        <v>67.2</v>
      </c>
      <c r="E697">
        <v>73.599999999999994</v>
      </c>
      <c r="F697">
        <v>82.2</v>
      </c>
      <c r="G697">
        <v>77.900000000000006</v>
      </c>
      <c r="H697" t="s">
        <v>19</v>
      </c>
      <c r="I697">
        <v>5</v>
      </c>
      <c r="J697" t="s">
        <v>24</v>
      </c>
      <c r="K697">
        <v>80.7</v>
      </c>
      <c r="L697">
        <v>194</v>
      </c>
      <c r="M697">
        <v>95.6</v>
      </c>
      <c r="N697">
        <v>6.9</v>
      </c>
      <c r="O697">
        <v>5.2</v>
      </c>
      <c r="P697">
        <v>1</v>
      </c>
      <c r="Q697" t="s">
        <v>25</v>
      </c>
      <c r="R697" t="s">
        <v>33</v>
      </c>
    </row>
    <row r="698" spans="1:18" x14ac:dyDescent="0.25">
      <c r="A698" t="s">
        <v>726</v>
      </c>
      <c r="B698">
        <v>55.3</v>
      </c>
      <c r="C698">
        <v>54.7</v>
      </c>
      <c r="D698">
        <v>60.8</v>
      </c>
      <c r="E698">
        <v>55.9</v>
      </c>
      <c r="F698">
        <v>64.400000000000006</v>
      </c>
      <c r="G698">
        <v>60.15</v>
      </c>
      <c r="H698" t="s">
        <v>19</v>
      </c>
      <c r="I698">
        <v>2</v>
      </c>
      <c r="J698" t="s">
        <v>20</v>
      </c>
      <c r="K698">
        <v>67.099999999999994</v>
      </c>
      <c r="L698">
        <v>161</v>
      </c>
      <c r="M698">
        <v>70.400000000000006</v>
      </c>
      <c r="N698">
        <v>7</v>
      </c>
      <c r="O698">
        <v>3.3</v>
      </c>
      <c r="P698">
        <v>2</v>
      </c>
      <c r="Q698" t="s">
        <v>25</v>
      </c>
      <c r="R698" t="s">
        <v>26</v>
      </c>
    </row>
    <row r="699" spans="1:18" x14ac:dyDescent="0.25">
      <c r="A699" t="s">
        <v>727</v>
      </c>
      <c r="B699">
        <v>74.099999999999994</v>
      </c>
      <c r="C699">
        <v>79.2</v>
      </c>
      <c r="D699">
        <v>61.4</v>
      </c>
      <c r="E699">
        <v>72</v>
      </c>
      <c r="F699">
        <v>77.7</v>
      </c>
      <c r="G699">
        <v>74.849999999999994</v>
      </c>
      <c r="H699" t="s">
        <v>19</v>
      </c>
      <c r="I699">
        <v>4</v>
      </c>
      <c r="J699" t="s">
        <v>38</v>
      </c>
      <c r="K699">
        <v>77.5</v>
      </c>
      <c r="L699">
        <v>186</v>
      </c>
      <c r="M699">
        <v>88.6</v>
      </c>
      <c r="N699">
        <v>6.4</v>
      </c>
      <c r="O699">
        <v>4.5999999999999996</v>
      </c>
      <c r="P699">
        <v>2</v>
      </c>
      <c r="Q699" t="s">
        <v>25</v>
      </c>
      <c r="R699" t="s">
        <v>26</v>
      </c>
    </row>
    <row r="700" spans="1:18" x14ac:dyDescent="0.25">
      <c r="A700" t="s">
        <v>728</v>
      </c>
      <c r="B700">
        <v>44.1</v>
      </c>
      <c r="C700">
        <v>41.8</v>
      </c>
      <c r="D700">
        <v>54.3</v>
      </c>
      <c r="E700">
        <v>48.5</v>
      </c>
      <c r="F700">
        <v>51.9</v>
      </c>
      <c r="G700">
        <v>50.2</v>
      </c>
      <c r="H700" t="s">
        <v>19</v>
      </c>
      <c r="I700">
        <v>3</v>
      </c>
      <c r="J700" t="s">
        <v>38</v>
      </c>
      <c r="K700">
        <v>61.2</v>
      </c>
      <c r="L700">
        <v>147</v>
      </c>
      <c r="M700">
        <v>90.3</v>
      </c>
      <c r="N700">
        <v>8</v>
      </c>
      <c r="O700">
        <v>1.5</v>
      </c>
      <c r="P700">
        <v>4</v>
      </c>
      <c r="Q700" t="s">
        <v>28</v>
      </c>
      <c r="R700" t="s">
        <v>33</v>
      </c>
    </row>
    <row r="701" spans="1:18" x14ac:dyDescent="0.25">
      <c r="A701" t="s">
        <v>729</v>
      </c>
      <c r="B701">
        <v>64.3</v>
      </c>
      <c r="C701">
        <v>69.900000000000006</v>
      </c>
      <c r="D701">
        <v>73.400000000000006</v>
      </c>
      <c r="E701">
        <v>66.5</v>
      </c>
      <c r="F701">
        <v>79.2</v>
      </c>
      <c r="G701">
        <v>72.849999999999994</v>
      </c>
      <c r="H701" t="s">
        <v>19</v>
      </c>
      <c r="I701">
        <v>5</v>
      </c>
      <c r="J701" t="s">
        <v>24</v>
      </c>
      <c r="K701">
        <v>73.900000000000006</v>
      </c>
      <c r="L701">
        <v>177</v>
      </c>
      <c r="M701">
        <v>92.5</v>
      </c>
      <c r="N701">
        <v>6.8</v>
      </c>
      <c r="O701">
        <v>5.2</v>
      </c>
      <c r="P701">
        <v>3</v>
      </c>
      <c r="Q701" t="s">
        <v>25</v>
      </c>
      <c r="R701" t="s">
        <v>22</v>
      </c>
    </row>
    <row r="702" spans="1:18" x14ac:dyDescent="0.25">
      <c r="A702" t="s">
        <v>730</v>
      </c>
      <c r="B702">
        <v>72.900000000000006</v>
      </c>
      <c r="C702">
        <v>66.3</v>
      </c>
      <c r="D702">
        <v>67.8</v>
      </c>
      <c r="E702">
        <v>69.3</v>
      </c>
      <c r="F702">
        <v>72.400000000000006</v>
      </c>
      <c r="G702">
        <v>70.849999999999994</v>
      </c>
      <c r="H702" t="s">
        <v>19</v>
      </c>
      <c r="I702">
        <v>2</v>
      </c>
      <c r="J702" t="s">
        <v>20</v>
      </c>
      <c r="K702">
        <v>75</v>
      </c>
      <c r="L702">
        <v>180</v>
      </c>
      <c r="M702">
        <v>71.7</v>
      </c>
      <c r="N702">
        <v>6.3</v>
      </c>
      <c r="O702">
        <v>4.7</v>
      </c>
      <c r="P702">
        <v>1</v>
      </c>
      <c r="Q702" t="s">
        <v>25</v>
      </c>
      <c r="R702" t="s">
        <v>22</v>
      </c>
    </row>
    <row r="703" spans="1:18" x14ac:dyDescent="0.25">
      <c r="A703" t="s">
        <v>731</v>
      </c>
      <c r="B703">
        <v>41</v>
      </c>
      <c r="C703">
        <v>51.4</v>
      </c>
      <c r="D703">
        <v>29.8</v>
      </c>
      <c r="E703">
        <v>42.9</v>
      </c>
      <c r="F703">
        <v>39.700000000000003</v>
      </c>
      <c r="G703">
        <v>41.3</v>
      </c>
      <c r="H703" t="s">
        <v>32</v>
      </c>
      <c r="I703">
        <v>4</v>
      </c>
      <c r="J703" t="s">
        <v>38</v>
      </c>
      <c r="K703">
        <v>66.3</v>
      </c>
      <c r="L703">
        <v>159</v>
      </c>
      <c r="M703">
        <v>87.3</v>
      </c>
      <c r="N703">
        <v>7</v>
      </c>
      <c r="O703">
        <v>2.1</v>
      </c>
      <c r="P703">
        <v>6</v>
      </c>
      <c r="Q703" t="s">
        <v>21</v>
      </c>
      <c r="R703" t="s">
        <v>33</v>
      </c>
    </row>
    <row r="704" spans="1:18" x14ac:dyDescent="0.25">
      <c r="A704" t="s">
        <v>732</v>
      </c>
      <c r="B704">
        <v>67.099999999999994</v>
      </c>
      <c r="C704">
        <v>68.5</v>
      </c>
      <c r="D704">
        <v>56.7</v>
      </c>
      <c r="E704">
        <v>58.5</v>
      </c>
      <c r="F704">
        <v>72.2</v>
      </c>
      <c r="G704">
        <v>65.349999999999994</v>
      </c>
      <c r="H704" t="s">
        <v>19</v>
      </c>
      <c r="I704">
        <v>3</v>
      </c>
      <c r="J704" t="s">
        <v>38</v>
      </c>
      <c r="K704">
        <v>74.099999999999994</v>
      </c>
      <c r="L704">
        <v>178</v>
      </c>
      <c r="M704">
        <v>76.099999999999994</v>
      </c>
      <c r="N704">
        <v>6.4</v>
      </c>
      <c r="O704">
        <v>1.7</v>
      </c>
      <c r="P704">
        <v>5</v>
      </c>
      <c r="Q704" t="s">
        <v>28</v>
      </c>
      <c r="R704" t="s">
        <v>22</v>
      </c>
    </row>
    <row r="705" spans="1:18" x14ac:dyDescent="0.25">
      <c r="A705" t="s">
        <v>733</v>
      </c>
      <c r="B705">
        <v>45.4</v>
      </c>
      <c r="C705">
        <v>43.6</v>
      </c>
      <c r="D705">
        <v>47.1</v>
      </c>
      <c r="E705">
        <v>47.4</v>
      </c>
      <c r="F705">
        <v>50.3</v>
      </c>
      <c r="G705">
        <v>48.85</v>
      </c>
      <c r="H705" t="s">
        <v>32</v>
      </c>
      <c r="I705">
        <v>2</v>
      </c>
      <c r="J705" t="s">
        <v>20</v>
      </c>
      <c r="K705">
        <v>66.2</v>
      </c>
      <c r="L705">
        <v>159</v>
      </c>
      <c r="M705">
        <v>74.599999999999994</v>
      </c>
      <c r="N705">
        <v>7.3</v>
      </c>
      <c r="O705">
        <v>2.6</v>
      </c>
      <c r="P705">
        <v>4</v>
      </c>
      <c r="Q705" t="s">
        <v>28</v>
      </c>
      <c r="R705" t="s">
        <v>33</v>
      </c>
    </row>
    <row r="706" spans="1:18" x14ac:dyDescent="0.25">
      <c r="A706" t="s">
        <v>734</v>
      </c>
      <c r="B706">
        <v>44.6</v>
      </c>
      <c r="C706">
        <v>40.700000000000003</v>
      </c>
      <c r="D706">
        <v>38.4</v>
      </c>
      <c r="E706">
        <v>43.5</v>
      </c>
      <c r="F706">
        <v>47.6</v>
      </c>
      <c r="G706">
        <v>45.55</v>
      </c>
      <c r="H706" t="s">
        <v>32</v>
      </c>
      <c r="I706">
        <v>3</v>
      </c>
      <c r="J706" t="s">
        <v>20</v>
      </c>
      <c r="K706">
        <v>59.9</v>
      </c>
      <c r="L706">
        <v>144</v>
      </c>
      <c r="M706">
        <v>85.4</v>
      </c>
      <c r="N706">
        <v>6.2</v>
      </c>
      <c r="O706">
        <v>5.9</v>
      </c>
      <c r="P706">
        <v>7</v>
      </c>
      <c r="Q706" t="s">
        <v>21</v>
      </c>
      <c r="R706" t="s">
        <v>26</v>
      </c>
    </row>
    <row r="707" spans="1:18" x14ac:dyDescent="0.25">
      <c r="A707" t="s">
        <v>735</v>
      </c>
      <c r="B707">
        <v>99.1</v>
      </c>
      <c r="C707">
        <v>98.7</v>
      </c>
      <c r="D707">
        <v>91.9</v>
      </c>
      <c r="E707">
        <v>94.4</v>
      </c>
      <c r="F707">
        <v>97.8</v>
      </c>
      <c r="G707">
        <v>96.1</v>
      </c>
      <c r="H707" t="s">
        <v>19</v>
      </c>
      <c r="I707">
        <v>2</v>
      </c>
      <c r="J707" t="s">
        <v>20</v>
      </c>
      <c r="K707">
        <v>90.9</v>
      </c>
      <c r="L707">
        <v>218</v>
      </c>
      <c r="M707">
        <v>86.3</v>
      </c>
      <c r="N707">
        <v>7.9</v>
      </c>
      <c r="O707">
        <v>2.2999999999999998</v>
      </c>
      <c r="P707">
        <v>1</v>
      </c>
      <c r="Q707" t="s">
        <v>25</v>
      </c>
      <c r="R707" t="s">
        <v>22</v>
      </c>
    </row>
    <row r="708" spans="1:18" x14ac:dyDescent="0.25">
      <c r="A708" t="s">
        <v>736</v>
      </c>
      <c r="B708">
        <v>50.6</v>
      </c>
      <c r="C708">
        <v>55.8</v>
      </c>
      <c r="D708">
        <v>65.400000000000006</v>
      </c>
      <c r="E708">
        <v>57.7</v>
      </c>
      <c r="F708">
        <v>69.3</v>
      </c>
      <c r="G708">
        <v>63.5</v>
      </c>
      <c r="H708" t="s">
        <v>19</v>
      </c>
      <c r="I708">
        <v>3</v>
      </c>
      <c r="J708" t="s">
        <v>38</v>
      </c>
      <c r="K708">
        <v>68.400000000000006</v>
      </c>
      <c r="L708">
        <v>164</v>
      </c>
      <c r="M708">
        <v>77.2</v>
      </c>
      <c r="N708">
        <v>7.2</v>
      </c>
      <c r="O708">
        <v>3.3</v>
      </c>
      <c r="P708">
        <v>5</v>
      </c>
      <c r="Q708" t="s">
        <v>28</v>
      </c>
      <c r="R708" t="s">
        <v>22</v>
      </c>
    </row>
    <row r="709" spans="1:18" x14ac:dyDescent="0.25">
      <c r="A709" t="s">
        <v>737</v>
      </c>
      <c r="B709">
        <v>75.7</v>
      </c>
      <c r="C709">
        <v>84.3</v>
      </c>
      <c r="D709">
        <v>87.9</v>
      </c>
      <c r="E709">
        <v>84.5</v>
      </c>
      <c r="F709">
        <v>94.6</v>
      </c>
      <c r="G709">
        <v>89.55</v>
      </c>
      <c r="H709" t="s">
        <v>19</v>
      </c>
      <c r="I709">
        <v>5</v>
      </c>
      <c r="J709" t="s">
        <v>24</v>
      </c>
      <c r="K709">
        <v>76.900000000000006</v>
      </c>
      <c r="L709">
        <v>185</v>
      </c>
      <c r="M709">
        <v>99.1</v>
      </c>
      <c r="N709">
        <v>8.3000000000000007</v>
      </c>
      <c r="O709">
        <v>1.2</v>
      </c>
      <c r="P709">
        <v>1</v>
      </c>
      <c r="Q709" t="s">
        <v>25</v>
      </c>
      <c r="R709" t="s">
        <v>26</v>
      </c>
    </row>
    <row r="710" spans="1:18" x14ac:dyDescent="0.25">
      <c r="A710" t="s">
        <v>738</v>
      </c>
      <c r="B710">
        <v>46.4</v>
      </c>
      <c r="C710">
        <v>54.1</v>
      </c>
      <c r="D710">
        <v>49.4</v>
      </c>
      <c r="E710">
        <v>54</v>
      </c>
      <c r="F710">
        <v>40.9</v>
      </c>
      <c r="G710">
        <v>47.45</v>
      </c>
      <c r="H710" t="s">
        <v>32</v>
      </c>
      <c r="I710">
        <v>3</v>
      </c>
      <c r="J710" t="s">
        <v>38</v>
      </c>
      <c r="K710">
        <v>65</v>
      </c>
      <c r="L710">
        <v>156</v>
      </c>
      <c r="M710">
        <v>80.7</v>
      </c>
      <c r="N710">
        <v>6.8</v>
      </c>
      <c r="O710">
        <v>3</v>
      </c>
      <c r="P710">
        <v>6</v>
      </c>
      <c r="Q710" t="s">
        <v>21</v>
      </c>
      <c r="R710" t="s">
        <v>26</v>
      </c>
    </row>
    <row r="711" spans="1:18" x14ac:dyDescent="0.25">
      <c r="A711" t="s">
        <v>739</v>
      </c>
      <c r="B711">
        <v>83.8</v>
      </c>
      <c r="C711">
        <v>67.900000000000006</v>
      </c>
      <c r="D711">
        <v>69.5</v>
      </c>
      <c r="E711">
        <v>77.5</v>
      </c>
      <c r="F711">
        <v>78.8</v>
      </c>
      <c r="G711">
        <v>78.150000000000006</v>
      </c>
      <c r="H711" t="s">
        <v>19</v>
      </c>
      <c r="I711">
        <v>4</v>
      </c>
      <c r="J711" t="s">
        <v>38</v>
      </c>
      <c r="K711">
        <v>79.2</v>
      </c>
      <c r="L711">
        <v>190</v>
      </c>
      <c r="M711">
        <v>89.2</v>
      </c>
      <c r="N711">
        <v>7.4</v>
      </c>
      <c r="O711">
        <v>3.9</v>
      </c>
      <c r="P711">
        <v>1</v>
      </c>
      <c r="Q711" t="s">
        <v>25</v>
      </c>
      <c r="R711" t="s">
        <v>22</v>
      </c>
    </row>
    <row r="712" spans="1:18" x14ac:dyDescent="0.25">
      <c r="A712" t="s">
        <v>740</v>
      </c>
      <c r="B712">
        <v>79.099999999999994</v>
      </c>
      <c r="C712">
        <v>81.7</v>
      </c>
      <c r="D712">
        <v>80.2</v>
      </c>
      <c r="E712">
        <v>81.8</v>
      </c>
      <c r="F712">
        <v>77.900000000000006</v>
      </c>
      <c r="G712">
        <v>79.849999999999994</v>
      </c>
      <c r="H712" t="s">
        <v>19</v>
      </c>
      <c r="I712">
        <v>3</v>
      </c>
      <c r="J712" t="s">
        <v>38</v>
      </c>
      <c r="K712">
        <v>85.5</v>
      </c>
      <c r="L712">
        <v>205</v>
      </c>
      <c r="M712">
        <v>73.400000000000006</v>
      </c>
      <c r="N712">
        <v>6</v>
      </c>
      <c r="O712">
        <v>5.8</v>
      </c>
      <c r="P712">
        <v>6</v>
      </c>
      <c r="Q712" t="s">
        <v>28</v>
      </c>
      <c r="R712" t="s">
        <v>22</v>
      </c>
    </row>
    <row r="713" spans="1:18" x14ac:dyDescent="0.25">
      <c r="A713" t="s">
        <v>741</v>
      </c>
      <c r="B713">
        <v>85.6</v>
      </c>
      <c r="C713">
        <v>69.3</v>
      </c>
      <c r="D713">
        <v>71.7</v>
      </c>
      <c r="E713">
        <v>72.8</v>
      </c>
      <c r="F713">
        <v>74.900000000000006</v>
      </c>
      <c r="G713">
        <v>73.849999999999994</v>
      </c>
      <c r="H713" t="s">
        <v>19</v>
      </c>
      <c r="I713">
        <v>1</v>
      </c>
      <c r="J713" t="s">
        <v>20</v>
      </c>
      <c r="K713">
        <v>75.5</v>
      </c>
      <c r="L713">
        <v>181</v>
      </c>
      <c r="M713">
        <v>55.7</v>
      </c>
      <c r="N713">
        <v>7.3</v>
      </c>
      <c r="O713">
        <v>3.6</v>
      </c>
      <c r="P713">
        <v>1</v>
      </c>
      <c r="Q713" t="s">
        <v>25</v>
      </c>
      <c r="R713" t="s">
        <v>33</v>
      </c>
    </row>
    <row r="714" spans="1:18" x14ac:dyDescent="0.25">
      <c r="A714" t="s">
        <v>742</v>
      </c>
      <c r="B714">
        <v>63.1</v>
      </c>
      <c r="C714">
        <v>63.5</v>
      </c>
      <c r="D714">
        <v>68.400000000000006</v>
      </c>
      <c r="E714">
        <v>65.900000000000006</v>
      </c>
      <c r="F714">
        <v>66.8</v>
      </c>
      <c r="G714">
        <v>66.349999999999994</v>
      </c>
      <c r="H714" t="s">
        <v>19</v>
      </c>
      <c r="I714">
        <v>2</v>
      </c>
      <c r="J714" t="s">
        <v>20</v>
      </c>
      <c r="K714">
        <v>66.900000000000006</v>
      </c>
      <c r="L714">
        <v>161</v>
      </c>
      <c r="M714">
        <v>65.400000000000006</v>
      </c>
      <c r="N714">
        <v>5.7</v>
      </c>
      <c r="O714">
        <v>5.0999999999999996</v>
      </c>
      <c r="P714">
        <v>2</v>
      </c>
      <c r="Q714" t="s">
        <v>25</v>
      </c>
      <c r="R714" t="s">
        <v>33</v>
      </c>
    </row>
    <row r="715" spans="1:18" x14ac:dyDescent="0.25">
      <c r="A715" t="s">
        <v>743</v>
      </c>
      <c r="B715">
        <v>63.6</v>
      </c>
      <c r="C715">
        <v>69.900000000000006</v>
      </c>
      <c r="D715">
        <v>60</v>
      </c>
      <c r="E715">
        <v>62.7</v>
      </c>
      <c r="F715">
        <v>57</v>
      </c>
      <c r="G715">
        <v>59.85</v>
      </c>
      <c r="H715" t="s">
        <v>19</v>
      </c>
      <c r="I715">
        <v>3</v>
      </c>
      <c r="J715" t="s">
        <v>20</v>
      </c>
      <c r="K715">
        <v>71.599999999999994</v>
      </c>
      <c r="L715">
        <v>172</v>
      </c>
      <c r="M715">
        <v>80.099999999999994</v>
      </c>
      <c r="N715">
        <v>7</v>
      </c>
      <c r="O715">
        <v>3.7</v>
      </c>
      <c r="P715">
        <v>6</v>
      </c>
      <c r="Q715" t="s">
        <v>21</v>
      </c>
      <c r="R715" t="s">
        <v>22</v>
      </c>
    </row>
    <row r="716" spans="1:18" x14ac:dyDescent="0.25">
      <c r="A716" t="s">
        <v>744</v>
      </c>
      <c r="B716">
        <v>66.900000000000006</v>
      </c>
      <c r="C716">
        <v>52.9</v>
      </c>
      <c r="D716">
        <v>61.7</v>
      </c>
      <c r="E716">
        <v>59.2</v>
      </c>
      <c r="F716">
        <v>70.400000000000006</v>
      </c>
      <c r="G716">
        <v>64.8</v>
      </c>
      <c r="H716" t="s">
        <v>19</v>
      </c>
      <c r="I716">
        <v>2</v>
      </c>
      <c r="J716" t="s">
        <v>20</v>
      </c>
      <c r="K716">
        <v>70.2</v>
      </c>
      <c r="L716">
        <v>168</v>
      </c>
      <c r="M716">
        <v>69.2</v>
      </c>
      <c r="N716">
        <v>6.6</v>
      </c>
      <c r="O716">
        <v>1.2</v>
      </c>
      <c r="P716">
        <v>1</v>
      </c>
      <c r="Q716" t="s">
        <v>25</v>
      </c>
      <c r="R716" t="s">
        <v>33</v>
      </c>
    </row>
    <row r="717" spans="1:18" x14ac:dyDescent="0.25">
      <c r="A717" t="s">
        <v>745</v>
      </c>
      <c r="B717">
        <v>101.2</v>
      </c>
      <c r="C717">
        <v>95.2</v>
      </c>
      <c r="D717">
        <v>100.8</v>
      </c>
      <c r="E717">
        <v>91.1</v>
      </c>
      <c r="F717">
        <v>85.6</v>
      </c>
      <c r="G717">
        <v>88.35</v>
      </c>
      <c r="H717" t="s">
        <v>19</v>
      </c>
      <c r="I717">
        <v>2</v>
      </c>
      <c r="J717" t="s">
        <v>20</v>
      </c>
      <c r="K717">
        <v>86.5</v>
      </c>
      <c r="L717">
        <v>208</v>
      </c>
      <c r="M717">
        <v>70.599999999999994</v>
      </c>
      <c r="N717">
        <v>7.1</v>
      </c>
      <c r="O717">
        <v>2.6</v>
      </c>
      <c r="P717">
        <v>4</v>
      </c>
      <c r="Q717" t="s">
        <v>28</v>
      </c>
      <c r="R717" t="s">
        <v>26</v>
      </c>
    </row>
    <row r="718" spans="1:18" x14ac:dyDescent="0.25">
      <c r="A718" t="s">
        <v>746</v>
      </c>
      <c r="B718">
        <v>96</v>
      </c>
      <c r="C718">
        <v>84.3</v>
      </c>
      <c r="D718">
        <v>89.8</v>
      </c>
      <c r="E718">
        <v>85.7</v>
      </c>
      <c r="F718">
        <v>89</v>
      </c>
      <c r="G718">
        <v>87.35</v>
      </c>
      <c r="H718" t="s">
        <v>19</v>
      </c>
      <c r="I718">
        <v>3</v>
      </c>
      <c r="J718" t="s">
        <v>20</v>
      </c>
      <c r="K718">
        <v>87.4</v>
      </c>
      <c r="L718">
        <v>210</v>
      </c>
      <c r="M718">
        <v>85.3</v>
      </c>
      <c r="N718">
        <v>7.1</v>
      </c>
      <c r="O718">
        <v>3.9</v>
      </c>
      <c r="P718">
        <v>3</v>
      </c>
      <c r="Q718" t="s">
        <v>28</v>
      </c>
      <c r="R718" t="s">
        <v>33</v>
      </c>
    </row>
    <row r="719" spans="1:18" x14ac:dyDescent="0.25">
      <c r="A719" t="s">
        <v>747</v>
      </c>
      <c r="B719">
        <v>99.1</v>
      </c>
      <c r="C719">
        <v>91.7</v>
      </c>
      <c r="D719">
        <v>92.8</v>
      </c>
      <c r="E719">
        <v>93.1</v>
      </c>
      <c r="F719">
        <v>97.7</v>
      </c>
      <c r="G719">
        <v>95.4</v>
      </c>
      <c r="H719" t="s">
        <v>19</v>
      </c>
      <c r="I719">
        <v>2</v>
      </c>
      <c r="J719" t="s">
        <v>20</v>
      </c>
      <c r="K719">
        <v>91.6</v>
      </c>
      <c r="L719">
        <v>220</v>
      </c>
      <c r="M719">
        <v>75.900000000000006</v>
      </c>
      <c r="N719">
        <v>6</v>
      </c>
      <c r="O719">
        <v>5.8</v>
      </c>
      <c r="P719">
        <v>1</v>
      </c>
      <c r="Q719" t="s">
        <v>25</v>
      </c>
      <c r="R719" t="s">
        <v>33</v>
      </c>
    </row>
    <row r="720" spans="1:18" x14ac:dyDescent="0.25">
      <c r="A720" t="s">
        <v>748</v>
      </c>
      <c r="B720">
        <v>52</v>
      </c>
      <c r="C720">
        <v>50.8</v>
      </c>
      <c r="D720">
        <v>45.9</v>
      </c>
      <c r="E720">
        <v>46.8</v>
      </c>
      <c r="F720">
        <v>60</v>
      </c>
      <c r="G720">
        <v>53.4</v>
      </c>
      <c r="H720" t="s">
        <v>19</v>
      </c>
      <c r="I720">
        <v>2</v>
      </c>
      <c r="J720" t="s">
        <v>20</v>
      </c>
      <c r="K720">
        <v>60.4</v>
      </c>
      <c r="L720">
        <v>145</v>
      </c>
      <c r="M720">
        <v>78.400000000000006</v>
      </c>
      <c r="N720">
        <v>5.9</v>
      </c>
      <c r="O720">
        <v>5.3</v>
      </c>
      <c r="P720">
        <v>1</v>
      </c>
      <c r="Q720" t="s">
        <v>25</v>
      </c>
      <c r="R720" t="s">
        <v>22</v>
      </c>
    </row>
    <row r="721" spans="1:18" x14ac:dyDescent="0.25">
      <c r="A721" t="s">
        <v>749</v>
      </c>
      <c r="B721">
        <v>83.2</v>
      </c>
      <c r="C721">
        <v>81.900000000000006</v>
      </c>
      <c r="D721">
        <v>78.400000000000006</v>
      </c>
      <c r="E721">
        <v>80.2</v>
      </c>
      <c r="F721">
        <v>86.7</v>
      </c>
      <c r="G721">
        <v>83.45</v>
      </c>
      <c r="H721" t="s">
        <v>19</v>
      </c>
      <c r="I721">
        <v>3</v>
      </c>
      <c r="J721" t="s">
        <v>20</v>
      </c>
      <c r="K721">
        <v>77</v>
      </c>
      <c r="L721">
        <v>185</v>
      </c>
      <c r="M721">
        <v>80.599999999999994</v>
      </c>
      <c r="N721">
        <v>7.8</v>
      </c>
      <c r="O721">
        <v>2.1</v>
      </c>
      <c r="P721">
        <v>1</v>
      </c>
      <c r="Q721" t="s">
        <v>25</v>
      </c>
      <c r="R721" t="s">
        <v>33</v>
      </c>
    </row>
    <row r="722" spans="1:18" x14ac:dyDescent="0.25">
      <c r="A722" t="s">
        <v>750</v>
      </c>
      <c r="B722">
        <v>95.5</v>
      </c>
      <c r="C722">
        <v>94.5</v>
      </c>
      <c r="D722">
        <v>97.5</v>
      </c>
      <c r="E722">
        <v>91.6</v>
      </c>
      <c r="F722">
        <v>80.400000000000006</v>
      </c>
      <c r="G722">
        <v>86</v>
      </c>
      <c r="H722" t="s">
        <v>19</v>
      </c>
      <c r="I722">
        <v>2</v>
      </c>
      <c r="J722" t="s">
        <v>20</v>
      </c>
      <c r="K722">
        <v>80.599999999999994</v>
      </c>
      <c r="L722">
        <v>193</v>
      </c>
      <c r="M722">
        <v>59.2</v>
      </c>
      <c r="N722">
        <v>7.3</v>
      </c>
      <c r="O722">
        <v>2.1</v>
      </c>
      <c r="P722">
        <v>3</v>
      </c>
      <c r="Q722" t="s">
        <v>25</v>
      </c>
      <c r="R722" t="s">
        <v>22</v>
      </c>
    </row>
    <row r="723" spans="1:18" x14ac:dyDescent="0.25">
      <c r="A723" t="s">
        <v>751</v>
      </c>
      <c r="B723">
        <v>47.2</v>
      </c>
      <c r="C723">
        <v>54.8</v>
      </c>
      <c r="D723">
        <v>46.8</v>
      </c>
      <c r="E723">
        <v>50</v>
      </c>
      <c r="F723">
        <v>67.900000000000006</v>
      </c>
      <c r="G723">
        <v>58.95</v>
      </c>
      <c r="H723" t="s">
        <v>19</v>
      </c>
      <c r="I723">
        <v>5</v>
      </c>
      <c r="J723" t="s">
        <v>24</v>
      </c>
      <c r="K723">
        <v>68.5</v>
      </c>
      <c r="L723">
        <v>164</v>
      </c>
      <c r="M723">
        <v>103.9</v>
      </c>
      <c r="N723">
        <v>7.2</v>
      </c>
      <c r="O723">
        <v>2</v>
      </c>
      <c r="P723">
        <v>5</v>
      </c>
      <c r="Q723" t="s">
        <v>28</v>
      </c>
      <c r="R723" t="s">
        <v>22</v>
      </c>
    </row>
    <row r="724" spans="1:18" x14ac:dyDescent="0.25">
      <c r="A724" t="s">
        <v>752</v>
      </c>
      <c r="B724">
        <v>39.6</v>
      </c>
      <c r="C724">
        <v>42</v>
      </c>
      <c r="D724">
        <v>43.9</v>
      </c>
      <c r="E724">
        <v>43.7</v>
      </c>
      <c r="F724">
        <v>61.1</v>
      </c>
      <c r="G724">
        <v>52.4</v>
      </c>
      <c r="H724" t="s">
        <v>19</v>
      </c>
      <c r="I724">
        <v>5</v>
      </c>
      <c r="J724" t="s">
        <v>24</v>
      </c>
      <c r="K724">
        <v>69.099999999999994</v>
      </c>
      <c r="L724">
        <v>166</v>
      </c>
      <c r="M724">
        <v>91.7</v>
      </c>
      <c r="N724">
        <v>6.3</v>
      </c>
      <c r="O724">
        <v>5.6</v>
      </c>
      <c r="P724">
        <v>6</v>
      </c>
      <c r="Q724" t="s">
        <v>21</v>
      </c>
      <c r="R724" t="s">
        <v>22</v>
      </c>
    </row>
    <row r="725" spans="1:18" x14ac:dyDescent="0.25">
      <c r="A725" t="s">
        <v>753</v>
      </c>
      <c r="B725">
        <v>80.7</v>
      </c>
      <c r="C725">
        <v>77.7</v>
      </c>
      <c r="D725">
        <v>81</v>
      </c>
      <c r="E725">
        <v>80.8</v>
      </c>
      <c r="F725">
        <v>91.4</v>
      </c>
      <c r="G725">
        <v>86.1</v>
      </c>
      <c r="H725" t="s">
        <v>19</v>
      </c>
      <c r="I725">
        <v>4</v>
      </c>
      <c r="J725" t="s">
        <v>38</v>
      </c>
      <c r="K725">
        <v>78.8</v>
      </c>
      <c r="L725">
        <v>189</v>
      </c>
      <c r="M725">
        <v>92.9</v>
      </c>
      <c r="N725">
        <v>7.7</v>
      </c>
      <c r="O725">
        <v>5.3</v>
      </c>
      <c r="P725">
        <v>3</v>
      </c>
      <c r="Q725" t="s">
        <v>28</v>
      </c>
      <c r="R725" t="s">
        <v>26</v>
      </c>
    </row>
    <row r="726" spans="1:18" x14ac:dyDescent="0.25">
      <c r="A726" t="s">
        <v>754</v>
      </c>
      <c r="B726">
        <v>70.7</v>
      </c>
      <c r="C726">
        <v>66.2</v>
      </c>
      <c r="D726">
        <v>69.099999999999994</v>
      </c>
      <c r="E726">
        <v>71.599999999999994</v>
      </c>
      <c r="F726">
        <v>75.2</v>
      </c>
      <c r="G726">
        <v>73.400000000000006</v>
      </c>
      <c r="H726" t="s">
        <v>19</v>
      </c>
      <c r="I726">
        <v>1</v>
      </c>
      <c r="J726" t="s">
        <v>20</v>
      </c>
      <c r="K726">
        <v>74.599999999999994</v>
      </c>
      <c r="L726">
        <v>179</v>
      </c>
      <c r="M726">
        <v>72.099999999999994</v>
      </c>
      <c r="N726">
        <v>7.1</v>
      </c>
      <c r="O726">
        <v>4.9000000000000004</v>
      </c>
      <c r="P726">
        <v>1</v>
      </c>
      <c r="Q726" t="s">
        <v>25</v>
      </c>
      <c r="R726" t="s">
        <v>33</v>
      </c>
    </row>
    <row r="727" spans="1:18" x14ac:dyDescent="0.25">
      <c r="A727" t="s">
        <v>755</v>
      </c>
      <c r="B727">
        <v>84</v>
      </c>
      <c r="C727">
        <v>82.2</v>
      </c>
      <c r="D727">
        <v>79.400000000000006</v>
      </c>
      <c r="E727">
        <v>86.3</v>
      </c>
      <c r="F727">
        <v>74.400000000000006</v>
      </c>
      <c r="G727">
        <v>80.349999999999994</v>
      </c>
      <c r="H727" t="s">
        <v>19</v>
      </c>
      <c r="I727">
        <v>4</v>
      </c>
      <c r="J727" t="s">
        <v>24</v>
      </c>
      <c r="K727">
        <v>90.5</v>
      </c>
      <c r="L727">
        <v>217</v>
      </c>
      <c r="M727">
        <v>93.3</v>
      </c>
      <c r="N727">
        <v>7.7</v>
      </c>
      <c r="O727">
        <v>3</v>
      </c>
      <c r="P727">
        <v>6</v>
      </c>
      <c r="Q727" t="s">
        <v>28</v>
      </c>
      <c r="R727" t="s">
        <v>33</v>
      </c>
    </row>
    <row r="728" spans="1:18" x14ac:dyDescent="0.25">
      <c r="A728" t="s">
        <v>756</v>
      </c>
      <c r="B728">
        <v>51.2</v>
      </c>
      <c r="C728">
        <v>62.4</v>
      </c>
      <c r="D728">
        <v>49.3</v>
      </c>
      <c r="E728">
        <v>47.7</v>
      </c>
      <c r="F728">
        <v>58.4</v>
      </c>
      <c r="G728">
        <v>53.05</v>
      </c>
      <c r="H728" t="s">
        <v>19</v>
      </c>
      <c r="I728">
        <v>4</v>
      </c>
      <c r="J728" t="s">
        <v>24</v>
      </c>
      <c r="K728">
        <v>66.400000000000006</v>
      </c>
      <c r="L728">
        <v>159</v>
      </c>
      <c r="M728">
        <v>84.8</v>
      </c>
      <c r="N728">
        <v>7.2</v>
      </c>
      <c r="O728">
        <v>3.5</v>
      </c>
      <c r="P728">
        <v>1</v>
      </c>
      <c r="Q728" t="s">
        <v>25</v>
      </c>
      <c r="R728" t="s">
        <v>33</v>
      </c>
    </row>
    <row r="729" spans="1:18" x14ac:dyDescent="0.25">
      <c r="A729" t="s">
        <v>757</v>
      </c>
      <c r="B729">
        <v>88.5</v>
      </c>
      <c r="C729">
        <v>90</v>
      </c>
      <c r="D729">
        <v>83.4</v>
      </c>
      <c r="E729">
        <v>83.7</v>
      </c>
      <c r="F729">
        <v>83.9</v>
      </c>
      <c r="G729">
        <v>83.8</v>
      </c>
      <c r="H729" t="s">
        <v>19</v>
      </c>
      <c r="I729">
        <v>4</v>
      </c>
      <c r="J729" t="s">
        <v>24</v>
      </c>
      <c r="K729">
        <v>84.1</v>
      </c>
      <c r="L729">
        <v>202</v>
      </c>
      <c r="M729">
        <v>86.1</v>
      </c>
      <c r="N729">
        <v>7.1</v>
      </c>
      <c r="O729">
        <v>3.3</v>
      </c>
      <c r="P729">
        <v>4</v>
      </c>
      <c r="Q729" t="s">
        <v>28</v>
      </c>
      <c r="R729" t="s">
        <v>22</v>
      </c>
    </row>
    <row r="730" spans="1:18" x14ac:dyDescent="0.25">
      <c r="A730" t="s">
        <v>758</v>
      </c>
      <c r="B730">
        <v>51.5</v>
      </c>
      <c r="C730">
        <v>44.3</v>
      </c>
      <c r="D730">
        <v>53.6</v>
      </c>
      <c r="E730">
        <v>51.1</v>
      </c>
      <c r="F730">
        <v>51.8</v>
      </c>
      <c r="G730">
        <v>51.45</v>
      </c>
      <c r="H730" t="s">
        <v>19</v>
      </c>
      <c r="I730">
        <v>2</v>
      </c>
      <c r="J730" t="s">
        <v>20</v>
      </c>
      <c r="K730">
        <v>59.6</v>
      </c>
      <c r="L730">
        <v>143</v>
      </c>
      <c r="M730">
        <v>71.2</v>
      </c>
      <c r="N730">
        <v>6.1</v>
      </c>
      <c r="O730">
        <v>2.2999999999999998</v>
      </c>
      <c r="P730">
        <v>4</v>
      </c>
      <c r="Q730" t="s">
        <v>28</v>
      </c>
      <c r="R730" t="s">
        <v>26</v>
      </c>
    </row>
    <row r="731" spans="1:18" x14ac:dyDescent="0.25">
      <c r="A731" t="s">
        <v>759</v>
      </c>
      <c r="B731">
        <v>56.4</v>
      </c>
      <c r="C731">
        <v>42.4</v>
      </c>
      <c r="D731">
        <v>46.3</v>
      </c>
      <c r="E731">
        <v>49</v>
      </c>
      <c r="F731">
        <v>61.6</v>
      </c>
      <c r="G731">
        <v>55.3</v>
      </c>
      <c r="H731" t="s">
        <v>19</v>
      </c>
      <c r="I731">
        <v>4</v>
      </c>
      <c r="J731" t="s">
        <v>38</v>
      </c>
      <c r="K731">
        <v>67.900000000000006</v>
      </c>
      <c r="L731">
        <v>163</v>
      </c>
      <c r="M731">
        <v>84.9</v>
      </c>
      <c r="N731">
        <v>6.6</v>
      </c>
      <c r="O731">
        <v>3.5</v>
      </c>
      <c r="P731">
        <v>3</v>
      </c>
      <c r="Q731" t="s">
        <v>25</v>
      </c>
      <c r="R731" t="s">
        <v>22</v>
      </c>
    </row>
    <row r="732" spans="1:18" x14ac:dyDescent="0.25">
      <c r="A732" t="s">
        <v>760</v>
      </c>
      <c r="B732">
        <v>43.3</v>
      </c>
      <c r="C732">
        <v>51.4</v>
      </c>
      <c r="D732">
        <v>55.1</v>
      </c>
      <c r="E732">
        <v>49</v>
      </c>
      <c r="F732">
        <v>66.099999999999994</v>
      </c>
      <c r="G732">
        <v>57.55</v>
      </c>
      <c r="H732" t="s">
        <v>19</v>
      </c>
      <c r="I732">
        <v>4</v>
      </c>
      <c r="J732" t="s">
        <v>24</v>
      </c>
      <c r="K732">
        <v>59.9</v>
      </c>
      <c r="L732">
        <v>144</v>
      </c>
      <c r="M732">
        <v>93.8</v>
      </c>
      <c r="N732">
        <v>7.4</v>
      </c>
      <c r="O732">
        <v>1.2</v>
      </c>
      <c r="P732">
        <v>2</v>
      </c>
      <c r="Q732" t="s">
        <v>25</v>
      </c>
      <c r="R732" t="s">
        <v>33</v>
      </c>
    </row>
    <row r="733" spans="1:18" x14ac:dyDescent="0.25">
      <c r="A733" t="s">
        <v>761</v>
      </c>
      <c r="B733">
        <v>83.8</v>
      </c>
      <c r="C733">
        <v>87.5</v>
      </c>
      <c r="D733">
        <v>80.400000000000006</v>
      </c>
      <c r="E733">
        <v>84.8</v>
      </c>
      <c r="F733">
        <v>84.7</v>
      </c>
      <c r="G733">
        <v>84.75</v>
      </c>
      <c r="H733" t="s">
        <v>19</v>
      </c>
      <c r="I733">
        <v>3</v>
      </c>
      <c r="J733" t="s">
        <v>38</v>
      </c>
      <c r="K733">
        <v>76.7</v>
      </c>
      <c r="L733">
        <v>184</v>
      </c>
      <c r="M733">
        <v>86.9</v>
      </c>
      <c r="N733">
        <v>6.6</v>
      </c>
      <c r="O733">
        <v>1.7</v>
      </c>
      <c r="P733">
        <v>1</v>
      </c>
      <c r="Q733" t="s">
        <v>25</v>
      </c>
      <c r="R733" t="s">
        <v>22</v>
      </c>
    </row>
    <row r="734" spans="1:18" x14ac:dyDescent="0.25">
      <c r="A734" t="s">
        <v>762</v>
      </c>
      <c r="B734">
        <v>73</v>
      </c>
      <c r="C734">
        <v>79.3</v>
      </c>
      <c r="D734">
        <v>85.1</v>
      </c>
      <c r="E734">
        <v>76.599999999999994</v>
      </c>
      <c r="F734">
        <v>85.4</v>
      </c>
      <c r="G734">
        <v>81</v>
      </c>
      <c r="H734" t="s">
        <v>19</v>
      </c>
      <c r="I734">
        <v>4</v>
      </c>
      <c r="J734" t="s">
        <v>38</v>
      </c>
      <c r="K734">
        <v>76.599999999999994</v>
      </c>
      <c r="L734">
        <v>184</v>
      </c>
      <c r="M734">
        <v>89.3</v>
      </c>
      <c r="N734">
        <v>5.8</v>
      </c>
      <c r="O734">
        <v>5.4</v>
      </c>
      <c r="P734">
        <v>3</v>
      </c>
      <c r="Q734" t="s">
        <v>28</v>
      </c>
      <c r="R734" t="s">
        <v>22</v>
      </c>
    </row>
    <row r="735" spans="1:18" x14ac:dyDescent="0.25">
      <c r="A735" t="s">
        <v>763</v>
      </c>
      <c r="B735">
        <v>59.4</v>
      </c>
      <c r="C735">
        <v>67.5</v>
      </c>
      <c r="D735">
        <v>60</v>
      </c>
      <c r="E735">
        <v>68.8</v>
      </c>
      <c r="F735">
        <v>80.900000000000006</v>
      </c>
      <c r="G735">
        <v>74.849999999999994</v>
      </c>
      <c r="H735" t="s">
        <v>19</v>
      </c>
      <c r="I735">
        <v>3</v>
      </c>
      <c r="J735" t="s">
        <v>20</v>
      </c>
      <c r="K735">
        <v>71.5</v>
      </c>
      <c r="L735">
        <v>172</v>
      </c>
      <c r="M735">
        <v>79.7</v>
      </c>
      <c r="N735">
        <v>5.6</v>
      </c>
      <c r="O735">
        <v>4.8</v>
      </c>
      <c r="P735">
        <v>1</v>
      </c>
      <c r="Q735" t="s">
        <v>25</v>
      </c>
      <c r="R735" t="s">
        <v>33</v>
      </c>
    </row>
    <row r="736" spans="1:18" x14ac:dyDescent="0.25">
      <c r="A736" t="s">
        <v>764</v>
      </c>
      <c r="B736">
        <v>59.3</v>
      </c>
      <c r="C736">
        <v>59.1</v>
      </c>
      <c r="D736">
        <v>61.9</v>
      </c>
      <c r="E736">
        <v>59.7</v>
      </c>
      <c r="F736">
        <v>51.8</v>
      </c>
      <c r="G736">
        <v>55.75</v>
      </c>
      <c r="H736" t="s">
        <v>19</v>
      </c>
      <c r="I736">
        <v>3</v>
      </c>
      <c r="J736" t="s">
        <v>38</v>
      </c>
      <c r="K736">
        <v>68.8</v>
      </c>
      <c r="L736">
        <v>165</v>
      </c>
      <c r="M736">
        <v>80.099999999999994</v>
      </c>
      <c r="N736">
        <v>7</v>
      </c>
      <c r="O736">
        <v>3.1</v>
      </c>
      <c r="P736">
        <v>7</v>
      </c>
      <c r="Q736" t="s">
        <v>21</v>
      </c>
      <c r="R736" t="s">
        <v>22</v>
      </c>
    </row>
    <row r="737" spans="1:18" x14ac:dyDescent="0.25">
      <c r="A737" t="s">
        <v>765</v>
      </c>
      <c r="B737">
        <v>87.6</v>
      </c>
      <c r="C737">
        <v>89.9</v>
      </c>
      <c r="D737">
        <v>90.6</v>
      </c>
      <c r="E737">
        <v>88.2</v>
      </c>
      <c r="F737">
        <v>66.7</v>
      </c>
      <c r="G737">
        <v>77.45</v>
      </c>
      <c r="H737" t="s">
        <v>19</v>
      </c>
      <c r="I737">
        <v>1</v>
      </c>
      <c r="J737" t="s">
        <v>20</v>
      </c>
      <c r="K737">
        <v>76.900000000000006</v>
      </c>
      <c r="L737">
        <v>185</v>
      </c>
      <c r="M737">
        <v>59.8</v>
      </c>
      <c r="N737">
        <v>7.3</v>
      </c>
      <c r="O737">
        <v>3.6</v>
      </c>
      <c r="P737">
        <v>4</v>
      </c>
      <c r="Q737" t="s">
        <v>28</v>
      </c>
      <c r="R737" t="s">
        <v>22</v>
      </c>
    </row>
    <row r="738" spans="1:18" x14ac:dyDescent="0.25">
      <c r="A738" t="s">
        <v>766</v>
      </c>
      <c r="B738">
        <v>69.2</v>
      </c>
      <c r="C738">
        <v>62</v>
      </c>
      <c r="D738">
        <v>57.6</v>
      </c>
      <c r="E738">
        <v>61.6</v>
      </c>
      <c r="F738">
        <v>74.2</v>
      </c>
      <c r="G738">
        <v>67.900000000000006</v>
      </c>
      <c r="H738" t="s">
        <v>19</v>
      </c>
      <c r="I738">
        <v>4</v>
      </c>
      <c r="J738" t="s">
        <v>38</v>
      </c>
      <c r="K738">
        <v>75.599999999999994</v>
      </c>
      <c r="L738">
        <v>181</v>
      </c>
      <c r="M738">
        <v>89.8</v>
      </c>
      <c r="N738">
        <v>7.7</v>
      </c>
      <c r="O738">
        <v>2.8</v>
      </c>
      <c r="P738">
        <v>2</v>
      </c>
      <c r="Q738" t="s">
        <v>25</v>
      </c>
      <c r="R738" t="s">
        <v>26</v>
      </c>
    </row>
    <row r="739" spans="1:18" x14ac:dyDescent="0.25">
      <c r="A739" t="s">
        <v>767</v>
      </c>
      <c r="B739">
        <v>88.1</v>
      </c>
      <c r="C739">
        <v>73.8</v>
      </c>
      <c r="D739">
        <v>87</v>
      </c>
      <c r="E739">
        <v>84.9</v>
      </c>
      <c r="F739">
        <v>88</v>
      </c>
      <c r="G739">
        <v>86.45</v>
      </c>
      <c r="H739" t="s">
        <v>19</v>
      </c>
      <c r="I739">
        <v>1</v>
      </c>
      <c r="J739" t="s">
        <v>20</v>
      </c>
      <c r="K739">
        <v>88.1</v>
      </c>
      <c r="L739">
        <v>211</v>
      </c>
      <c r="M739">
        <v>66</v>
      </c>
      <c r="N739">
        <v>6.8</v>
      </c>
      <c r="O739">
        <v>4.7</v>
      </c>
      <c r="P739">
        <v>2</v>
      </c>
      <c r="Q739" t="s">
        <v>25</v>
      </c>
      <c r="R739" t="s">
        <v>22</v>
      </c>
    </row>
    <row r="740" spans="1:18" x14ac:dyDescent="0.25">
      <c r="A740" t="s">
        <v>768</v>
      </c>
      <c r="B740">
        <v>59</v>
      </c>
      <c r="C740">
        <v>63</v>
      </c>
      <c r="D740">
        <v>70.599999999999994</v>
      </c>
      <c r="E740">
        <v>64.2</v>
      </c>
      <c r="F740">
        <v>60.9</v>
      </c>
      <c r="G740">
        <v>62.55</v>
      </c>
      <c r="H740" t="s">
        <v>19</v>
      </c>
      <c r="I740">
        <v>3</v>
      </c>
      <c r="J740" t="s">
        <v>20</v>
      </c>
      <c r="K740">
        <v>62.3</v>
      </c>
      <c r="L740">
        <v>150</v>
      </c>
      <c r="M740">
        <v>76.099999999999994</v>
      </c>
      <c r="N740">
        <v>6</v>
      </c>
      <c r="O740">
        <v>4.9000000000000004</v>
      </c>
      <c r="P740">
        <v>6</v>
      </c>
      <c r="Q740" t="s">
        <v>28</v>
      </c>
      <c r="R740" t="s">
        <v>26</v>
      </c>
    </row>
    <row r="741" spans="1:18" x14ac:dyDescent="0.25">
      <c r="A741" t="s">
        <v>769</v>
      </c>
      <c r="B741">
        <v>70</v>
      </c>
      <c r="C741">
        <v>56.5</v>
      </c>
      <c r="D741">
        <v>49.6</v>
      </c>
      <c r="E741">
        <v>60.7</v>
      </c>
      <c r="F741">
        <v>63.3</v>
      </c>
      <c r="G741">
        <v>62</v>
      </c>
      <c r="H741" t="s">
        <v>19</v>
      </c>
      <c r="I741">
        <v>2</v>
      </c>
      <c r="J741" t="s">
        <v>20</v>
      </c>
      <c r="K741">
        <v>75.3</v>
      </c>
      <c r="L741">
        <v>181</v>
      </c>
      <c r="M741">
        <v>77.099999999999994</v>
      </c>
      <c r="N741">
        <v>5.6</v>
      </c>
      <c r="O741">
        <v>4.8</v>
      </c>
      <c r="P741">
        <v>4</v>
      </c>
      <c r="Q741" t="s">
        <v>28</v>
      </c>
      <c r="R741" t="s">
        <v>33</v>
      </c>
    </row>
    <row r="742" spans="1:18" x14ac:dyDescent="0.25">
      <c r="A742" t="s">
        <v>770</v>
      </c>
      <c r="B742">
        <v>71.599999999999994</v>
      </c>
      <c r="C742">
        <v>66.3</v>
      </c>
      <c r="D742">
        <v>68</v>
      </c>
      <c r="E742">
        <v>65.400000000000006</v>
      </c>
      <c r="F742">
        <v>69.3</v>
      </c>
      <c r="G742">
        <v>67.349999999999994</v>
      </c>
      <c r="H742" t="s">
        <v>19</v>
      </c>
      <c r="I742">
        <v>3</v>
      </c>
      <c r="J742" t="s">
        <v>38</v>
      </c>
      <c r="K742">
        <v>68.7</v>
      </c>
      <c r="L742">
        <v>165</v>
      </c>
      <c r="M742">
        <v>81.2</v>
      </c>
      <c r="N742">
        <v>5.7</v>
      </c>
      <c r="O742">
        <v>4.5999999999999996</v>
      </c>
      <c r="P742">
        <v>4</v>
      </c>
      <c r="Q742" t="s">
        <v>28</v>
      </c>
      <c r="R742" t="s">
        <v>26</v>
      </c>
    </row>
    <row r="743" spans="1:18" x14ac:dyDescent="0.25">
      <c r="A743" t="s">
        <v>771</v>
      </c>
      <c r="B743">
        <v>59.5</v>
      </c>
      <c r="C743">
        <v>71.5</v>
      </c>
      <c r="D743">
        <v>44.1</v>
      </c>
      <c r="E743">
        <v>56.6</v>
      </c>
      <c r="F743">
        <v>58.7</v>
      </c>
      <c r="G743">
        <v>57.65</v>
      </c>
      <c r="H743" t="s">
        <v>19</v>
      </c>
      <c r="I743">
        <v>2</v>
      </c>
      <c r="J743" t="s">
        <v>20</v>
      </c>
      <c r="K743">
        <v>72.599999999999994</v>
      </c>
      <c r="L743">
        <v>174</v>
      </c>
      <c r="M743">
        <v>61.1</v>
      </c>
      <c r="N743">
        <v>6.8</v>
      </c>
      <c r="O743">
        <v>2</v>
      </c>
      <c r="P743">
        <v>4</v>
      </c>
      <c r="Q743" t="s">
        <v>28</v>
      </c>
      <c r="R743" t="s">
        <v>22</v>
      </c>
    </row>
    <row r="744" spans="1:18" x14ac:dyDescent="0.25">
      <c r="A744" t="s">
        <v>772</v>
      </c>
      <c r="B744">
        <v>80</v>
      </c>
      <c r="C744">
        <v>83</v>
      </c>
      <c r="D744">
        <v>76.3</v>
      </c>
      <c r="E744">
        <v>81.099999999999994</v>
      </c>
      <c r="F744">
        <v>92.4</v>
      </c>
      <c r="G744">
        <v>86.75</v>
      </c>
      <c r="H744" t="s">
        <v>19</v>
      </c>
      <c r="I744">
        <v>4</v>
      </c>
      <c r="J744" t="s">
        <v>38</v>
      </c>
      <c r="K744">
        <v>80.2</v>
      </c>
      <c r="L744">
        <v>192</v>
      </c>
      <c r="M744">
        <v>83.9</v>
      </c>
      <c r="N744">
        <v>6.7</v>
      </c>
      <c r="O744">
        <v>2.7</v>
      </c>
      <c r="P744">
        <v>3</v>
      </c>
      <c r="Q744" t="s">
        <v>25</v>
      </c>
      <c r="R744" t="s">
        <v>33</v>
      </c>
    </row>
    <row r="745" spans="1:18" x14ac:dyDescent="0.25">
      <c r="A745" t="s">
        <v>773</v>
      </c>
      <c r="B745">
        <v>62.9</v>
      </c>
      <c r="C745">
        <v>66.099999999999994</v>
      </c>
      <c r="D745">
        <v>75.8</v>
      </c>
      <c r="E745">
        <v>67.599999999999994</v>
      </c>
      <c r="F745">
        <v>79.2</v>
      </c>
      <c r="G745">
        <v>73.400000000000006</v>
      </c>
      <c r="H745" t="s">
        <v>19</v>
      </c>
      <c r="I745">
        <v>4</v>
      </c>
      <c r="J745" t="s">
        <v>24</v>
      </c>
      <c r="K745">
        <v>74</v>
      </c>
      <c r="L745">
        <v>178</v>
      </c>
      <c r="M745">
        <v>86.9</v>
      </c>
      <c r="N745">
        <v>6.9</v>
      </c>
      <c r="O745">
        <v>3.3</v>
      </c>
      <c r="P745">
        <v>4</v>
      </c>
      <c r="Q745" t="s">
        <v>28</v>
      </c>
      <c r="R745" t="s">
        <v>22</v>
      </c>
    </row>
    <row r="746" spans="1:18" x14ac:dyDescent="0.25">
      <c r="A746" t="s">
        <v>774</v>
      </c>
      <c r="B746">
        <v>50.9</v>
      </c>
      <c r="C746">
        <v>57.4</v>
      </c>
      <c r="D746">
        <v>49.9</v>
      </c>
      <c r="E746">
        <v>52.8</v>
      </c>
      <c r="F746">
        <v>53.3</v>
      </c>
      <c r="G746">
        <v>53.05</v>
      </c>
      <c r="H746" t="s">
        <v>19</v>
      </c>
      <c r="I746">
        <v>2</v>
      </c>
      <c r="J746" t="s">
        <v>20</v>
      </c>
      <c r="K746">
        <v>65.5</v>
      </c>
      <c r="L746">
        <v>157</v>
      </c>
      <c r="M746">
        <v>65.2</v>
      </c>
      <c r="N746">
        <v>6.7</v>
      </c>
      <c r="O746">
        <v>2.7</v>
      </c>
      <c r="P746">
        <v>6</v>
      </c>
      <c r="Q746" t="s">
        <v>28</v>
      </c>
      <c r="R746" t="s">
        <v>22</v>
      </c>
    </row>
    <row r="747" spans="1:18" x14ac:dyDescent="0.25">
      <c r="A747" t="s">
        <v>775</v>
      </c>
      <c r="B747">
        <v>94.9</v>
      </c>
      <c r="C747">
        <v>91.9</v>
      </c>
      <c r="D747">
        <v>83.6</v>
      </c>
      <c r="E747">
        <v>89.5</v>
      </c>
      <c r="F747">
        <v>77.3</v>
      </c>
      <c r="G747">
        <v>83.4</v>
      </c>
      <c r="H747" t="s">
        <v>19</v>
      </c>
      <c r="I747">
        <v>1</v>
      </c>
      <c r="J747" t="s">
        <v>20</v>
      </c>
      <c r="K747">
        <v>90.8</v>
      </c>
      <c r="L747">
        <v>218</v>
      </c>
      <c r="M747">
        <v>70.3</v>
      </c>
      <c r="N747">
        <v>6.7</v>
      </c>
      <c r="O747">
        <v>4.8</v>
      </c>
      <c r="P747">
        <v>1</v>
      </c>
      <c r="Q747" t="s">
        <v>25</v>
      </c>
      <c r="R747" t="s">
        <v>26</v>
      </c>
    </row>
    <row r="748" spans="1:18" x14ac:dyDescent="0.25">
      <c r="A748" t="s">
        <v>776</v>
      </c>
      <c r="B748">
        <v>70.5</v>
      </c>
      <c r="C748">
        <v>63.2</v>
      </c>
      <c r="D748">
        <v>60.1</v>
      </c>
      <c r="E748">
        <v>61.1</v>
      </c>
      <c r="F748">
        <v>78.3</v>
      </c>
      <c r="G748">
        <v>69.7</v>
      </c>
      <c r="H748" t="s">
        <v>19</v>
      </c>
      <c r="I748">
        <v>2</v>
      </c>
      <c r="J748" t="s">
        <v>20</v>
      </c>
      <c r="K748">
        <v>64.400000000000006</v>
      </c>
      <c r="L748">
        <v>155</v>
      </c>
      <c r="M748">
        <v>61.8</v>
      </c>
      <c r="N748">
        <v>7.1</v>
      </c>
      <c r="O748">
        <v>2.6</v>
      </c>
      <c r="P748">
        <v>1</v>
      </c>
      <c r="Q748" t="s">
        <v>25</v>
      </c>
      <c r="R748" t="s">
        <v>22</v>
      </c>
    </row>
    <row r="749" spans="1:18" x14ac:dyDescent="0.25">
      <c r="A749" t="s">
        <v>777</v>
      </c>
      <c r="B749">
        <v>77.599999999999994</v>
      </c>
      <c r="C749">
        <v>72.900000000000006</v>
      </c>
      <c r="D749">
        <v>80.2</v>
      </c>
      <c r="E749">
        <v>69.900000000000006</v>
      </c>
      <c r="F749">
        <v>72.099999999999994</v>
      </c>
      <c r="G749">
        <v>71</v>
      </c>
      <c r="H749" t="s">
        <v>19</v>
      </c>
      <c r="I749">
        <v>5</v>
      </c>
      <c r="J749" t="s">
        <v>24</v>
      </c>
      <c r="K749">
        <v>78</v>
      </c>
      <c r="L749">
        <v>187</v>
      </c>
      <c r="M749">
        <v>96</v>
      </c>
      <c r="N749">
        <v>7.5</v>
      </c>
      <c r="O749">
        <v>1.7</v>
      </c>
      <c r="P749">
        <v>5</v>
      </c>
      <c r="Q749" t="s">
        <v>28</v>
      </c>
      <c r="R749" t="s">
        <v>26</v>
      </c>
    </row>
    <row r="750" spans="1:18" x14ac:dyDescent="0.25">
      <c r="A750" t="s">
        <v>778</v>
      </c>
      <c r="B750">
        <v>87.4</v>
      </c>
      <c r="C750">
        <v>100.1</v>
      </c>
      <c r="D750">
        <v>80.7</v>
      </c>
      <c r="E750">
        <v>89.9</v>
      </c>
      <c r="F750">
        <v>92.7</v>
      </c>
      <c r="G750">
        <v>91.3</v>
      </c>
      <c r="H750" t="s">
        <v>19</v>
      </c>
      <c r="I750">
        <v>3</v>
      </c>
      <c r="J750" t="s">
        <v>38</v>
      </c>
      <c r="K750">
        <v>90.4</v>
      </c>
      <c r="L750">
        <v>217</v>
      </c>
      <c r="M750">
        <v>77.8</v>
      </c>
      <c r="N750">
        <v>7.7</v>
      </c>
      <c r="O750">
        <v>3</v>
      </c>
      <c r="P750">
        <v>2</v>
      </c>
      <c r="Q750" t="s">
        <v>25</v>
      </c>
      <c r="R750" t="s">
        <v>33</v>
      </c>
    </row>
    <row r="751" spans="1:18" x14ac:dyDescent="0.25">
      <c r="A751" t="s">
        <v>779</v>
      </c>
      <c r="B751">
        <v>68.7</v>
      </c>
      <c r="C751">
        <v>68.7</v>
      </c>
      <c r="D751">
        <v>69.099999999999994</v>
      </c>
      <c r="E751">
        <v>74.3</v>
      </c>
      <c r="F751">
        <v>64.2</v>
      </c>
      <c r="G751">
        <v>69.25</v>
      </c>
      <c r="H751" t="s">
        <v>19</v>
      </c>
      <c r="I751">
        <v>3</v>
      </c>
      <c r="J751" t="s">
        <v>20</v>
      </c>
      <c r="K751">
        <v>80.7</v>
      </c>
      <c r="L751">
        <v>194</v>
      </c>
      <c r="M751">
        <v>77.400000000000006</v>
      </c>
      <c r="N751">
        <v>5.6</v>
      </c>
      <c r="O751">
        <v>5.9</v>
      </c>
      <c r="P751">
        <v>7</v>
      </c>
      <c r="Q751" t="s">
        <v>21</v>
      </c>
      <c r="R751" t="s">
        <v>33</v>
      </c>
    </row>
    <row r="752" spans="1:18" x14ac:dyDescent="0.25">
      <c r="A752" t="s">
        <v>780</v>
      </c>
      <c r="B752">
        <v>47.1</v>
      </c>
      <c r="C752">
        <v>48.8</v>
      </c>
      <c r="D752">
        <v>53.9</v>
      </c>
      <c r="E752">
        <v>46.4</v>
      </c>
      <c r="F752">
        <v>52.8</v>
      </c>
      <c r="G752">
        <v>49.6</v>
      </c>
      <c r="H752" t="s">
        <v>32</v>
      </c>
      <c r="I752">
        <v>1</v>
      </c>
      <c r="J752" t="s">
        <v>20</v>
      </c>
      <c r="K752">
        <v>74.8</v>
      </c>
      <c r="L752">
        <v>180</v>
      </c>
      <c r="M752">
        <v>56.7</v>
      </c>
      <c r="N752">
        <v>7.6</v>
      </c>
      <c r="O752">
        <v>2.1</v>
      </c>
      <c r="P752">
        <v>3</v>
      </c>
      <c r="Q752" t="s">
        <v>25</v>
      </c>
      <c r="R752" t="s">
        <v>22</v>
      </c>
    </row>
    <row r="753" spans="1:18" x14ac:dyDescent="0.25">
      <c r="A753" t="s">
        <v>781</v>
      </c>
      <c r="B753">
        <v>82.8</v>
      </c>
      <c r="C753">
        <v>87.1</v>
      </c>
      <c r="D753">
        <v>101</v>
      </c>
      <c r="E753">
        <v>91.7</v>
      </c>
      <c r="F753">
        <v>89.7</v>
      </c>
      <c r="G753">
        <v>90.7</v>
      </c>
      <c r="H753" t="s">
        <v>19</v>
      </c>
      <c r="I753">
        <v>4</v>
      </c>
      <c r="J753" t="s">
        <v>38</v>
      </c>
      <c r="K753">
        <v>83.2</v>
      </c>
      <c r="L753">
        <v>200</v>
      </c>
      <c r="M753">
        <v>84.9</v>
      </c>
      <c r="N753">
        <v>6.8</v>
      </c>
      <c r="O753">
        <v>4.0999999999999996</v>
      </c>
      <c r="P753">
        <v>4</v>
      </c>
      <c r="Q753" t="s">
        <v>28</v>
      </c>
      <c r="R753" t="s">
        <v>26</v>
      </c>
    </row>
    <row r="754" spans="1:18" x14ac:dyDescent="0.25">
      <c r="A754" t="s">
        <v>782</v>
      </c>
      <c r="B754">
        <v>76.099999999999994</v>
      </c>
      <c r="C754">
        <v>77.3</v>
      </c>
      <c r="D754">
        <v>74</v>
      </c>
      <c r="E754">
        <v>74.5</v>
      </c>
      <c r="F754">
        <v>85.4</v>
      </c>
      <c r="G754">
        <v>79.95</v>
      </c>
      <c r="H754" t="s">
        <v>19</v>
      </c>
      <c r="I754">
        <v>5</v>
      </c>
      <c r="J754" t="s">
        <v>24</v>
      </c>
      <c r="K754">
        <v>82</v>
      </c>
      <c r="L754">
        <v>197</v>
      </c>
      <c r="M754">
        <v>93.8</v>
      </c>
      <c r="N754">
        <v>6.9</v>
      </c>
      <c r="O754">
        <v>3.2</v>
      </c>
      <c r="P754">
        <v>1</v>
      </c>
      <c r="Q754" t="s">
        <v>25</v>
      </c>
      <c r="R754" t="s">
        <v>22</v>
      </c>
    </row>
    <row r="755" spans="1:18" x14ac:dyDescent="0.25">
      <c r="A755" t="s">
        <v>783</v>
      </c>
      <c r="B755">
        <v>57.7</v>
      </c>
      <c r="C755">
        <v>53.8</v>
      </c>
      <c r="D755">
        <v>52.2</v>
      </c>
      <c r="E755">
        <v>58.4</v>
      </c>
      <c r="F755">
        <v>66.5</v>
      </c>
      <c r="G755">
        <v>62.45</v>
      </c>
      <c r="H755" t="s">
        <v>19</v>
      </c>
      <c r="I755">
        <v>4</v>
      </c>
      <c r="J755" t="s">
        <v>24</v>
      </c>
      <c r="K755">
        <v>68.7</v>
      </c>
      <c r="L755">
        <v>165</v>
      </c>
      <c r="M755">
        <v>95.8</v>
      </c>
      <c r="N755">
        <v>8</v>
      </c>
      <c r="O755">
        <v>1.4</v>
      </c>
      <c r="P755">
        <v>3</v>
      </c>
      <c r="Q755" t="s">
        <v>25</v>
      </c>
      <c r="R755" t="s">
        <v>22</v>
      </c>
    </row>
    <row r="756" spans="1:18" x14ac:dyDescent="0.25">
      <c r="A756" t="s">
        <v>784</v>
      </c>
      <c r="B756">
        <v>45.3</v>
      </c>
      <c r="C756">
        <v>45.6</v>
      </c>
      <c r="D756">
        <v>58.1</v>
      </c>
      <c r="E756">
        <v>47.7</v>
      </c>
      <c r="F756">
        <v>50.7</v>
      </c>
      <c r="G756">
        <v>49.2</v>
      </c>
      <c r="H756" t="s">
        <v>32</v>
      </c>
      <c r="I756">
        <v>4</v>
      </c>
      <c r="J756" t="s">
        <v>38</v>
      </c>
      <c r="K756">
        <v>70</v>
      </c>
      <c r="L756">
        <v>168</v>
      </c>
      <c r="M756">
        <v>86.2</v>
      </c>
      <c r="N756">
        <v>7.4</v>
      </c>
      <c r="O756">
        <v>3.4</v>
      </c>
      <c r="P756">
        <v>4</v>
      </c>
      <c r="Q756" t="s">
        <v>28</v>
      </c>
      <c r="R756" t="s">
        <v>22</v>
      </c>
    </row>
    <row r="757" spans="1:18" x14ac:dyDescent="0.25">
      <c r="A757" t="s">
        <v>785</v>
      </c>
      <c r="B757">
        <v>75.7</v>
      </c>
      <c r="C757">
        <v>82.2</v>
      </c>
      <c r="D757">
        <v>91.6</v>
      </c>
      <c r="E757">
        <v>83.7</v>
      </c>
      <c r="F757">
        <v>85.9</v>
      </c>
      <c r="G757">
        <v>84.8</v>
      </c>
      <c r="H757" t="s">
        <v>19</v>
      </c>
      <c r="I757">
        <v>1</v>
      </c>
      <c r="J757" t="s">
        <v>20</v>
      </c>
      <c r="K757">
        <v>81.8</v>
      </c>
      <c r="L757">
        <v>196</v>
      </c>
      <c r="M757">
        <v>57</v>
      </c>
      <c r="N757">
        <v>6.2</v>
      </c>
      <c r="O757">
        <v>4.5</v>
      </c>
      <c r="P757">
        <v>1</v>
      </c>
      <c r="Q757" t="s">
        <v>25</v>
      </c>
      <c r="R757" t="s">
        <v>22</v>
      </c>
    </row>
    <row r="758" spans="1:18" x14ac:dyDescent="0.25">
      <c r="A758" t="s">
        <v>786</v>
      </c>
      <c r="B758">
        <v>76.7</v>
      </c>
      <c r="C758">
        <v>79</v>
      </c>
      <c r="D758">
        <v>77.5</v>
      </c>
      <c r="E758">
        <v>74.099999999999994</v>
      </c>
      <c r="F758">
        <v>66.400000000000006</v>
      </c>
      <c r="G758">
        <v>70.25</v>
      </c>
      <c r="H758" t="s">
        <v>19</v>
      </c>
      <c r="I758">
        <v>1</v>
      </c>
      <c r="J758" t="s">
        <v>20</v>
      </c>
      <c r="K758">
        <v>75.099999999999994</v>
      </c>
      <c r="L758">
        <v>180</v>
      </c>
      <c r="M758">
        <v>69.900000000000006</v>
      </c>
      <c r="N758">
        <v>6.8</v>
      </c>
      <c r="O758">
        <v>3.6</v>
      </c>
      <c r="P758">
        <v>7</v>
      </c>
      <c r="Q758" t="s">
        <v>21</v>
      </c>
      <c r="R758" t="s">
        <v>26</v>
      </c>
    </row>
    <row r="759" spans="1:18" x14ac:dyDescent="0.25">
      <c r="A759" t="s">
        <v>787</v>
      </c>
      <c r="B759">
        <v>66.7</v>
      </c>
      <c r="C759">
        <v>73.900000000000006</v>
      </c>
      <c r="D759">
        <v>65.3</v>
      </c>
      <c r="E759">
        <v>69.3</v>
      </c>
      <c r="F759">
        <v>65</v>
      </c>
      <c r="G759">
        <v>67.150000000000006</v>
      </c>
      <c r="H759" t="s">
        <v>19</v>
      </c>
      <c r="I759">
        <v>1</v>
      </c>
      <c r="J759" t="s">
        <v>20</v>
      </c>
      <c r="K759">
        <v>81.2</v>
      </c>
      <c r="L759">
        <v>195</v>
      </c>
      <c r="M759">
        <v>63</v>
      </c>
      <c r="N759">
        <v>6.5</v>
      </c>
      <c r="O759">
        <v>5.4</v>
      </c>
      <c r="P759">
        <v>6</v>
      </c>
      <c r="Q759" t="s">
        <v>28</v>
      </c>
      <c r="R759" t="s">
        <v>22</v>
      </c>
    </row>
    <row r="760" spans="1:18" x14ac:dyDescent="0.25">
      <c r="A760" t="s">
        <v>788</v>
      </c>
      <c r="B760">
        <v>83.3</v>
      </c>
      <c r="C760">
        <v>82.9</v>
      </c>
      <c r="D760">
        <v>88.9</v>
      </c>
      <c r="E760">
        <v>89.2</v>
      </c>
      <c r="F760">
        <v>86.7</v>
      </c>
      <c r="G760">
        <v>87.95</v>
      </c>
      <c r="H760" t="s">
        <v>19</v>
      </c>
      <c r="I760">
        <v>2</v>
      </c>
      <c r="J760" t="s">
        <v>20</v>
      </c>
      <c r="K760">
        <v>82.1</v>
      </c>
      <c r="L760">
        <v>197</v>
      </c>
      <c r="M760">
        <v>71.3</v>
      </c>
      <c r="N760">
        <v>7.1</v>
      </c>
      <c r="O760">
        <v>2.4</v>
      </c>
      <c r="P760">
        <v>2</v>
      </c>
      <c r="Q760" t="s">
        <v>25</v>
      </c>
      <c r="R760" t="s">
        <v>33</v>
      </c>
    </row>
    <row r="761" spans="1:18" x14ac:dyDescent="0.25">
      <c r="A761" t="s">
        <v>789</v>
      </c>
      <c r="B761">
        <v>69</v>
      </c>
      <c r="C761">
        <v>83.6</v>
      </c>
      <c r="D761">
        <v>82.6</v>
      </c>
      <c r="E761">
        <v>83.4</v>
      </c>
      <c r="F761">
        <v>85.1</v>
      </c>
      <c r="G761">
        <v>84.25</v>
      </c>
      <c r="H761" t="s">
        <v>19</v>
      </c>
      <c r="I761">
        <v>2</v>
      </c>
      <c r="J761" t="s">
        <v>20</v>
      </c>
      <c r="K761">
        <v>74.599999999999994</v>
      </c>
      <c r="L761">
        <v>179</v>
      </c>
      <c r="M761">
        <v>65.400000000000006</v>
      </c>
      <c r="N761">
        <v>7.9</v>
      </c>
      <c r="O761">
        <v>1.4</v>
      </c>
      <c r="P761">
        <v>2</v>
      </c>
      <c r="Q761" t="s">
        <v>25</v>
      </c>
      <c r="R761" t="s">
        <v>26</v>
      </c>
    </row>
    <row r="762" spans="1:18" x14ac:dyDescent="0.25">
      <c r="A762" t="s">
        <v>790</v>
      </c>
      <c r="B762">
        <v>48.2</v>
      </c>
      <c r="C762">
        <v>44.8</v>
      </c>
      <c r="D762">
        <v>50</v>
      </c>
      <c r="E762">
        <v>48.3</v>
      </c>
      <c r="F762">
        <v>66.099999999999994</v>
      </c>
      <c r="G762">
        <v>57.2</v>
      </c>
      <c r="H762" t="s">
        <v>19</v>
      </c>
      <c r="I762">
        <v>2</v>
      </c>
      <c r="J762" t="s">
        <v>20</v>
      </c>
      <c r="K762">
        <v>61.6</v>
      </c>
      <c r="L762">
        <v>148</v>
      </c>
      <c r="M762">
        <v>67.8</v>
      </c>
      <c r="N762">
        <v>6.4</v>
      </c>
      <c r="O762">
        <v>5.7</v>
      </c>
      <c r="P762">
        <v>1</v>
      </c>
      <c r="Q762" t="s">
        <v>25</v>
      </c>
      <c r="R762" t="s">
        <v>22</v>
      </c>
    </row>
    <row r="763" spans="1:18" x14ac:dyDescent="0.25">
      <c r="A763" t="s">
        <v>791</v>
      </c>
      <c r="B763">
        <v>66</v>
      </c>
      <c r="C763">
        <v>50.9</v>
      </c>
      <c r="D763">
        <v>64.400000000000006</v>
      </c>
      <c r="E763">
        <v>57.1</v>
      </c>
      <c r="F763">
        <v>70.2</v>
      </c>
      <c r="G763">
        <v>63.65</v>
      </c>
      <c r="H763" t="s">
        <v>19</v>
      </c>
      <c r="I763">
        <v>3</v>
      </c>
      <c r="J763" t="s">
        <v>20</v>
      </c>
      <c r="K763">
        <v>71.7</v>
      </c>
      <c r="L763">
        <v>172</v>
      </c>
      <c r="M763">
        <v>76.5</v>
      </c>
      <c r="N763">
        <v>8</v>
      </c>
      <c r="O763">
        <v>2.9</v>
      </c>
      <c r="P763">
        <v>1</v>
      </c>
      <c r="Q763" t="s">
        <v>25</v>
      </c>
      <c r="R763" t="s">
        <v>26</v>
      </c>
    </row>
    <row r="764" spans="1:18" x14ac:dyDescent="0.25">
      <c r="A764" t="s">
        <v>792</v>
      </c>
      <c r="B764">
        <v>62</v>
      </c>
      <c r="C764">
        <v>52.6</v>
      </c>
      <c r="D764">
        <v>58.1</v>
      </c>
      <c r="E764">
        <v>53.7</v>
      </c>
      <c r="F764">
        <v>64.599999999999994</v>
      </c>
      <c r="G764">
        <v>59.15</v>
      </c>
      <c r="H764" t="s">
        <v>19</v>
      </c>
      <c r="I764">
        <v>5</v>
      </c>
      <c r="J764" t="s">
        <v>24</v>
      </c>
      <c r="K764">
        <v>73.8</v>
      </c>
      <c r="L764">
        <v>177</v>
      </c>
      <c r="M764">
        <v>100.1</v>
      </c>
      <c r="N764">
        <v>6.1</v>
      </c>
      <c r="O764">
        <v>3.9</v>
      </c>
      <c r="P764">
        <v>6</v>
      </c>
      <c r="Q764" t="s">
        <v>28</v>
      </c>
      <c r="R764" t="s">
        <v>22</v>
      </c>
    </row>
    <row r="765" spans="1:18" x14ac:dyDescent="0.25">
      <c r="A765" t="s">
        <v>793</v>
      </c>
      <c r="B765">
        <v>78.599999999999994</v>
      </c>
      <c r="C765">
        <v>79.400000000000006</v>
      </c>
      <c r="D765">
        <v>75.5</v>
      </c>
      <c r="E765">
        <v>80.900000000000006</v>
      </c>
      <c r="F765">
        <v>80.3</v>
      </c>
      <c r="G765">
        <v>80.599999999999994</v>
      </c>
      <c r="H765" t="s">
        <v>19</v>
      </c>
      <c r="I765">
        <v>3</v>
      </c>
      <c r="J765" t="s">
        <v>38</v>
      </c>
      <c r="K765">
        <v>81</v>
      </c>
      <c r="L765">
        <v>194</v>
      </c>
      <c r="M765">
        <v>75.7</v>
      </c>
      <c r="N765">
        <v>6.5</v>
      </c>
      <c r="O765">
        <v>5</v>
      </c>
      <c r="P765">
        <v>3</v>
      </c>
      <c r="Q765" t="s">
        <v>25</v>
      </c>
      <c r="R765" t="s">
        <v>33</v>
      </c>
    </row>
    <row r="766" spans="1:18" x14ac:dyDescent="0.25">
      <c r="A766" t="s">
        <v>794</v>
      </c>
      <c r="B766">
        <v>38.799999999999997</v>
      </c>
      <c r="C766">
        <v>54</v>
      </c>
      <c r="D766">
        <v>48.7</v>
      </c>
      <c r="E766">
        <v>41.8</v>
      </c>
      <c r="F766">
        <v>62.7</v>
      </c>
      <c r="G766">
        <v>52.25</v>
      </c>
      <c r="H766" t="s">
        <v>19</v>
      </c>
      <c r="I766">
        <v>4</v>
      </c>
      <c r="J766" t="s">
        <v>24</v>
      </c>
      <c r="K766">
        <v>67.5</v>
      </c>
      <c r="L766">
        <v>162</v>
      </c>
      <c r="M766">
        <v>90.7</v>
      </c>
      <c r="N766">
        <v>6.8</v>
      </c>
      <c r="O766">
        <v>2.6</v>
      </c>
      <c r="P766">
        <v>4</v>
      </c>
      <c r="Q766" t="s">
        <v>28</v>
      </c>
      <c r="R766" t="s">
        <v>33</v>
      </c>
    </row>
    <row r="767" spans="1:18" x14ac:dyDescent="0.25">
      <c r="A767" t="s">
        <v>795</v>
      </c>
      <c r="B767">
        <v>73.7</v>
      </c>
      <c r="C767">
        <v>73.5</v>
      </c>
      <c r="D767">
        <v>72.900000000000006</v>
      </c>
      <c r="E767">
        <v>71.3</v>
      </c>
      <c r="F767">
        <v>86.4</v>
      </c>
      <c r="G767">
        <v>78.849999999999994</v>
      </c>
      <c r="H767" t="s">
        <v>19</v>
      </c>
      <c r="I767">
        <v>4</v>
      </c>
      <c r="J767" t="s">
        <v>38</v>
      </c>
      <c r="K767">
        <v>68.900000000000006</v>
      </c>
      <c r="L767">
        <v>165</v>
      </c>
      <c r="M767">
        <v>87.1</v>
      </c>
      <c r="N767">
        <v>6.9</v>
      </c>
      <c r="O767">
        <v>4.5999999999999996</v>
      </c>
      <c r="P767">
        <v>1</v>
      </c>
      <c r="Q767" t="s">
        <v>25</v>
      </c>
      <c r="R767" t="s">
        <v>33</v>
      </c>
    </row>
    <row r="768" spans="1:18" x14ac:dyDescent="0.25">
      <c r="A768" t="s">
        <v>796</v>
      </c>
      <c r="B768">
        <v>76.900000000000006</v>
      </c>
      <c r="C768">
        <v>75</v>
      </c>
      <c r="D768">
        <v>85.4</v>
      </c>
      <c r="E768">
        <v>81.900000000000006</v>
      </c>
      <c r="F768">
        <v>70.3</v>
      </c>
      <c r="G768">
        <v>76.099999999999994</v>
      </c>
      <c r="H768" t="s">
        <v>19</v>
      </c>
      <c r="I768">
        <v>2</v>
      </c>
      <c r="J768" t="s">
        <v>20</v>
      </c>
      <c r="K768">
        <v>78.8</v>
      </c>
      <c r="L768">
        <v>189</v>
      </c>
      <c r="M768">
        <v>65.8</v>
      </c>
      <c r="N768">
        <v>6.7</v>
      </c>
      <c r="O768">
        <v>1.7</v>
      </c>
      <c r="P768">
        <v>4</v>
      </c>
      <c r="Q768" t="s">
        <v>28</v>
      </c>
      <c r="R768" t="s">
        <v>26</v>
      </c>
    </row>
    <row r="769" spans="1:18" x14ac:dyDescent="0.25">
      <c r="A769" t="s">
        <v>797</v>
      </c>
      <c r="B769">
        <v>89.7</v>
      </c>
      <c r="C769">
        <v>85.4</v>
      </c>
      <c r="D769">
        <v>95.6</v>
      </c>
      <c r="E769">
        <v>88.2</v>
      </c>
      <c r="F769">
        <v>99</v>
      </c>
      <c r="G769">
        <v>93.6</v>
      </c>
      <c r="H769" t="s">
        <v>19</v>
      </c>
      <c r="I769">
        <v>4</v>
      </c>
      <c r="J769" t="s">
        <v>38</v>
      </c>
      <c r="K769">
        <v>82.7</v>
      </c>
      <c r="L769">
        <v>198</v>
      </c>
      <c r="M769">
        <v>95.4</v>
      </c>
      <c r="N769">
        <v>7.4</v>
      </c>
      <c r="O769">
        <v>2.5</v>
      </c>
      <c r="P769">
        <v>1</v>
      </c>
      <c r="Q769" t="s">
        <v>25</v>
      </c>
      <c r="R769" t="s">
        <v>33</v>
      </c>
    </row>
    <row r="770" spans="1:18" x14ac:dyDescent="0.25">
      <c r="A770" t="s">
        <v>798</v>
      </c>
      <c r="B770">
        <v>62.6</v>
      </c>
      <c r="C770">
        <v>63.9</v>
      </c>
      <c r="D770">
        <v>53.3</v>
      </c>
      <c r="E770">
        <v>58.8</v>
      </c>
      <c r="F770">
        <v>68.599999999999994</v>
      </c>
      <c r="G770">
        <v>63.7</v>
      </c>
      <c r="H770" t="s">
        <v>19</v>
      </c>
      <c r="I770">
        <v>2</v>
      </c>
      <c r="J770" t="s">
        <v>20</v>
      </c>
      <c r="K770">
        <v>68.8</v>
      </c>
      <c r="L770">
        <v>165</v>
      </c>
      <c r="M770">
        <v>67.099999999999994</v>
      </c>
      <c r="N770">
        <v>7.2</v>
      </c>
      <c r="O770">
        <v>1.7</v>
      </c>
      <c r="P770">
        <v>3</v>
      </c>
      <c r="Q770" t="s">
        <v>25</v>
      </c>
      <c r="R770" t="s">
        <v>22</v>
      </c>
    </row>
    <row r="771" spans="1:18" x14ac:dyDescent="0.25">
      <c r="A771" t="s">
        <v>799</v>
      </c>
      <c r="B771">
        <v>91.3</v>
      </c>
      <c r="C771">
        <v>95.6</v>
      </c>
      <c r="D771">
        <v>85</v>
      </c>
      <c r="E771">
        <v>85.2</v>
      </c>
      <c r="F771">
        <v>83.1</v>
      </c>
      <c r="G771">
        <v>84.15</v>
      </c>
      <c r="H771" t="s">
        <v>19</v>
      </c>
      <c r="I771">
        <v>4</v>
      </c>
      <c r="J771" t="s">
        <v>38</v>
      </c>
      <c r="K771">
        <v>83</v>
      </c>
      <c r="L771">
        <v>199</v>
      </c>
      <c r="M771">
        <v>83.1</v>
      </c>
      <c r="N771">
        <v>6.1</v>
      </c>
      <c r="O771">
        <v>5.0999999999999996</v>
      </c>
      <c r="P771">
        <v>3</v>
      </c>
      <c r="Q771" t="s">
        <v>28</v>
      </c>
      <c r="R771" t="s">
        <v>22</v>
      </c>
    </row>
    <row r="772" spans="1:18" x14ac:dyDescent="0.25">
      <c r="A772" t="s">
        <v>800</v>
      </c>
      <c r="B772">
        <v>45.6</v>
      </c>
      <c r="C772">
        <v>38.200000000000003</v>
      </c>
      <c r="D772">
        <v>43.4</v>
      </c>
      <c r="E772">
        <v>46.1</v>
      </c>
      <c r="F772">
        <v>52.4</v>
      </c>
      <c r="G772">
        <v>49.25</v>
      </c>
      <c r="H772" t="s">
        <v>32</v>
      </c>
      <c r="I772">
        <v>2</v>
      </c>
      <c r="J772" t="s">
        <v>20</v>
      </c>
      <c r="K772">
        <v>66.5</v>
      </c>
      <c r="L772">
        <v>160</v>
      </c>
      <c r="M772">
        <v>71.099999999999994</v>
      </c>
      <c r="N772">
        <v>6.6</v>
      </c>
      <c r="O772">
        <v>2.1</v>
      </c>
      <c r="P772">
        <v>4</v>
      </c>
      <c r="Q772" t="s">
        <v>28</v>
      </c>
      <c r="R772" t="s">
        <v>22</v>
      </c>
    </row>
    <row r="773" spans="1:18" x14ac:dyDescent="0.25">
      <c r="A773" t="s">
        <v>801</v>
      </c>
      <c r="B773">
        <v>85.5</v>
      </c>
      <c r="C773">
        <v>77.2</v>
      </c>
      <c r="D773">
        <v>78.7</v>
      </c>
      <c r="E773">
        <v>86.6</v>
      </c>
      <c r="F773">
        <v>85.6</v>
      </c>
      <c r="G773">
        <v>86.1</v>
      </c>
      <c r="H773" t="s">
        <v>19</v>
      </c>
      <c r="I773">
        <v>5</v>
      </c>
      <c r="J773" t="s">
        <v>24</v>
      </c>
      <c r="K773">
        <v>81.099999999999994</v>
      </c>
      <c r="L773">
        <v>195</v>
      </c>
      <c r="M773">
        <v>95.9</v>
      </c>
      <c r="N773">
        <v>6.4</v>
      </c>
      <c r="O773">
        <v>4.5999999999999996</v>
      </c>
      <c r="P773">
        <v>4</v>
      </c>
      <c r="Q773" t="s">
        <v>28</v>
      </c>
      <c r="R773" t="s">
        <v>26</v>
      </c>
    </row>
    <row r="774" spans="1:18" x14ac:dyDescent="0.25">
      <c r="A774" t="s">
        <v>802</v>
      </c>
      <c r="B774">
        <v>42.6</v>
      </c>
      <c r="C774">
        <v>56.4</v>
      </c>
      <c r="D774">
        <v>48.7</v>
      </c>
      <c r="E774">
        <v>47</v>
      </c>
      <c r="F774">
        <v>56.1</v>
      </c>
      <c r="G774">
        <v>51.55</v>
      </c>
      <c r="H774" t="s">
        <v>19</v>
      </c>
      <c r="I774">
        <v>2</v>
      </c>
      <c r="J774" t="s">
        <v>20</v>
      </c>
      <c r="K774">
        <v>64.2</v>
      </c>
      <c r="L774">
        <v>154</v>
      </c>
      <c r="M774">
        <v>68.8</v>
      </c>
      <c r="N774">
        <v>6.8</v>
      </c>
      <c r="O774">
        <v>5.7</v>
      </c>
      <c r="P774">
        <v>1</v>
      </c>
      <c r="Q774" t="s">
        <v>25</v>
      </c>
      <c r="R774" t="s">
        <v>26</v>
      </c>
    </row>
    <row r="775" spans="1:18" x14ac:dyDescent="0.25">
      <c r="A775" t="s">
        <v>803</v>
      </c>
      <c r="B775">
        <v>57.7</v>
      </c>
      <c r="C775">
        <v>63.8</v>
      </c>
      <c r="D775">
        <v>74.400000000000006</v>
      </c>
      <c r="E775">
        <v>61.9</v>
      </c>
      <c r="F775">
        <v>61.5</v>
      </c>
      <c r="G775">
        <v>61.7</v>
      </c>
      <c r="H775" t="s">
        <v>19</v>
      </c>
      <c r="I775">
        <v>2</v>
      </c>
      <c r="J775" t="s">
        <v>20</v>
      </c>
      <c r="K775">
        <v>70.7</v>
      </c>
      <c r="L775">
        <v>170</v>
      </c>
      <c r="M775">
        <v>75</v>
      </c>
      <c r="N775">
        <v>6.9</v>
      </c>
      <c r="O775">
        <v>3.6</v>
      </c>
      <c r="P775">
        <v>2</v>
      </c>
      <c r="Q775" t="s">
        <v>25</v>
      </c>
      <c r="R775" t="s">
        <v>33</v>
      </c>
    </row>
    <row r="776" spans="1:18" x14ac:dyDescent="0.25">
      <c r="A776" t="s">
        <v>804</v>
      </c>
      <c r="B776">
        <v>82.7</v>
      </c>
      <c r="C776">
        <v>79.5</v>
      </c>
      <c r="D776">
        <v>74.7</v>
      </c>
      <c r="E776">
        <v>83.9</v>
      </c>
      <c r="F776">
        <v>84.6</v>
      </c>
      <c r="G776">
        <v>84.25</v>
      </c>
      <c r="H776" t="s">
        <v>19</v>
      </c>
      <c r="I776">
        <v>5</v>
      </c>
      <c r="J776" t="s">
        <v>24</v>
      </c>
      <c r="K776">
        <v>77.3</v>
      </c>
      <c r="L776">
        <v>186</v>
      </c>
      <c r="M776">
        <v>92</v>
      </c>
      <c r="N776">
        <v>7.2</v>
      </c>
      <c r="O776">
        <v>3.7</v>
      </c>
      <c r="P776">
        <v>1</v>
      </c>
      <c r="Q776" t="s">
        <v>25</v>
      </c>
      <c r="R776" t="s">
        <v>26</v>
      </c>
    </row>
    <row r="777" spans="1:18" x14ac:dyDescent="0.25">
      <c r="A777" t="s">
        <v>805</v>
      </c>
      <c r="B777">
        <v>50.1</v>
      </c>
      <c r="C777">
        <v>50.9</v>
      </c>
      <c r="D777">
        <v>48.1</v>
      </c>
      <c r="E777">
        <v>48.2</v>
      </c>
      <c r="F777">
        <v>45.2</v>
      </c>
      <c r="G777">
        <v>46.7</v>
      </c>
      <c r="H777" t="s">
        <v>32</v>
      </c>
      <c r="I777">
        <v>1</v>
      </c>
      <c r="J777" t="s">
        <v>20</v>
      </c>
      <c r="K777">
        <v>63.6</v>
      </c>
      <c r="L777">
        <v>153</v>
      </c>
      <c r="M777">
        <v>63.1</v>
      </c>
      <c r="N777">
        <v>7.8</v>
      </c>
      <c r="O777">
        <v>3.3</v>
      </c>
      <c r="P777">
        <v>3</v>
      </c>
      <c r="Q777" t="s">
        <v>28</v>
      </c>
      <c r="R777" t="s">
        <v>22</v>
      </c>
    </row>
    <row r="778" spans="1:18" x14ac:dyDescent="0.25">
      <c r="A778" t="s">
        <v>806</v>
      </c>
      <c r="B778">
        <v>57.2</v>
      </c>
      <c r="C778">
        <v>39.4</v>
      </c>
      <c r="D778">
        <v>55.8</v>
      </c>
      <c r="E778">
        <v>52.6</v>
      </c>
      <c r="F778">
        <v>61.7</v>
      </c>
      <c r="G778">
        <v>57.15</v>
      </c>
      <c r="H778" t="s">
        <v>19</v>
      </c>
      <c r="I778">
        <v>4</v>
      </c>
      <c r="J778" t="s">
        <v>38</v>
      </c>
      <c r="K778">
        <v>65.599999999999994</v>
      </c>
      <c r="L778">
        <v>157</v>
      </c>
      <c r="M778">
        <v>79.400000000000006</v>
      </c>
      <c r="N778">
        <v>7.3</v>
      </c>
      <c r="O778">
        <v>2.6</v>
      </c>
      <c r="P778">
        <v>1</v>
      </c>
      <c r="Q778" t="s">
        <v>25</v>
      </c>
      <c r="R778" t="s">
        <v>22</v>
      </c>
    </row>
    <row r="779" spans="1:18" x14ac:dyDescent="0.25">
      <c r="A779" t="s">
        <v>807</v>
      </c>
      <c r="B779">
        <v>75.7</v>
      </c>
      <c r="C779">
        <v>79.7</v>
      </c>
      <c r="D779">
        <v>80.3</v>
      </c>
      <c r="E779">
        <v>79.7</v>
      </c>
      <c r="F779">
        <v>91.1</v>
      </c>
      <c r="G779">
        <v>85.4</v>
      </c>
      <c r="H779" t="s">
        <v>19</v>
      </c>
      <c r="I779">
        <v>4</v>
      </c>
      <c r="J779" t="s">
        <v>38</v>
      </c>
      <c r="K779">
        <v>79</v>
      </c>
      <c r="L779">
        <v>190</v>
      </c>
      <c r="M779">
        <v>86.2</v>
      </c>
      <c r="N779">
        <v>6.7</v>
      </c>
      <c r="O779">
        <v>3.4</v>
      </c>
      <c r="P779">
        <v>1</v>
      </c>
      <c r="Q779" t="s">
        <v>25</v>
      </c>
      <c r="R779" t="s">
        <v>22</v>
      </c>
    </row>
    <row r="780" spans="1:18" x14ac:dyDescent="0.25">
      <c r="A780" t="s">
        <v>808</v>
      </c>
      <c r="B780">
        <v>87.1</v>
      </c>
      <c r="C780">
        <v>81.2</v>
      </c>
      <c r="D780">
        <v>79</v>
      </c>
      <c r="E780">
        <v>79.599999999999994</v>
      </c>
      <c r="F780">
        <v>91.9</v>
      </c>
      <c r="G780">
        <v>85.75</v>
      </c>
      <c r="H780" t="s">
        <v>19</v>
      </c>
      <c r="I780">
        <v>4</v>
      </c>
      <c r="J780" t="s">
        <v>24</v>
      </c>
      <c r="K780">
        <v>80</v>
      </c>
      <c r="L780">
        <v>192</v>
      </c>
      <c r="M780">
        <v>91.8</v>
      </c>
      <c r="N780">
        <v>7</v>
      </c>
      <c r="O780">
        <v>4</v>
      </c>
      <c r="P780">
        <v>2</v>
      </c>
      <c r="Q780" t="s">
        <v>25</v>
      </c>
      <c r="R780" t="s">
        <v>26</v>
      </c>
    </row>
    <row r="781" spans="1:18" x14ac:dyDescent="0.25">
      <c r="A781" t="s">
        <v>809</v>
      </c>
      <c r="B781">
        <v>73.900000000000006</v>
      </c>
      <c r="C781">
        <v>79.900000000000006</v>
      </c>
      <c r="D781">
        <v>68.8</v>
      </c>
      <c r="E781">
        <v>75.3</v>
      </c>
      <c r="F781">
        <v>91.4</v>
      </c>
      <c r="G781">
        <v>83.35</v>
      </c>
      <c r="H781" t="s">
        <v>19</v>
      </c>
      <c r="I781">
        <v>5</v>
      </c>
      <c r="J781" t="s">
        <v>24</v>
      </c>
      <c r="K781">
        <v>78</v>
      </c>
      <c r="L781">
        <v>187</v>
      </c>
      <c r="M781">
        <v>107.4</v>
      </c>
      <c r="N781">
        <v>5.9</v>
      </c>
      <c r="O781">
        <v>5.9</v>
      </c>
      <c r="P781">
        <v>1</v>
      </c>
      <c r="Q781" t="s">
        <v>25</v>
      </c>
      <c r="R781" t="s">
        <v>22</v>
      </c>
    </row>
    <row r="782" spans="1:18" x14ac:dyDescent="0.25">
      <c r="A782" t="s">
        <v>810</v>
      </c>
      <c r="B782">
        <v>78.099999999999994</v>
      </c>
      <c r="C782">
        <v>73.099999999999994</v>
      </c>
      <c r="D782">
        <v>79.3</v>
      </c>
      <c r="E782">
        <v>78.2</v>
      </c>
      <c r="F782">
        <v>83.1</v>
      </c>
      <c r="G782">
        <v>80.650000000000006</v>
      </c>
      <c r="H782" t="s">
        <v>19</v>
      </c>
      <c r="I782">
        <v>5</v>
      </c>
      <c r="J782" t="s">
        <v>24</v>
      </c>
      <c r="K782">
        <v>76.900000000000006</v>
      </c>
      <c r="L782">
        <v>185</v>
      </c>
      <c r="M782">
        <v>97.7</v>
      </c>
      <c r="N782">
        <v>6</v>
      </c>
      <c r="O782">
        <v>5.7</v>
      </c>
      <c r="P782">
        <v>1</v>
      </c>
      <c r="Q782" t="s">
        <v>25</v>
      </c>
      <c r="R782" t="s">
        <v>33</v>
      </c>
    </row>
    <row r="783" spans="1:18" x14ac:dyDescent="0.25">
      <c r="A783" t="s">
        <v>811</v>
      </c>
      <c r="B783">
        <v>66.099999999999994</v>
      </c>
      <c r="C783">
        <v>70.3</v>
      </c>
      <c r="D783">
        <v>66.099999999999994</v>
      </c>
      <c r="E783">
        <v>69.8</v>
      </c>
      <c r="F783">
        <v>60.8</v>
      </c>
      <c r="G783">
        <v>65.3</v>
      </c>
      <c r="H783" t="s">
        <v>19</v>
      </c>
      <c r="I783">
        <v>1</v>
      </c>
      <c r="J783" t="s">
        <v>20</v>
      </c>
      <c r="K783">
        <v>81.3</v>
      </c>
      <c r="L783">
        <v>195</v>
      </c>
      <c r="M783">
        <v>51.6</v>
      </c>
      <c r="N783">
        <v>5.6</v>
      </c>
      <c r="O783">
        <v>5.3</v>
      </c>
      <c r="P783">
        <v>1</v>
      </c>
      <c r="Q783" t="s">
        <v>25</v>
      </c>
      <c r="R783" t="s">
        <v>26</v>
      </c>
    </row>
    <row r="784" spans="1:18" x14ac:dyDescent="0.25">
      <c r="A784" t="s">
        <v>812</v>
      </c>
      <c r="B784">
        <v>41.7</v>
      </c>
      <c r="C784">
        <v>49.2</v>
      </c>
      <c r="D784">
        <v>42.9</v>
      </c>
      <c r="E784">
        <v>53.8</v>
      </c>
      <c r="F784">
        <v>55.8</v>
      </c>
      <c r="G784">
        <v>54.8</v>
      </c>
      <c r="H784" t="s">
        <v>19</v>
      </c>
      <c r="I784">
        <v>4</v>
      </c>
      <c r="J784" t="s">
        <v>24</v>
      </c>
      <c r="K784">
        <v>61.1</v>
      </c>
      <c r="L784">
        <v>147</v>
      </c>
      <c r="M784">
        <v>82.9</v>
      </c>
      <c r="N784">
        <v>6.8</v>
      </c>
      <c r="O784">
        <v>5.4</v>
      </c>
      <c r="P784">
        <v>4</v>
      </c>
      <c r="Q784" t="s">
        <v>28</v>
      </c>
      <c r="R784" t="s">
        <v>22</v>
      </c>
    </row>
    <row r="785" spans="1:18" x14ac:dyDescent="0.25">
      <c r="A785" t="s">
        <v>813</v>
      </c>
      <c r="B785">
        <v>63.4</v>
      </c>
      <c r="C785">
        <v>60.3</v>
      </c>
      <c r="D785">
        <v>65</v>
      </c>
      <c r="E785">
        <v>59</v>
      </c>
      <c r="F785">
        <v>65</v>
      </c>
      <c r="G785">
        <v>62</v>
      </c>
      <c r="H785" t="s">
        <v>19</v>
      </c>
      <c r="I785">
        <v>4</v>
      </c>
      <c r="J785" t="s">
        <v>38</v>
      </c>
      <c r="K785">
        <v>65.900000000000006</v>
      </c>
      <c r="L785">
        <v>158</v>
      </c>
      <c r="M785">
        <v>86</v>
      </c>
      <c r="N785">
        <v>6.8</v>
      </c>
      <c r="O785">
        <v>3.3</v>
      </c>
      <c r="P785">
        <v>4</v>
      </c>
      <c r="Q785" t="s">
        <v>28</v>
      </c>
      <c r="R785" t="s">
        <v>22</v>
      </c>
    </row>
    <row r="786" spans="1:18" x14ac:dyDescent="0.25">
      <c r="A786" t="s">
        <v>814</v>
      </c>
      <c r="B786">
        <v>53.7</v>
      </c>
      <c r="C786">
        <v>45.5</v>
      </c>
      <c r="D786">
        <v>54.8</v>
      </c>
      <c r="E786">
        <v>50</v>
      </c>
      <c r="F786">
        <v>61.9</v>
      </c>
      <c r="G786">
        <v>55.95</v>
      </c>
      <c r="H786" t="s">
        <v>19</v>
      </c>
      <c r="I786">
        <v>4</v>
      </c>
      <c r="J786" t="s">
        <v>38</v>
      </c>
      <c r="K786">
        <v>78.900000000000006</v>
      </c>
      <c r="L786">
        <v>189</v>
      </c>
      <c r="M786">
        <v>89</v>
      </c>
      <c r="N786">
        <v>6.8</v>
      </c>
      <c r="O786">
        <v>4.3</v>
      </c>
      <c r="P786">
        <v>2</v>
      </c>
      <c r="Q786" t="s">
        <v>25</v>
      </c>
      <c r="R786" t="s">
        <v>26</v>
      </c>
    </row>
    <row r="787" spans="1:18" x14ac:dyDescent="0.25">
      <c r="A787" t="s">
        <v>815</v>
      </c>
      <c r="B787">
        <v>88.6</v>
      </c>
      <c r="C787">
        <v>87.9</v>
      </c>
      <c r="D787">
        <v>90.2</v>
      </c>
      <c r="E787">
        <v>90</v>
      </c>
      <c r="F787">
        <v>80.900000000000006</v>
      </c>
      <c r="G787">
        <v>85.45</v>
      </c>
      <c r="H787" t="s">
        <v>19</v>
      </c>
      <c r="I787">
        <v>2</v>
      </c>
      <c r="J787" t="s">
        <v>20</v>
      </c>
      <c r="K787">
        <v>79.8</v>
      </c>
      <c r="L787">
        <v>192</v>
      </c>
      <c r="M787">
        <v>67</v>
      </c>
      <c r="N787">
        <v>5.8</v>
      </c>
      <c r="O787">
        <v>5.5</v>
      </c>
      <c r="P787">
        <v>3</v>
      </c>
      <c r="Q787" t="s">
        <v>28</v>
      </c>
      <c r="R787" t="s">
        <v>26</v>
      </c>
    </row>
    <row r="788" spans="1:18" x14ac:dyDescent="0.25">
      <c r="A788" t="s">
        <v>816</v>
      </c>
      <c r="B788">
        <v>72.400000000000006</v>
      </c>
      <c r="C788">
        <v>67.099999999999994</v>
      </c>
      <c r="D788">
        <v>73.2</v>
      </c>
      <c r="E788">
        <v>72.099999999999994</v>
      </c>
      <c r="F788">
        <v>83.9</v>
      </c>
      <c r="G788">
        <v>78</v>
      </c>
      <c r="H788" t="s">
        <v>19</v>
      </c>
      <c r="I788">
        <v>4</v>
      </c>
      <c r="J788" t="s">
        <v>38</v>
      </c>
      <c r="K788">
        <v>69.3</v>
      </c>
      <c r="L788">
        <v>166</v>
      </c>
      <c r="M788">
        <v>86.8</v>
      </c>
      <c r="N788">
        <v>7.3</v>
      </c>
      <c r="O788">
        <v>3</v>
      </c>
      <c r="P788">
        <v>3</v>
      </c>
      <c r="Q788" t="s">
        <v>25</v>
      </c>
      <c r="R788" t="s">
        <v>33</v>
      </c>
    </row>
    <row r="789" spans="1:18" x14ac:dyDescent="0.25">
      <c r="A789" t="s">
        <v>817</v>
      </c>
      <c r="B789">
        <v>64.599999999999994</v>
      </c>
      <c r="C789">
        <v>65.3</v>
      </c>
      <c r="D789">
        <v>67.400000000000006</v>
      </c>
      <c r="E789">
        <v>62</v>
      </c>
      <c r="F789">
        <v>71.5</v>
      </c>
      <c r="G789">
        <v>66.75</v>
      </c>
      <c r="H789" t="s">
        <v>19</v>
      </c>
      <c r="I789">
        <v>5</v>
      </c>
      <c r="J789" t="s">
        <v>24</v>
      </c>
      <c r="K789">
        <v>74.7</v>
      </c>
      <c r="L789">
        <v>179</v>
      </c>
      <c r="M789">
        <v>105.1</v>
      </c>
      <c r="N789">
        <v>5.9</v>
      </c>
      <c r="O789">
        <v>5.8</v>
      </c>
      <c r="P789">
        <v>3</v>
      </c>
      <c r="Q789" t="s">
        <v>25</v>
      </c>
      <c r="R789" t="s">
        <v>26</v>
      </c>
    </row>
    <row r="790" spans="1:18" x14ac:dyDescent="0.25">
      <c r="A790" t="s">
        <v>818</v>
      </c>
      <c r="B790">
        <v>57.6</v>
      </c>
      <c r="C790">
        <v>69.7</v>
      </c>
      <c r="D790">
        <v>66.5</v>
      </c>
      <c r="E790">
        <v>65.400000000000006</v>
      </c>
      <c r="F790">
        <v>69.099999999999994</v>
      </c>
      <c r="G790">
        <v>67.25</v>
      </c>
      <c r="H790" t="s">
        <v>19</v>
      </c>
      <c r="I790">
        <v>5</v>
      </c>
      <c r="J790" t="s">
        <v>24</v>
      </c>
      <c r="K790">
        <v>62.3</v>
      </c>
      <c r="L790">
        <v>150</v>
      </c>
      <c r="M790">
        <v>93.8</v>
      </c>
      <c r="N790">
        <v>7</v>
      </c>
      <c r="O790">
        <v>3.1</v>
      </c>
      <c r="P790">
        <v>3</v>
      </c>
      <c r="Q790" t="s">
        <v>25</v>
      </c>
      <c r="R790" t="s">
        <v>22</v>
      </c>
    </row>
    <row r="791" spans="1:18" x14ac:dyDescent="0.25">
      <c r="A791" t="s">
        <v>819</v>
      </c>
      <c r="B791">
        <v>89.5</v>
      </c>
      <c r="C791">
        <v>90.9</v>
      </c>
      <c r="D791">
        <v>96.6</v>
      </c>
      <c r="E791">
        <v>92.1</v>
      </c>
      <c r="F791">
        <v>86.6</v>
      </c>
      <c r="G791">
        <v>89.35</v>
      </c>
      <c r="H791" t="s">
        <v>19</v>
      </c>
      <c r="I791">
        <v>3</v>
      </c>
      <c r="J791" t="s">
        <v>20</v>
      </c>
      <c r="K791">
        <v>84.9</v>
      </c>
      <c r="L791">
        <v>204</v>
      </c>
      <c r="M791">
        <v>82</v>
      </c>
      <c r="N791">
        <v>7.2</v>
      </c>
      <c r="O791">
        <v>4</v>
      </c>
      <c r="P791">
        <v>4</v>
      </c>
      <c r="Q791" t="s">
        <v>28</v>
      </c>
      <c r="R791" t="s">
        <v>33</v>
      </c>
    </row>
    <row r="792" spans="1:18" x14ac:dyDescent="0.25">
      <c r="A792" t="s">
        <v>820</v>
      </c>
      <c r="B792">
        <v>52.4</v>
      </c>
      <c r="C792">
        <v>48.6</v>
      </c>
      <c r="D792">
        <v>46.9</v>
      </c>
      <c r="E792">
        <v>48.4</v>
      </c>
      <c r="F792">
        <v>55.3</v>
      </c>
      <c r="G792">
        <v>51.85</v>
      </c>
      <c r="H792" t="s">
        <v>19</v>
      </c>
      <c r="I792">
        <v>1</v>
      </c>
      <c r="J792" t="s">
        <v>20</v>
      </c>
      <c r="K792">
        <v>74.900000000000006</v>
      </c>
      <c r="L792">
        <v>180</v>
      </c>
      <c r="M792">
        <v>53.4</v>
      </c>
      <c r="N792">
        <v>7</v>
      </c>
      <c r="O792">
        <v>4.5</v>
      </c>
      <c r="P792">
        <v>2</v>
      </c>
      <c r="Q792" t="s">
        <v>25</v>
      </c>
      <c r="R792" t="s">
        <v>22</v>
      </c>
    </row>
    <row r="793" spans="1:18" x14ac:dyDescent="0.25">
      <c r="A793" t="s">
        <v>821</v>
      </c>
      <c r="B793">
        <v>66</v>
      </c>
      <c r="C793">
        <v>65</v>
      </c>
      <c r="D793">
        <v>78.8</v>
      </c>
      <c r="E793">
        <v>72.2</v>
      </c>
      <c r="F793">
        <v>66.7</v>
      </c>
      <c r="G793">
        <v>69.45</v>
      </c>
      <c r="H793" t="s">
        <v>19</v>
      </c>
      <c r="I793">
        <v>2</v>
      </c>
      <c r="J793" t="s">
        <v>20</v>
      </c>
      <c r="K793">
        <v>68.400000000000006</v>
      </c>
      <c r="L793">
        <v>164</v>
      </c>
      <c r="M793">
        <v>70</v>
      </c>
      <c r="N793">
        <v>6.3</v>
      </c>
      <c r="O793">
        <v>5.8</v>
      </c>
      <c r="P793">
        <v>6</v>
      </c>
      <c r="Q793" t="s">
        <v>28</v>
      </c>
      <c r="R793" t="s">
        <v>22</v>
      </c>
    </row>
    <row r="794" spans="1:18" x14ac:dyDescent="0.25">
      <c r="A794" t="s">
        <v>822</v>
      </c>
      <c r="B794">
        <v>69.3</v>
      </c>
      <c r="C794">
        <v>66.3</v>
      </c>
      <c r="D794">
        <v>69.400000000000006</v>
      </c>
      <c r="E794">
        <v>67.8</v>
      </c>
      <c r="F794">
        <v>69.2</v>
      </c>
      <c r="G794">
        <v>68.5</v>
      </c>
      <c r="H794" t="s">
        <v>19</v>
      </c>
      <c r="I794">
        <v>4</v>
      </c>
      <c r="J794" t="s">
        <v>24</v>
      </c>
      <c r="K794">
        <v>64</v>
      </c>
      <c r="L794">
        <v>154</v>
      </c>
      <c r="M794">
        <v>84</v>
      </c>
      <c r="N794">
        <v>6.4</v>
      </c>
      <c r="O794">
        <v>2.2000000000000002</v>
      </c>
      <c r="P794">
        <v>6</v>
      </c>
      <c r="Q794" t="s">
        <v>28</v>
      </c>
      <c r="R794" t="s">
        <v>22</v>
      </c>
    </row>
    <row r="795" spans="1:18" x14ac:dyDescent="0.25">
      <c r="A795" t="s">
        <v>823</v>
      </c>
      <c r="B795">
        <v>66.8</v>
      </c>
      <c r="C795">
        <v>73.400000000000006</v>
      </c>
      <c r="D795">
        <v>74.599999999999994</v>
      </c>
      <c r="E795">
        <v>73.599999999999994</v>
      </c>
      <c r="F795">
        <v>81.2</v>
      </c>
      <c r="G795">
        <v>77.400000000000006</v>
      </c>
      <c r="H795" t="s">
        <v>19</v>
      </c>
      <c r="I795">
        <v>4</v>
      </c>
      <c r="J795" t="s">
        <v>38</v>
      </c>
      <c r="K795">
        <v>69.3</v>
      </c>
      <c r="L795">
        <v>166</v>
      </c>
      <c r="M795">
        <v>86.7</v>
      </c>
      <c r="N795">
        <v>8.1</v>
      </c>
      <c r="O795">
        <v>4.7</v>
      </c>
      <c r="P795">
        <v>4</v>
      </c>
      <c r="Q795" t="s">
        <v>28</v>
      </c>
      <c r="R795" t="s">
        <v>26</v>
      </c>
    </row>
    <row r="796" spans="1:18" x14ac:dyDescent="0.25">
      <c r="A796" t="s">
        <v>824</v>
      </c>
      <c r="B796">
        <v>43.3</v>
      </c>
      <c r="C796">
        <v>54.1</v>
      </c>
      <c r="D796">
        <v>34.6</v>
      </c>
      <c r="E796">
        <v>41</v>
      </c>
      <c r="F796">
        <v>51.1</v>
      </c>
      <c r="G796">
        <v>46.05</v>
      </c>
      <c r="H796" t="s">
        <v>32</v>
      </c>
      <c r="I796">
        <v>3</v>
      </c>
      <c r="J796" t="s">
        <v>20</v>
      </c>
      <c r="K796">
        <v>65</v>
      </c>
      <c r="L796">
        <v>156</v>
      </c>
      <c r="M796">
        <v>78.099999999999994</v>
      </c>
      <c r="N796">
        <v>7.8</v>
      </c>
      <c r="O796">
        <v>3.6</v>
      </c>
      <c r="P796">
        <v>1</v>
      </c>
      <c r="Q796" t="s">
        <v>25</v>
      </c>
      <c r="R796" t="s">
        <v>26</v>
      </c>
    </row>
    <row r="797" spans="1:18" x14ac:dyDescent="0.25">
      <c r="A797" t="s">
        <v>825</v>
      </c>
      <c r="B797">
        <v>87.8</v>
      </c>
      <c r="C797">
        <v>82.4</v>
      </c>
      <c r="D797">
        <v>89.4</v>
      </c>
      <c r="E797">
        <v>88</v>
      </c>
      <c r="F797">
        <v>90.8</v>
      </c>
      <c r="G797">
        <v>89.4</v>
      </c>
      <c r="H797" t="s">
        <v>19</v>
      </c>
      <c r="I797">
        <v>1</v>
      </c>
      <c r="J797" t="s">
        <v>20</v>
      </c>
      <c r="K797">
        <v>89.6</v>
      </c>
      <c r="L797">
        <v>215</v>
      </c>
      <c r="M797">
        <v>62.8</v>
      </c>
      <c r="N797">
        <v>7.7</v>
      </c>
      <c r="O797">
        <v>2.2999999999999998</v>
      </c>
      <c r="P797">
        <v>1</v>
      </c>
      <c r="Q797" t="s">
        <v>25</v>
      </c>
      <c r="R797" t="s">
        <v>22</v>
      </c>
    </row>
    <row r="798" spans="1:18" x14ac:dyDescent="0.25">
      <c r="A798" t="s">
        <v>826</v>
      </c>
      <c r="B798">
        <v>83.2</v>
      </c>
      <c r="C798">
        <v>98.6</v>
      </c>
      <c r="D798">
        <v>87.1</v>
      </c>
      <c r="E798">
        <v>91.3</v>
      </c>
      <c r="F798">
        <v>89.6</v>
      </c>
      <c r="G798">
        <v>90.45</v>
      </c>
      <c r="H798" t="s">
        <v>19</v>
      </c>
      <c r="I798">
        <v>3</v>
      </c>
      <c r="J798" t="s">
        <v>20</v>
      </c>
      <c r="K798">
        <v>83.1</v>
      </c>
      <c r="L798">
        <v>199</v>
      </c>
      <c r="M798">
        <v>77.400000000000006</v>
      </c>
      <c r="N798">
        <v>6.2</v>
      </c>
      <c r="O798">
        <v>4.9000000000000004</v>
      </c>
      <c r="P798">
        <v>2</v>
      </c>
      <c r="Q798" t="s">
        <v>25</v>
      </c>
      <c r="R798" t="s">
        <v>26</v>
      </c>
    </row>
    <row r="799" spans="1:18" x14ac:dyDescent="0.25">
      <c r="A799" t="s">
        <v>827</v>
      </c>
      <c r="B799">
        <v>76.900000000000006</v>
      </c>
      <c r="C799">
        <v>76.099999999999994</v>
      </c>
      <c r="D799">
        <v>67.900000000000006</v>
      </c>
      <c r="E799">
        <v>71.099999999999994</v>
      </c>
      <c r="F799">
        <v>72.599999999999994</v>
      </c>
      <c r="G799">
        <v>71.849999999999994</v>
      </c>
      <c r="H799" t="s">
        <v>19</v>
      </c>
      <c r="I799">
        <v>3</v>
      </c>
      <c r="J799" t="s">
        <v>20</v>
      </c>
      <c r="K799">
        <v>79</v>
      </c>
      <c r="L799">
        <v>190</v>
      </c>
      <c r="M799">
        <v>74.099999999999994</v>
      </c>
      <c r="N799">
        <v>6.8</v>
      </c>
      <c r="O799">
        <v>3.8</v>
      </c>
      <c r="P799">
        <v>2</v>
      </c>
      <c r="Q799" t="s">
        <v>25</v>
      </c>
      <c r="R799" t="s">
        <v>22</v>
      </c>
    </row>
    <row r="800" spans="1:18" x14ac:dyDescent="0.25">
      <c r="A800" t="s">
        <v>828</v>
      </c>
      <c r="B800">
        <v>74.599999999999994</v>
      </c>
      <c r="C800">
        <v>79.7</v>
      </c>
      <c r="D800">
        <v>74.2</v>
      </c>
      <c r="E800">
        <v>78.3</v>
      </c>
      <c r="F800">
        <v>73.3</v>
      </c>
      <c r="G800">
        <v>75.8</v>
      </c>
      <c r="H800" t="s">
        <v>19</v>
      </c>
      <c r="I800">
        <v>5</v>
      </c>
      <c r="J800" t="s">
        <v>24</v>
      </c>
      <c r="K800">
        <v>86.1</v>
      </c>
      <c r="L800">
        <v>207</v>
      </c>
      <c r="M800">
        <v>96.2</v>
      </c>
      <c r="N800">
        <v>6.4</v>
      </c>
      <c r="O800">
        <v>4.3</v>
      </c>
      <c r="P800">
        <v>3</v>
      </c>
      <c r="Q800" t="s">
        <v>25</v>
      </c>
      <c r="R800" t="s">
        <v>26</v>
      </c>
    </row>
    <row r="801" spans="1:18" x14ac:dyDescent="0.25">
      <c r="A801" t="s">
        <v>829</v>
      </c>
      <c r="B801">
        <v>86.7</v>
      </c>
      <c r="C801">
        <v>99.5</v>
      </c>
      <c r="D801">
        <v>85.4</v>
      </c>
      <c r="E801">
        <v>90.7</v>
      </c>
      <c r="F801">
        <v>92.3</v>
      </c>
      <c r="G801">
        <v>91.5</v>
      </c>
      <c r="H801" t="s">
        <v>19</v>
      </c>
      <c r="I801">
        <v>4</v>
      </c>
      <c r="J801" t="s">
        <v>38</v>
      </c>
      <c r="K801">
        <v>94.3</v>
      </c>
      <c r="L801">
        <v>226</v>
      </c>
      <c r="M801">
        <v>78.2</v>
      </c>
      <c r="N801">
        <v>7.8</v>
      </c>
      <c r="O801">
        <v>2.6</v>
      </c>
      <c r="P801">
        <v>1</v>
      </c>
      <c r="Q801" t="s">
        <v>25</v>
      </c>
      <c r="R801" t="s">
        <v>26</v>
      </c>
    </row>
    <row r="802" spans="1:18" x14ac:dyDescent="0.25">
      <c r="A802" t="s">
        <v>830</v>
      </c>
      <c r="B802">
        <v>79.900000000000006</v>
      </c>
      <c r="C802">
        <v>80.8</v>
      </c>
      <c r="D802">
        <v>89.5</v>
      </c>
      <c r="E802">
        <v>78.900000000000006</v>
      </c>
      <c r="F802">
        <v>81.099999999999994</v>
      </c>
      <c r="G802">
        <v>80</v>
      </c>
      <c r="H802" t="s">
        <v>19</v>
      </c>
      <c r="I802">
        <v>2</v>
      </c>
      <c r="J802" t="s">
        <v>20</v>
      </c>
      <c r="K802">
        <v>78.2</v>
      </c>
      <c r="L802">
        <v>188</v>
      </c>
      <c r="M802">
        <v>79.3</v>
      </c>
      <c r="N802">
        <v>7.1</v>
      </c>
      <c r="O802">
        <v>3.4</v>
      </c>
      <c r="P802">
        <v>5</v>
      </c>
      <c r="Q802" t="s">
        <v>28</v>
      </c>
      <c r="R802" t="s">
        <v>26</v>
      </c>
    </row>
    <row r="803" spans="1:18" x14ac:dyDescent="0.25">
      <c r="A803" t="s">
        <v>831</v>
      </c>
      <c r="B803">
        <v>54.1</v>
      </c>
      <c r="C803">
        <v>50.3</v>
      </c>
      <c r="D803">
        <v>55</v>
      </c>
      <c r="E803">
        <v>48.4</v>
      </c>
      <c r="F803">
        <v>57.8</v>
      </c>
      <c r="G803">
        <v>53.1</v>
      </c>
      <c r="H803" t="s">
        <v>19</v>
      </c>
      <c r="I803">
        <v>3</v>
      </c>
      <c r="J803" t="s">
        <v>38</v>
      </c>
      <c r="K803">
        <v>52.7</v>
      </c>
      <c r="L803">
        <v>126</v>
      </c>
      <c r="M803">
        <v>79.5</v>
      </c>
      <c r="N803">
        <v>6.4</v>
      </c>
      <c r="O803">
        <v>4.0999999999999996</v>
      </c>
      <c r="P803">
        <v>5</v>
      </c>
      <c r="Q803" t="s">
        <v>28</v>
      </c>
      <c r="R803" t="s">
        <v>33</v>
      </c>
    </row>
    <row r="804" spans="1:18" x14ac:dyDescent="0.25">
      <c r="A804" t="s">
        <v>832</v>
      </c>
      <c r="B804">
        <v>66.599999999999994</v>
      </c>
      <c r="C804">
        <v>71.400000000000006</v>
      </c>
      <c r="D804">
        <v>81.3</v>
      </c>
      <c r="E804">
        <v>71.7</v>
      </c>
      <c r="F804">
        <v>62.1</v>
      </c>
      <c r="G804">
        <v>66.900000000000006</v>
      </c>
      <c r="H804" t="s">
        <v>19</v>
      </c>
      <c r="I804">
        <v>1</v>
      </c>
      <c r="J804" t="s">
        <v>20</v>
      </c>
      <c r="K804">
        <v>71.7</v>
      </c>
      <c r="L804">
        <v>172</v>
      </c>
      <c r="M804">
        <v>60.2</v>
      </c>
      <c r="N804">
        <v>6.9</v>
      </c>
      <c r="O804">
        <v>3</v>
      </c>
      <c r="P804">
        <v>5</v>
      </c>
      <c r="Q804" t="s">
        <v>28</v>
      </c>
      <c r="R804" t="s">
        <v>26</v>
      </c>
    </row>
    <row r="805" spans="1:18" x14ac:dyDescent="0.25">
      <c r="A805" t="s">
        <v>833</v>
      </c>
      <c r="B805">
        <v>73.7</v>
      </c>
      <c r="C805">
        <v>79.5</v>
      </c>
      <c r="D805">
        <v>67.3</v>
      </c>
      <c r="E805">
        <v>73.400000000000006</v>
      </c>
      <c r="F805">
        <v>84.4</v>
      </c>
      <c r="G805">
        <v>78.900000000000006</v>
      </c>
      <c r="H805" t="s">
        <v>19</v>
      </c>
      <c r="I805">
        <v>5</v>
      </c>
      <c r="J805" t="s">
        <v>24</v>
      </c>
      <c r="K805">
        <v>74.599999999999994</v>
      </c>
      <c r="L805">
        <v>179</v>
      </c>
      <c r="M805">
        <v>106.8</v>
      </c>
      <c r="N805">
        <v>8</v>
      </c>
      <c r="O805">
        <v>2</v>
      </c>
      <c r="P805">
        <v>2</v>
      </c>
      <c r="Q805" t="s">
        <v>25</v>
      </c>
      <c r="R805" t="s">
        <v>33</v>
      </c>
    </row>
    <row r="806" spans="1:18" x14ac:dyDescent="0.25">
      <c r="A806" t="s">
        <v>834</v>
      </c>
      <c r="B806">
        <v>65.5</v>
      </c>
      <c r="C806">
        <v>68.8</v>
      </c>
      <c r="D806">
        <v>63.7</v>
      </c>
      <c r="E806">
        <v>63.3</v>
      </c>
      <c r="F806">
        <v>64.7</v>
      </c>
      <c r="G806">
        <v>64</v>
      </c>
      <c r="H806" t="s">
        <v>19</v>
      </c>
      <c r="I806">
        <v>2</v>
      </c>
      <c r="J806" t="s">
        <v>20</v>
      </c>
      <c r="K806">
        <v>70.400000000000006</v>
      </c>
      <c r="L806">
        <v>169</v>
      </c>
      <c r="M806">
        <v>68.2</v>
      </c>
      <c r="N806">
        <v>7.1</v>
      </c>
      <c r="O806">
        <v>5.8</v>
      </c>
      <c r="P806">
        <v>2</v>
      </c>
      <c r="Q806" t="s">
        <v>25</v>
      </c>
      <c r="R806" t="s">
        <v>33</v>
      </c>
    </row>
    <row r="807" spans="1:18" x14ac:dyDescent="0.25">
      <c r="A807" t="s">
        <v>835</v>
      </c>
      <c r="B807">
        <v>84</v>
      </c>
      <c r="C807">
        <v>77.400000000000006</v>
      </c>
      <c r="D807">
        <v>74</v>
      </c>
      <c r="E807">
        <v>80.5</v>
      </c>
      <c r="F807">
        <v>77.900000000000006</v>
      </c>
      <c r="G807">
        <v>79.2</v>
      </c>
      <c r="H807" t="s">
        <v>19</v>
      </c>
      <c r="I807">
        <v>3</v>
      </c>
      <c r="J807" t="s">
        <v>20</v>
      </c>
      <c r="K807">
        <v>79.3</v>
      </c>
      <c r="L807">
        <v>190</v>
      </c>
      <c r="M807">
        <v>73.5</v>
      </c>
      <c r="N807">
        <v>7.7</v>
      </c>
      <c r="O807">
        <v>3.6</v>
      </c>
      <c r="P807">
        <v>3</v>
      </c>
      <c r="Q807" t="s">
        <v>25</v>
      </c>
      <c r="R807" t="s">
        <v>33</v>
      </c>
    </row>
    <row r="808" spans="1:18" x14ac:dyDescent="0.25">
      <c r="A808" t="s">
        <v>836</v>
      </c>
      <c r="B808">
        <v>92.3</v>
      </c>
      <c r="C808">
        <v>84.8</v>
      </c>
      <c r="D808">
        <v>87.9</v>
      </c>
      <c r="E808">
        <v>91.4</v>
      </c>
      <c r="F808">
        <v>89</v>
      </c>
      <c r="G808">
        <v>90.2</v>
      </c>
      <c r="H808" t="s">
        <v>19</v>
      </c>
      <c r="I808">
        <v>2</v>
      </c>
      <c r="J808" t="s">
        <v>20</v>
      </c>
      <c r="K808">
        <v>91.3</v>
      </c>
      <c r="L808">
        <v>219</v>
      </c>
      <c r="M808">
        <v>68.7</v>
      </c>
      <c r="N808">
        <v>7</v>
      </c>
      <c r="O808">
        <v>4.7</v>
      </c>
      <c r="P808">
        <v>1</v>
      </c>
      <c r="Q808" t="s">
        <v>25</v>
      </c>
      <c r="R808" t="s">
        <v>22</v>
      </c>
    </row>
    <row r="809" spans="1:18" x14ac:dyDescent="0.25">
      <c r="A809" t="s">
        <v>837</v>
      </c>
      <c r="B809">
        <v>89.1</v>
      </c>
      <c r="C809">
        <v>89.9</v>
      </c>
      <c r="D809">
        <v>86.3</v>
      </c>
      <c r="E809">
        <v>90.9</v>
      </c>
      <c r="F809">
        <v>98.9</v>
      </c>
      <c r="G809">
        <v>94.9</v>
      </c>
      <c r="H809" t="s">
        <v>19</v>
      </c>
      <c r="I809">
        <v>4</v>
      </c>
      <c r="J809" t="s">
        <v>38</v>
      </c>
      <c r="K809">
        <v>91.8</v>
      </c>
      <c r="L809">
        <v>220</v>
      </c>
      <c r="M809">
        <v>87</v>
      </c>
      <c r="N809">
        <v>7</v>
      </c>
      <c r="O809">
        <v>3.1</v>
      </c>
      <c r="P809">
        <v>4</v>
      </c>
      <c r="Q809" t="s">
        <v>28</v>
      </c>
      <c r="R809" t="s">
        <v>26</v>
      </c>
    </row>
    <row r="810" spans="1:18" x14ac:dyDescent="0.25">
      <c r="A810" t="s">
        <v>838</v>
      </c>
      <c r="B810">
        <v>60.7</v>
      </c>
      <c r="C810">
        <v>60.8</v>
      </c>
      <c r="D810">
        <v>71</v>
      </c>
      <c r="E810">
        <v>64.8</v>
      </c>
      <c r="F810">
        <v>61.1</v>
      </c>
      <c r="G810">
        <v>62.95</v>
      </c>
      <c r="H810" t="s">
        <v>19</v>
      </c>
      <c r="I810">
        <v>4</v>
      </c>
      <c r="J810" t="s">
        <v>38</v>
      </c>
      <c r="K810">
        <v>71.5</v>
      </c>
      <c r="L810">
        <v>172</v>
      </c>
      <c r="M810">
        <v>88.6</v>
      </c>
      <c r="N810">
        <v>5.5</v>
      </c>
      <c r="O810">
        <v>2.8</v>
      </c>
      <c r="P810">
        <v>5</v>
      </c>
      <c r="Q810" t="s">
        <v>28</v>
      </c>
      <c r="R810" t="s">
        <v>22</v>
      </c>
    </row>
    <row r="811" spans="1:18" x14ac:dyDescent="0.25">
      <c r="A811" t="s">
        <v>839</v>
      </c>
      <c r="B811">
        <v>46.7</v>
      </c>
      <c r="C811">
        <v>45.9</v>
      </c>
      <c r="D811">
        <v>44.2</v>
      </c>
      <c r="E811">
        <v>46.2</v>
      </c>
      <c r="F811">
        <v>59.4</v>
      </c>
      <c r="G811">
        <v>52.8</v>
      </c>
      <c r="H811" t="s">
        <v>19</v>
      </c>
      <c r="I811">
        <v>4</v>
      </c>
      <c r="J811" t="s">
        <v>38</v>
      </c>
      <c r="K811">
        <v>68.599999999999994</v>
      </c>
      <c r="L811">
        <v>165</v>
      </c>
      <c r="M811">
        <v>92.3</v>
      </c>
      <c r="N811">
        <v>7.2</v>
      </c>
      <c r="O811">
        <v>3</v>
      </c>
      <c r="P811">
        <v>5</v>
      </c>
      <c r="Q811" t="s">
        <v>28</v>
      </c>
      <c r="R811" t="s">
        <v>33</v>
      </c>
    </row>
    <row r="812" spans="1:18" x14ac:dyDescent="0.25">
      <c r="A812" t="s">
        <v>840</v>
      </c>
      <c r="B812">
        <v>88.8</v>
      </c>
      <c r="C812">
        <v>100.4</v>
      </c>
      <c r="D812">
        <v>99.5</v>
      </c>
      <c r="E812">
        <v>94.2</v>
      </c>
      <c r="F812">
        <v>99.9</v>
      </c>
      <c r="G812">
        <v>97.05</v>
      </c>
      <c r="H812" t="s">
        <v>19</v>
      </c>
      <c r="I812">
        <v>2</v>
      </c>
      <c r="J812" t="s">
        <v>20</v>
      </c>
      <c r="K812">
        <v>88.9</v>
      </c>
      <c r="L812">
        <v>213</v>
      </c>
      <c r="M812">
        <v>83.6</v>
      </c>
      <c r="N812">
        <v>7.1</v>
      </c>
      <c r="O812">
        <v>3</v>
      </c>
      <c r="P812">
        <v>4</v>
      </c>
      <c r="Q812" t="s">
        <v>28</v>
      </c>
      <c r="R812" t="s">
        <v>26</v>
      </c>
    </row>
    <row r="813" spans="1:18" x14ac:dyDescent="0.25">
      <c r="A813" t="s">
        <v>841</v>
      </c>
      <c r="B813">
        <v>71.5</v>
      </c>
      <c r="C813">
        <v>83.9</v>
      </c>
      <c r="D813">
        <v>89.2</v>
      </c>
      <c r="E813">
        <v>86.1</v>
      </c>
      <c r="F813">
        <v>86.3</v>
      </c>
      <c r="G813">
        <v>86.2</v>
      </c>
      <c r="H813" t="s">
        <v>19</v>
      </c>
      <c r="I813">
        <v>2</v>
      </c>
      <c r="J813" t="s">
        <v>20</v>
      </c>
      <c r="K813">
        <v>83.4</v>
      </c>
      <c r="L813">
        <v>200</v>
      </c>
      <c r="M813">
        <v>61.4</v>
      </c>
      <c r="N813">
        <v>7</v>
      </c>
      <c r="O813">
        <v>3.7</v>
      </c>
      <c r="P813">
        <v>2</v>
      </c>
      <c r="Q813" t="s">
        <v>25</v>
      </c>
      <c r="R813" t="s">
        <v>22</v>
      </c>
    </row>
    <row r="814" spans="1:18" x14ac:dyDescent="0.25">
      <c r="A814" t="s">
        <v>842</v>
      </c>
      <c r="B814">
        <v>49</v>
      </c>
      <c r="C814">
        <v>46.6</v>
      </c>
      <c r="D814">
        <v>58.4</v>
      </c>
      <c r="E814">
        <v>46.9</v>
      </c>
      <c r="F814">
        <v>49.3</v>
      </c>
      <c r="G814">
        <v>48.1</v>
      </c>
      <c r="H814" t="s">
        <v>32</v>
      </c>
      <c r="I814">
        <v>2</v>
      </c>
      <c r="J814" t="s">
        <v>20</v>
      </c>
      <c r="K814">
        <v>68</v>
      </c>
      <c r="L814">
        <v>163</v>
      </c>
      <c r="M814">
        <v>68.099999999999994</v>
      </c>
      <c r="N814">
        <v>6.9</v>
      </c>
      <c r="O814">
        <v>3.7</v>
      </c>
      <c r="P814">
        <v>1</v>
      </c>
      <c r="Q814" t="s">
        <v>25</v>
      </c>
      <c r="R814" t="s">
        <v>33</v>
      </c>
    </row>
    <row r="815" spans="1:18" x14ac:dyDescent="0.25">
      <c r="A815" t="s">
        <v>843</v>
      </c>
      <c r="B815">
        <v>95.2</v>
      </c>
      <c r="C815">
        <v>90.9</v>
      </c>
      <c r="D815">
        <v>83.2</v>
      </c>
      <c r="E815">
        <v>90.6</v>
      </c>
      <c r="F815">
        <v>83.4</v>
      </c>
      <c r="G815">
        <v>87</v>
      </c>
      <c r="H815" t="s">
        <v>19</v>
      </c>
      <c r="I815">
        <v>4</v>
      </c>
      <c r="J815" t="s">
        <v>38</v>
      </c>
      <c r="K815">
        <v>85.7</v>
      </c>
      <c r="L815">
        <v>206</v>
      </c>
      <c r="M815">
        <v>83.4</v>
      </c>
      <c r="N815">
        <v>6.3</v>
      </c>
      <c r="O815">
        <v>3.5</v>
      </c>
      <c r="P815">
        <v>4</v>
      </c>
      <c r="Q815" t="s">
        <v>28</v>
      </c>
      <c r="R815" t="s">
        <v>22</v>
      </c>
    </row>
    <row r="816" spans="1:18" x14ac:dyDescent="0.25">
      <c r="A816" t="s">
        <v>844</v>
      </c>
      <c r="B816">
        <v>76</v>
      </c>
      <c r="C816">
        <v>92.1</v>
      </c>
      <c r="D816">
        <v>94.1</v>
      </c>
      <c r="E816">
        <v>87.8</v>
      </c>
      <c r="F816">
        <v>78.099999999999994</v>
      </c>
      <c r="G816">
        <v>82.95</v>
      </c>
      <c r="H816" t="s">
        <v>19</v>
      </c>
      <c r="I816">
        <v>1</v>
      </c>
      <c r="J816" t="s">
        <v>20</v>
      </c>
      <c r="K816">
        <v>94.2</v>
      </c>
      <c r="L816">
        <v>226</v>
      </c>
      <c r="M816">
        <v>58.7</v>
      </c>
      <c r="N816">
        <v>7.8</v>
      </c>
      <c r="O816">
        <v>1.7</v>
      </c>
      <c r="P816">
        <v>5</v>
      </c>
      <c r="Q816" t="s">
        <v>28</v>
      </c>
      <c r="R816" t="s">
        <v>22</v>
      </c>
    </row>
    <row r="817" spans="1:18" x14ac:dyDescent="0.25">
      <c r="A817" t="s">
        <v>845</v>
      </c>
      <c r="B817">
        <v>63.5</v>
      </c>
      <c r="C817">
        <v>57.3</v>
      </c>
      <c r="D817">
        <v>74.3</v>
      </c>
      <c r="E817">
        <v>68.5</v>
      </c>
      <c r="F817">
        <v>71.2</v>
      </c>
      <c r="G817">
        <v>69.849999999999994</v>
      </c>
      <c r="H817" t="s">
        <v>19</v>
      </c>
      <c r="I817">
        <v>3</v>
      </c>
      <c r="J817" t="s">
        <v>38</v>
      </c>
      <c r="K817">
        <v>67.099999999999994</v>
      </c>
      <c r="L817">
        <v>161</v>
      </c>
      <c r="M817">
        <v>80.8</v>
      </c>
      <c r="N817">
        <v>7.3</v>
      </c>
      <c r="O817">
        <v>3.5</v>
      </c>
      <c r="P817">
        <v>4</v>
      </c>
      <c r="Q817" t="s">
        <v>28</v>
      </c>
      <c r="R817" t="s">
        <v>26</v>
      </c>
    </row>
    <row r="818" spans="1:18" x14ac:dyDescent="0.25">
      <c r="A818" t="s">
        <v>846</v>
      </c>
      <c r="B818">
        <v>75.599999999999994</v>
      </c>
      <c r="C818">
        <v>69.5</v>
      </c>
      <c r="D818">
        <v>67.7</v>
      </c>
      <c r="E818">
        <v>72.5</v>
      </c>
      <c r="F818">
        <v>93.3</v>
      </c>
      <c r="G818">
        <v>82.9</v>
      </c>
      <c r="H818" t="s">
        <v>19</v>
      </c>
      <c r="I818">
        <v>5</v>
      </c>
      <c r="J818" t="s">
        <v>24</v>
      </c>
      <c r="K818">
        <v>73.7</v>
      </c>
      <c r="L818">
        <v>177</v>
      </c>
      <c r="M818">
        <v>90.2</v>
      </c>
      <c r="N818">
        <v>7.8</v>
      </c>
      <c r="O818">
        <v>1.8</v>
      </c>
      <c r="P818">
        <v>1</v>
      </c>
      <c r="Q818" t="s">
        <v>25</v>
      </c>
      <c r="R818" t="s">
        <v>26</v>
      </c>
    </row>
    <row r="819" spans="1:18" x14ac:dyDescent="0.25">
      <c r="A819" t="s">
        <v>847</v>
      </c>
      <c r="B819">
        <v>72.2</v>
      </c>
      <c r="C819">
        <v>63</v>
      </c>
      <c r="D819">
        <v>67</v>
      </c>
      <c r="E819">
        <v>61.9</v>
      </c>
      <c r="F819">
        <v>71.599999999999994</v>
      </c>
      <c r="G819">
        <v>66.75</v>
      </c>
      <c r="H819" t="s">
        <v>19</v>
      </c>
      <c r="I819">
        <v>5</v>
      </c>
      <c r="J819" t="s">
        <v>24</v>
      </c>
      <c r="K819">
        <v>70.3</v>
      </c>
      <c r="L819">
        <v>169</v>
      </c>
      <c r="M819">
        <v>104.1</v>
      </c>
      <c r="N819">
        <v>8</v>
      </c>
      <c r="O819">
        <v>1.6</v>
      </c>
      <c r="P819">
        <v>7</v>
      </c>
      <c r="Q819" t="s">
        <v>21</v>
      </c>
      <c r="R819" t="s">
        <v>22</v>
      </c>
    </row>
    <row r="820" spans="1:18" x14ac:dyDescent="0.25">
      <c r="A820" t="s">
        <v>848</v>
      </c>
      <c r="B820">
        <v>43.1</v>
      </c>
      <c r="C820">
        <v>49</v>
      </c>
      <c r="D820">
        <v>44.7</v>
      </c>
      <c r="E820">
        <v>43</v>
      </c>
      <c r="F820">
        <v>55.3</v>
      </c>
      <c r="G820">
        <v>49.15</v>
      </c>
      <c r="H820" t="s">
        <v>32</v>
      </c>
      <c r="I820">
        <v>3</v>
      </c>
      <c r="J820" t="s">
        <v>20</v>
      </c>
      <c r="K820">
        <v>63.7</v>
      </c>
      <c r="L820">
        <v>153</v>
      </c>
      <c r="M820">
        <v>82.2</v>
      </c>
      <c r="N820">
        <v>6.6</v>
      </c>
      <c r="O820">
        <v>5.7</v>
      </c>
      <c r="P820">
        <v>2</v>
      </c>
      <c r="Q820" t="s">
        <v>25</v>
      </c>
      <c r="R820" t="s">
        <v>26</v>
      </c>
    </row>
    <row r="821" spans="1:18" x14ac:dyDescent="0.25">
      <c r="A821" t="s">
        <v>849</v>
      </c>
      <c r="B821">
        <v>54.8</v>
      </c>
      <c r="C821">
        <v>56</v>
      </c>
      <c r="D821">
        <v>57.3</v>
      </c>
      <c r="E821">
        <v>58.4</v>
      </c>
      <c r="F821">
        <v>60.1</v>
      </c>
      <c r="G821">
        <v>59.25</v>
      </c>
      <c r="H821" t="s">
        <v>19</v>
      </c>
      <c r="I821">
        <v>3</v>
      </c>
      <c r="J821" t="s">
        <v>20</v>
      </c>
      <c r="K821">
        <v>75.599999999999994</v>
      </c>
      <c r="L821">
        <v>181</v>
      </c>
      <c r="M821">
        <v>78.5</v>
      </c>
      <c r="N821">
        <v>6.6</v>
      </c>
      <c r="O821">
        <v>4</v>
      </c>
      <c r="P821">
        <v>4</v>
      </c>
      <c r="Q821" t="s">
        <v>28</v>
      </c>
      <c r="R821" t="s">
        <v>26</v>
      </c>
    </row>
    <row r="822" spans="1:18" x14ac:dyDescent="0.25">
      <c r="A822" t="s">
        <v>850</v>
      </c>
      <c r="B822">
        <v>83.2</v>
      </c>
      <c r="C822">
        <v>74.8</v>
      </c>
      <c r="D822">
        <v>80</v>
      </c>
      <c r="E822">
        <v>84.2</v>
      </c>
      <c r="F822">
        <v>63.8</v>
      </c>
      <c r="G822">
        <v>74</v>
      </c>
      <c r="H822" t="s">
        <v>19</v>
      </c>
      <c r="I822">
        <v>1</v>
      </c>
      <c r="J822" t="s">
        <v>20</v>
      </c>
      <c r="K822">
        <v>82</v>
      </c>
      <c r="L822">
        <v>197</v>
      </c>
      <c r="M822">
        <v>69.8</v>
      </c>
      <c r="N822">
        <v>6.7</v>
      </c>
      <c r="O822">
        <v>4.3</v>
      </c>
      <c r="P822">
        <v>7</v>
      </c>
      <c r="Q822" t="s">
        <v>21</v>
      </c>
      <c r="R822" t="s">
        <v>22</v>
      </c>
    </row>
    <row r="823" spans="1:18" x14ac:dyDescent="0.25">
      <c r="A823" t="s">
        <v>851</v>
      </c>
      <c r="B823">
        <v>47.1</v>
      </c>
      <c r="C823">
        <v>43.4</v>
      </c>
      <c r="D823">
        <v>36.700000000000003</v>
      </c>
      <c r="E823">
        <v>40.299999999999997</v>
      </c>
      <c r="F823">
        <v>60.9</v>
      </c>
      <c r="G823">
        <v>50.6</v>
      </c>
      <c r="H823" t="s">
        <v>19</v>
      </c>
      <c r="I823">
        <v>4</v>
      </c>
      <c r="J823" t="s">
        <v>38</v>
      </c>
      <c r="K823">
        <v>53</v>
      </c>
      <c r="L823">
        <v>127</v>
      </c>
      <c r="M823">
        <v>79.3</v>
      </c>
      <c r="N823">
        <v>7.1</v>
      </c>
      <c r="O823">
        <v>3</v>
      </c>
      <c r="P823">
        <v>1</v>
      </c>
      <c r="Q823" t="s">
        <v>25</v>
      </c>
      <c r="R823" t="s">
        <v>26</v>
      </c>
    </row>
    <row r="824" spans="1:18" x14ac:dyDescent="0.25">
      <c r="A824" t="s">
        <v>852</v>
      </c>
      <c r="B824">
        <v>55.1</v>
      </c>
      <c r="C824">
        <v>55.2</v>
      </c>
      <c r="D824">
        <v>68.599999999999994</v>
      </c>
      <c r="E824">
        <v>58.3</v>
      </c>
      <c r="F824">
        <v>62.7</v>
      </c>
      <c r="G824">
        <v>60.5</v>
      </c>
      <c r="H824" t="s">
        <v>19</v>
      </c>
      <c r="I824">
        <v>4</v>
      </c>
      <c r="J824" t="s">
        <v>24</v>
      </c>
      <c r="K824">
        <v>73.400000000000006</v>
      </c>
      <c r="L824">
        <v>176</v>
      </c>
      <c r="M824">
        <v>86.2</v>
      </c>
      <c r="N824">
        <v>6.4</v>
      </c>
      <c r="O824">
        <v>5.5</v>
      </c>
      <c r="P824">
        <v>2</v>
      </c>
      <c r="Q824" t="s">
        <v>25</v>
      </c>
      <c r="R824" t="s">
        <v>26</v>
      </c>
    </row>
    <row r="825" spans="1:18" x14ac:dyDescent="0.25">
      <c r="A825" t="s">
        <v>853</v>
      </c>
      <c r="B825">
        <v>57.9</v>
      </c>
      <c r="C825">
        <v>56</v>
      </c>
      <c r="D825">
        <v>61.9</v>
      </c>
      <c r="E825">
        <v>61.9</v>
      </c>
      <c r="F825">
        <v>63.2</v>
      </c>
      <c r="G825">
        <v>62.55</v>
      </c>
      <c r="H825" t="s">
        <v>19</v>
      </c>
      <c r="I825">
        <v>2</v>
      </c>
      <c r="J825" t="s">
        <v>20</v>
      </c>
      <c r="K825">
        <v>74.7</v>
      </c>
      <c r="L825">
        <v>179</v>
      </c>
      <c r="M825">
        <v>58.9</v>
      </c>
      <c r="N825">
        <v>7.2</v>
      </c>
      <c r="O825">
        <v>4.2</v>
      </c>
      <c r="P825">
        <v>4</v>
      </c>
      <c r="Q825" t="s">
        <v>28</v>
      </c>
      <c r="R825" t="s">
        <v>33</v>
      </c>
    </row>
    <row r="826" spans="1:18" x14ac:dyDescent="0.25">
      <c r="A826" t="s">
        <v>854</v>
      </c>
      <c r="B826">
        <v>67.099999999999994</v>
      </c>
      <c r="C826">
        <v>66.400000000000006</v>
      </c>
      <c r="D826">
        <v>73.5</v>
      </c>
      <c r="E826">
        <v>69.599999999999994</v>
      </c>
      <c r="F826">
        <v>67.099999999999994</v>
      </c>
      <c r="G826">
        <v>68.349999999999994</v>
      </c>
      <c r="H826" t="s">
        <v>19</v>
      </c>
      <c r="I826">
        <v>3</v>
      </c>
      <c r="J826" t="s">
        <v>20</v>
      </c>
      <c r="K826">
        <v>65.099999999999994</v>
      </c>
      <c r="L826">
        <v>156</v>
      </c>
      <c r="M826">
        <v>73.400000000000006</v>
      </c>
      <c r="N826">
        <v>6.9</v>
      </c>
      <c r="O826">
        <v>4.8</v>
      </c>
      <c r="P826">
        <v>5</v>
      </c>
      <c r="Q826" t="s">
        <v>28</v>
      </c>
      <c r="R826" t="s">
        <v>26</v>
      </c>
    </row>
    <row r="827" spans="1:18" x14ac:dyDescent="0.25">
      <c r="A827" t="s">
        <v>855</v>
      </c>
      <c r="B827">
        <v>85.8</v>
      </c>
      <c r="C827">
        <v>89.7</v>
      </c>
      <c r="D827">
        <v>86.6</v>
      </c>
      <c r="E827">
        <v>90.6</v>
      </c>
      <c r="F827">
        <v>91.4</v>
      </c>
      <c r="G827">
        <v>91</v>
      </c>
      <c r="H827" t="s">
        <v>19</v>
      </c>
      <c r="I827">
        <v>4</v>
      </c>
      <c r="J827" t="s">
        <v>24</v>
      </c>
      <c r="K827">
        <v>85.3</v>
      </c>
      <c r="L827">
        <v>205</v>
      </c>
      <c r="M827">
        <v>94.4</v>
      </c>
      <c r="N827">
        <v>8.1999999999999993</v>
      </c>
      <c r="O827">
        <v>2.8</v>
      </c>
      <c r="P827">
        <v>5</v>
      </c>
      <c r="Q827" t="s">
        <v>28</v>
      </c>
      <c r="R827" t="s">
        <v>33</v>
      </c>
    </row>
    <row r="828" spans="1:18" x14ac:dyDescent="0.25">
      <c r="A828" t="s">
        <v>856</v>
      </c>
      <c r="B828">
        <v>59.7</v>
      </c>
      <c r="C828">
        <v>56</v>
      </c>
      <c r="D828">
        <v>55.1</v>
      </c>
      <c r="E828">
        <v>59</v>
      </c>
      <c r="F828">
        <v>66.3</v>
      </c>
      <c r="G828">
        <v>62.65</v>
      </c>
      <c r="H828" t="s">
        <v>19</v>
      </c>
      <c r="I828">
        <v>5</v>
      </c>
      <c r="J828" t="s">
        <v>24</v>
      </c>
      <c r="K828">
        <v>61.6</v>
      </c>
      <c r="L828">
        <v>148</v>
      </c>
      <c r="M828">
        <v>95.6</v>
      </c>
      <c r="N828">
        <v>7.4</v>
      </c>
      <c r="O828">
        <v>5.8</v>
      </c>
      <c r="P828">
        <v>1</v>
      </c>
      <c r="Q828" t="s">
        <v>25</v>
      </c>
      <c r="R828" t="s">
        <v>22</v>
      </c>
    </row>
    <row r="829" spans="1:18" x14ac:dyDescent="0.25">
      <c r="A829" t="s">
        <v>857</v>
      </c>
      <c r="B829">
        <v>67.2</v>
      </c>
      <c r="C829">
        <v>48.1</v>
      </c>
      <c r="D829">
        <v>64.5</v>
      </c>
      <c r="E829">
        <v>59.1</v>
      </c>
      <c r="F829">
        <v>63.4</v>
      </c>
      <c r="G829">
        <v>61.25</v>
      </c>
      <c r="H829" t="s">
        <v>19</v>
      </c>
      <c r="I829">
        <v>2</v>
      </c>
      <c r="J829" t="s">
        <v>20</v>
      </c>
      <c r="K829">
        <v>66.2</v>
      </c>
      <c r="L829">
        <v>159</v>
      </c>
      <c r="M829">
        <v>70.5</v>
      </c>
      <c r="N829">
        <v>6.5</v>
      </c>
      <c r="O829">
        <v>5.0999999999999996</v>
      </c>
      <c r="P829">
        <v>1</v>
      </c>
      <c r="Q829" t="s">
        <v>25</v>
      </c>
      <c r="R829" t="s">
        <v>33</v>
      </c>
    </row>
    <row r="830" spans="1:18" x14ac:dyDescent="0.25">
      <c r="A830" t="s">
        <v>858</v>
      </c>
      <c r="B830">
        <v>82.2</v>
      </c>
      <c r="C830">
        <v>85</v>
      </c>
      <c r="D830">
        <v>73.8</v>
      </c>
      <c r="E830">
        <v>80.599999999999994</v>
      </c>
      <c r="F830">
        <v>85.2</v>
      </c>
      <c r="G830">
        <v>82.9</v>
      </c>
      <c r="H830" t="s">
        <v>19</v>
      </c>
      <c r="I830">
        <v>3</v>
      </c>
      <c r="J830" t="s">
        <v>38</v>
      </c>
      <c r="K830">
        <v>75.8</v>
      </c>
      <c r="L830">
        <v>182</v>
      </c>
      <c r="M830">
        <v>75</v>
      </c>
      <c r="N830">
        <v>4.5</v>
      </c>
      <c r="O830">
        <v>5.3</v>
      </c>
      <c r="P830">
        <v>1</v>
      </c>
      <c r="Q830" t="s">
        <v>25</v>
      </c>
      <c r="R830" t="s">
        <v>22</v>
      </c>
    </row>
    <row r="831" spans="1:18" x14ac:dyDescent="0.25">
      <c r="A831" t="s">
        <v>859</v>
      </c>
      <c r="B831">
        <v>63.6</v>
      </c>
      <c r="C831">
        <v>71.2</v>
      </c>
      <c r="D831">
        <v>62.8</v>
      </c>
      <c r="E831">
        <v>64.900000000000006</v>
      </c>
      <c r="F831">
        <v>63.1</v>
      </c>
      <c r="G831">
        <v>64</v>
      </c>
      <c r="H831" t="s">
        <v>19</v>
      </c>
      <c r="I831">
        <v>2</v>
      </c>
      <c r="J831" t="s">
        <v>20</v>
      </c>
      <c r="K831">
        <v>76.5</v>
      </c>
      <c r="L831">
        <v>184</v>
      </c>
      <c r="M831">
        <v>71.7</v>
      </c>
      <c r="N831">
        <v>8.1</v>
      </c>
      <c r="O831">
        <v>1.9</v>
      </c>
      <c r="P831">
        <v>5</v>
      </c>
      <c r="Q831" t="s">
        <v>28</v>
      </c>
      <c r="R831" t="s">
        <v>26</v>
      </c>
    </row>
    <row r="832" spans="1:18" x14ac:dyDescent="0.25">
      <c r="A832" t="s">
        <v>860</v>
      </c>
      <c r="B832">
        <v>50.9</v>
      </c>
      <c r="C832">
        <v>55.6</v>
      </c>
      <c r="D832">
        <v>52.5</v>
      </c>
      <c r="E832">
        <v>52.4</v>
      </c>
      <c r="F832">
        <v>51</v>
      </c>
      <c r="G832">
        <v>51.7</v>
      </c>
      <c r="H832" t="s">
        <v>19</v>
      </c>
      <c r="I832">
        <v>1</v>
      </c>
      <c r="J832" t="s">
        <v>20</v>
      </c>
      <c r="K832">
        <v>66.8</v>
      </c>
      <c r="L832">
        <v>160</v>
      </c>
      <c r="M832">
        <v>65.3</v>
      </c>
      <c r="N832">
        <v>7</v>
      </c>
      <c r="O832">
        <v>2.4</v>
      </c>
      <c r="P832">
        <v>7</v>
      </c>
      <c r="Q832" t="s">
        <v>21</v>
      </c>
      <c r="R832" t="s">
        <v>26</v>
      </c>
    </row>
    <row r="833" spans="1:18" x14ac:dyDescent="0.25">
      <c r="A833" t="s">
        <v>861</v>
      </c>
      <c r="B833">
        <v>57.1</v>
      </c>
      <c r="C833">
        <v>59.2</v>
      </c>
      <c r="D833">
        <v>65.400000000000006</v>
      </c>
      <c r="E833">
        <v>64.900000000000006</v>
      </c>
      <c r="F833">
        <v>62.4</v>
      </c>
      <c r="G833">
        <v>63.65</v>
      </c>
      <c r="H833" t="s">
        <v>19</v>
      </c>
      <c r="I833">
        <v>5</v>
      </c>
      <c r="J833" t="s">
        <v>24</v>
      </c>
      <c r="K833">
        <v>66</v>
      </c>
      <c r="L833">
        <v>158</v>
      </c>
      <c r="M833">
        <v>100.1</v>
      </c>
      <c r="N833">
        <v>6.9</v>
      </c>
      <c r="O833">
        <v>2.4</v>
      </c>
      <c r="P833">
        <v>7</v>
      </c>
      <c r="Q833" t="s">
        <v>21</v>
      </c>
      <c r="R833" t="s">
        <v>33</v>
      </c>
    </row>
    <row r="834" spans="1:18" x14ac:dyDescent="0.25">
      <c r="A834" t="s">
        <v>862</v>
      </c>
      <c r="B834">
        <v>52.2</v>
      </c>
      <c r="C834">
        <v>46.7</v>
      </c>
      <c r="D834">
        <v>46.9</v>
      </c>
      <c r="E834">
        <v>47.7</v>
      </c>
      <c r="F834">
        <v>59</v>
      </c>
      <c r="G834">
        <v>53.35</v>
      </c>
      <c r="H834" t="s">
        <v>19</v>
      </c>
      <c r="I834">
        <v>4</v>
      </c>
      <c r="J834" t="s">
        <v>24</v>
      </c>
      <c r="K834">
        <v>68.3</v>
      </c>
      <c r="L834">
        <v>164</v>
      </c>
      <c r="M834">
        <v>83.4</v>
      </c>
      <c r="N834">
        <v>7.1</v>
      </c>
      <c r="O834">
        <v>2.4</v>
      </c>
      <c r="P834">
        <v>4</v>
      </c>
      <c r="Q834" t="s">
        <v>28</v>
      </c>
      <c r="R834" t="s">
        <v>22</v>
      </c>
    </row>
    <row r="835" spans="1:18" x14ac:dyDescent="0.25">
      <c r="A835" t="s">
        <v>863</v>
      </c>
      <c r="B835">
        <v>49.3</v>
      </c>
      <c r="C835">
        <v>49.7</v>
      </c>
      <c r="D835">
        <v>51.7</v>
      </c>
      <c r="E835">
        <v>49.7</v>
      </c>
      <c r="F835">
        <v>70.900000000000006</v>
      </c>
      <c r="G835">
        <v>60.3</v>
      </c>
      <c r="H835" t="s">
        <v>19</v>
      </c>
      <c r="I835">
        <v>4</v>
      </c>
      <c r="J835" t="s">
        <v>38</v>
      </c>
      <c r="K835">
        <v>57.7</v>
      </c>
      <c r="L835">
        <v>138</v>
      </c>
      <c r="M835">
        <v>92</v>
      </c>
      <c r="N835">
        <v>6.2</v>
      </c>
      <c r="O835">
        <v>5.3</v>
      </c>
      <c r="P835">
        <v>1</v>
      </c>
      <c r="Q835" t="s">
        <v>25</v>
      </c>
      <c r="R835" t="s">
        <v>26</v>
      </c>
    </row>
    <row r="836" spans="1:18" x14ac:dyDescent="0.25">
      <c r="A836" t="s">
        <v>864</v>
      </c>
      <c r="B836">
        <v>66.5</v>
      </c>
      <c r="C836">
        <v>70.400000000000006</v>
      </c>
      <c r="D836">
        <v>70.900000000000006</v>
      </c>
      <c r="E836">
        <v>67.400000000000006</v>
      </c>
      <c r="F836">
        <v>64.7</v>
      </c>
      <c r="G836">
        <v>66.05</v>
      </c>
      <c r="H836" t="s">
        <v>19</v>
      </c>
      <c r="I836">
        <v>1</v>
      </c>
      <c r="J836" t="s">
        <v>20</v>
      </c>
      <c r="K836">
        <v>75.400000000000006</v>
      </c>
      <c r="L836">
        <v>181</v>
      </c>
      <c r="M836">
        <v>56</v>
      </c>
      <c r="N836">
        <v>8</v>
      </c>
      <c r="O836">
        <v>1.2</v>
      </c>
      <c r="P836">
        <v>1</v>
      </c>
      <c r="Q836" t="s">
        <v>25</v>
      </c>
      <c r="R836" t="s">
        <v>33</v>
      </c>
    </row>
    <row r="837" spans="1:18" x14ac:dyDescent="0.25">
      <c r="A837" t="s">
        <v>865</v>
      </c>
      <c r="B837">
        <v>79</v>
      </c>
      <c r="C837">
        <v>66.400000000000006</v>
      </c>
      <c r="D837">
        <v>66.7</v>
      </c>
      <c r="E837">
        <v>63</v>
      </c>
      <c r="F837">
        <v>72.2</v>
      </c>
      <c r="G837">
        <v>67.599999999999994</v>
      </c>
      <c r="H837" t="s">
        <v>19</v>
      </c>
      <c r="I837">
        <v>4</v>
      </c>
      <c r="J837" t="s">
        <v>24</v>
      </c>
      <c r="K837">
        <v>67.5</v>
      </c>
      <c r="L837">
        <v>162</v>
      </c>
      <c r="M837">
        <v>91.8</v>
      </c>
      <c r="N837">
        <v>6.8</v>
      </c>
      <c r="O837">
        <v>1.4</v>
      </c>
      <c r="P837">
        <v>4</v>
      </c>
      <c r="Q837" t="s">
        <v>28</v>
      </c>
      <c r="R837" t="s">
        <v>33</v>
      </c>
    </row>
    <row r="838" spans="1:18" x14ac:dyDescent="0.25">
      <c r="A838" t="s">
        <v>866</v>
      </c>
      <c r="B838">
        <v>91.8</v>
      </c>
      <c r="C838">
        <v>86.6</v>
      </c>
      <c r="D838">
        <v>85.4</v>
      </c>
      <c r="E838">
        <v>90.3</v>
      </c>
      <c r="F838">
        <v>93.4</v>
      </c>
      <c r="G838">
        <v>91.85</v>
      </c>
      <c r="H838" t="s">
        <v>19</v>
      </c>
      <c r="I838">
        <v>3</v>
      </c>
      <c r="J838" t="s">
        <v>20</v>
      </c>
      <c r="K838">
        <v>83.3</v>
      </c>
      <c r="L838">
        <v>200</v>
      </c>
      <c r="M838">
        <v>80.2</v>
      </c>
      <c r="N838">
        <v>6.8</v>
      </c>
      <c r="O838">
        <v>2.4</v>
      </c>
      <c r="P838">
        <v>1</v>
      </c>
      <c r="Q838" t="s">
        <v>25</v>
      </c>
      <c r="R838" t="s">
        <v>33</v>
      </c>
    </row>
    <row r="839" spans="1:18" x14ac:dyDescent="0.25">
      <c r="A839" t="s">
        <v>867</v>
      </c>
      <c r="B839">
        <v>56.2</v>
      </c>
      <c r="C839">
        <v>60.3</v>
      </c>
      <c r="D839">
        <v>58.5</v>
      </c>
      <c r="E839">
        <v>59.9</v>
      </c>
      <c r="F839">
        <v>73.099999999999994</v>
      </c>
      <c r="G839">
        <v>66.5</v>
      </c>
      <c r="H839" t="s">
        <v>19</v>
      </c>
      <c r="I839">
        <v>2</v>
      </c>
      <c r="J839" t="s">
        <v>20</v>
      </c>
      <c r="K839">
        <v>72.5</v>
      </c>
      <c r="L839">
        <v>174</v>
      </c>
      <c r="M839">
        <v>74.2</v>
      </c>
      <c r="N839">
        <v>7.6</v>
      </c>
      <c r="O839">
        <v>2</v>
      </c>
      <c r="P839">
        <v>1</v>
      </c>
      <c r="Q839" t="s">
        <v>25</v>
      </c>
      <c r="R839" t="s">
        <v>26</v>
      </c>
    </row>
    <row r="840" spans="1:18" x14ac:dyDescent="0.25">
      <c r="A840" t="s">
        <v>868</v>
      </c>
      <c r="B840">
        <v>69.8</v>
      </c>
      <c r="C840">
        <v>74.2</v>
      </c>
      <c r="D840">
        <v>77.900000000000006</v>
      </c>
      <c r="E840">
        <v>71.900000000000006</v>
      </c>
      <c r="F840">
        <v>64.599999999999994</v>
      </c>
      <c r="G840">
        <v>68.25</v>
      </c>
      <c r="H840" t="s">
        <v>19</v>
      </c>
      <c r="I840">
        <v>3</v>
      </c>
      <c r="J840" t="s">
        <v>38</v>
      </c>
      <c r="K840">
        <v>78.599999999999994</v>
      </c>
      <c r="L840">
        <v>189</v>
      </c>
      <c r="M840">
        <v>77.599999999999994</v>
      </c>
      <c r="N840">
        <v>7.7</v>
      </c>
      <c r="O840">
        <v>2.2000000000000002</v>
      </c>
      <c r="P840">
        <v>6</v>
      </c>
      <c r="Q840" t="s">
        <v>21</v>
      </c>
      <c r="R840" t="s">
        <v>22</v>
      </c>
    </row>
    <row r="841" spans="1:18" x14ac:dyDescent="0.25">
      <c r="A841" t="s">
        <v>869</v>
      </c>
      <c r="B841">
        <v>80.5</v>
      </c>
      <c r="C841">
        <v>82.1</v>
      </c>
      <c r="D841">
        <v>79.2</v>
      </c>
      <c r="E841">
        <v>74.8</v>
      </c>
      <c r="F841">
        <v>86.3</v>
      </c>
      <c r="G841">
        <v>80.55</v>
      </c>
      <c r="H841" t="s">
        <v>19</v>
      </c>
      <c r="I841">
        <v>1</v>
      </c>
      <c r="J841" t="s">
        <v>20</v>
      </c>
      <c r="K841">
        <v>84.1</v>
      </c>
      <c r="L841">
        <v>202</v>
      </c>
      <c r="M841">
        <v>63.7</v>
      </c>
      <c r="N841">
        <v>6.8</v>
      </c>
      <c r="O841">
        <v>5</v>
      </c>
      <c r="P841">
        <v>2</v>
      </c>
      <c r="Q841" t="s">
        <v>25</v>
      </c>
      <c r="R841" t="s">
        <v>26</v>
      </c>
    </row>
    <row r="842" spans="1:18" x14ac:dyDescent="0.25">
      <c r="A842" t="s">
        <v>870</v>
      </c>
      <c r="B842">
        <v>41.3</v>
      </c>
      <c r="C842">
        <v>44.2</v>
      </c>
      <c r="D842">
        <v>33.9</v>
      </c>
      <c r="E842">
        <v>40.700000000000003</v>
      </c>
      <c r="F842">
        <v>43.6</v>
      </c>
      <c r="G842">
        <v>42.15</v>
      </c>
      <c r="H842" t="s">
        <v>32</v>
      </c>
      <c r="I842">
        <v>4</v>
      </c>
      <c r="J842" t="s">
        <v>38</v>
      </c>
      <c r="K842">
        <v>59.9</v>
      </c>
      <c r="L842">
        <v>144</v>
      </c>
      <c r="M842">
        <v>82.6</v>
      </c>
      <c r="N842">
        <v>6.5</v>
      </c>
      <c r="O842">
        <v>3.8</v>
      </c>
      <c r="P842">
        <v>5</v>
      </c>
      <c r="Q842" t="s">
        <v>28</v>
      </c>
      <c r="R842" t="s">
        <v>26</v>
      </c>
    </row>
    <row r="843" spans="1:18" x14ac:dyDescent="0.25">
      <c r="A843" t="s">
        <v>871</v>
      </c>
      <c r="B843">
        <v>69.3</v>
      </c>
      <c r="C843">
        <v>80.400000000000006</v>
      </c>
      <c r="D843">
        <v>78.3</v>
      </c>
      <c r="E843">
        <v>76.5</v>
      </c>
      <c r="F843">
        <v>84.2</v>
      </c>
      <c r="G843">
        <v>80.349999999999994</v>
      </c>
      <c r="H843" t="s">
        <v>19</v>
      </c>
      <c r="I843">
        <v>3</v>
      </c>
      <c r="J843" t="s">
        <v>38</v>
      </c>
      <c r="K843">
        <v>79.8</v>
      </c>
      <c r="L843">
        <v>192</v>
      </c>
      <c r="M843">
        <v>89</v>
      </c>
      <c r="N843">
        <v>7.2</v>
      </c>
      <c r="O843">
        <v>1</v>
      </c>
      <c r="P843">
        <v>5</v>
      </c>
      <c r="Q843" t="s">
        <v>28</v>
      </c>
      <c r="R843" t="s">
        <v>22</v>
      </c>
    </row>
    <row r="844" spans="1:18" x14ac:dyDescent="0.25">
      <c r="A844" t="s">
        <v>872</v>
      </c>
      <c r="B844">
        <v>54.4</v>
      </c>
      <c r="C844">
        <v>50.2</v>
      </c>
      <c r="D844">
        <v>39.9</v>
      </c>
      <c r="E844">
        <v>49.8</v>
      </c>
      <c r="F844">
        <v>58.1</v>
      </c>
      <c r="G844">
        <v>53.95</v>
      </c>
      <c r="H844" t="s">
        <v>19</v>
      </c>
      <c r="I844">
        <v>2</v>
      </c>
      <c r="J844" t="s">
        <v>20</v>
      </c>
      <c r="K844">
        <v>62.7</v>
      </c>
      <c r="L844">
        <v>150</v>
      </c>
      <c r="M844">
        <v>66.400000000000006</v>
      </c>
      <c r="N844">
        <v>6.8</v>
      </c>
      <c r="O844">
        <v>3.1</v>
      </c>
      <c r="P844">
        <v>3</v>
      </c>
      <c r="Q844" t="s">
        <v>25</v>
      </c>
      <c r="R844" t="s">
        <v>33</v>
      </c>
    </row>
    <row r="845" spans="1:18" x14ac:dyDescent="0.25">
      <c r="A845" t="s">
        <v>873</v>
      </c>
      <c r="B845">
        <v>89.5</v>
      </c>
      <c r="C845">
        <v>99.9</v>
      </c>
      <c r="D845">
        <v>93.1</v>
      </c>
      <c r="E845">
        <v>92.9</v>
      </c>
      <c r="F845">
        <v>80.400000000000006</v>
      </c>
      <c r="G845">
        <v>86.65</v>
      </c>
      <c r="H845" t="s">
        <v>19</v>
      </c>
      <c r="I845">
        <v>2</v>
      </c>
      <c r="J845" t="s">
        <v>20</v>
      </c>
      <c r="K845">
        <v>87.3</v>
      </c>
      <c r="L845">
        <v>210</v>
      </c>
      <c r="M845">
        <v>73.099999999999994</v>
      </c>
      <c r="N845">
        <v>7.2</v>
      </c>
      <c r="O845">
        <v>3</v>
      </c>
      <c r="P845">
        <v>3</v>
      </c>
      <c r="Q845" t="s">
        <v>25</v>
      </c>
      <c r="R845" t="s">
        <v>26</v>
      </c>
    </row>
    <row r="846" spans="1:18" x14ac:dyDescent="0.25">
      <c r="A846" t="s">
        <v>874</v>
      </c>
      <c r="B846">
        <v>57.5</v>
      </c>
      <c r="C846">
        <v>50.2</v>
      </c>
      <c r="D846">
        <v>57.7</v>
      </c>
      <c r="E846">
        <v>48.2</v>
      </c>
      <c r="F846">
        <v>47.5</v>
      </c>
      <c r="G846">
        <v>47.85</v>
      </c>
      <c r="H846" t="s">
        <v>32</v>
      </c>
      <c r="I846">
        <v>2</v>
      </c>
      <c r="J846" t="s">
        <v>20</v>
      </c>
      <c r="K846">
        <v>66.3</v>
      </c>
      <c r="L846">
        <v>159</v>
      </c>
      <c r="M846">
        <v>64.7</v>
      </c>
      <c r="N846">
        <v>8.3000000000000007</v>
      </c>
      <c r="O846">
        <v>1.6</v>
      </c>
      <c r="P846">
        <v>4</v>
      </c>
      <c r="Q846" t="s">
        <v>28</v>
      </c>
      <c r="R846" t="s">
        <v>33</v>
      </c>
    </row>
    <row r="847" spans="1:18" x14ac:dyDescent="0.25">
      <c r="A847" t="s">
        <v>875</v>
      </c>
      <c r="B847">
        <v>68.2</v>
      </c>
      <c r="C847">
        <v>58.5</v>
      </c>
      <c r="D847">
        <v>58.1</v>
      </c>
      <c r="E847">
        <v>62.8</v>
      </c>
      <c r="F847">
        <v>60.4</v>
      </c>
      <c r="G847">
        <v>61.6</v>
      </c>
      <c r="H847" t="s">
        <v>19</v>
      </c>
      <c r="I847">
        <v>1</v>
      </c>
      <c r="J847" t="s">
        <v>20</v>
      </c>
      <c r="K847">
        <v>70.900000000000006</v>
      </c>
      <c r="L847">
        <v>170</v>
      </c>
      <c r="M847">
        <v>59.7</v>
      </c>
      <c r="N847">
        <v>5.7</v>
      </c>
      <c r="O847">
        <v>4.4000000000000004</v>
      </c>
      <c r="P847">
        <v>6</v>
      </c>
      <c r="Q847" t="s">
        <v>28</v>
      </c>
      <c r="R847" t="s">
        <v>33</v>
      </c>
    </row>
    <row r="848" spans="1:18" x14ac:dyDescent="0.25">
      <c r="A848" t="s">
        <v>876</v>
      </c>
      <c r="B848">
        <v>42.5</v>
      </c>
      <c r="C848">
        <v>51.7</v>
      </c>
      <c r="D848">
        <v>40.5</v>
      </c>
      <c r="E848">
        <v>44.7</v>
      </c>
      <c r="F848">
        <v>48.1</v>
      </c>
      <c r="G848">
        <v>46.4</v>
      </c>
      <c r="H848" t="s">
        <v>32</v>
      </c>
      <c r="I848">
        <v>3</v>
      </c>
      <c r="J848" t="s">
        <v>38</v>
      </c>
      <c r="K848">
        <v>53.3</v>
      </c>
      <c r="L848">
        <v>128</v>
      </c>
      <c r="M848">
        <v>79.7</v>
      </c>
      <c r="N848">
        <v>6.5</v>
      </c>
      <c r="O848">
        <v>4.5</v>
      </c>
      <c r="P848">
        <v>4</v>
      </c>
      <c r="Q848" t="s">
        <v>28</v>
      </c>
      <c r="R848" t="s">
        <v>22</v>
      </c>
    </row>
    <row r="849" spans="1:18" x14ac:dyDescent="0.25">
      <c r="A849" t="s">
        <v>877</v>
      </c>
      <c r="B849">
        <v>101.2</v>
      </c>
      <c r="C849">
        <v>98.3</v>
      </c>
      <c r="D849">
        <v>98.6</v>
      </c>
      <c r="E849">
        <v>94.8</v>
      </c>
      <c r="F849">
        <v>98.2</v>
      </c>
      <c r="G849">
        <v>96.5</v>
      </c>
      <c r="H849" t="s">
        <v>19</v>
      </c>
      <c r="I849">
        <v>4</v>
      </c>
      <c r="J849" t="s">
        <v>24</v>
      </c>
      <c r="K849">
        <v>89.1</v>
      </c>
      <c r="L849">
        <v>214</v>
      </c>
      <c r="M849">
        <v>98</v>
      </c>
      <c r="N849">
        <v>6</v>
      </c>
      <c r="O849">
        <v>4.5999999999999996</v>
      </c>
      <c r="P849">
        <v>2</v>
      </c>
      <c r="Q849" t="s">
        <v>25</v>
      </c>
      <c r="R849" t="s">
        <v>22</v>
      </c>
    </row>
    <row r="850" spans="1:18" x14ac:dyDescent="0.25">
      <c r="A850" t="s">
        <v>878</v>
      </c>
      <c r="B850">
        <v>68</v>
      </c>
      <c r="C850">
        <v>65.400000000000006</v>
      </c>
      <c r="D850">
        <v>59.9</v>
      </c>
      <c r="E850">
        <v>67.599999999999994</v>
      </c>
      <c r="F850">
        <v>77.900000000000006</v>
      </c>
      <c r="G850">
        <v>72.75</v>
      </c>
      <c r="H850" t="s">
        <v>19</v>
      </c>
      <c r="I850">
        <v>1</v>
      </c>
      <c r="J850" t="s">
        <v>20</v>
      </c>
      <c r="K850">
        <v>75.599999999999994</v>
      </c>
      <c r="L850">
        <v>181</v>
      </c>
      <c r="M850">
        <v>57.2</v>
      </c>
      <c r="N850">
        <v>5.8</v>
      </c>
      <c r="O850">
        <v>4.5999999999999996</v>
      </c>
      <c r="P850">
        <v>1</v>
      </c>
      <c r="Q850" t="s">
        <v>25</v>
      </c>
      <c r="R850" t="s">
        <v>22</v>
      </c>
    </row>
    <row r="851" spans="1:18" x14ac:dyDescent="0.25">
      <c r="A851" t="s">
        <v>879</v>
      </c>
      <c r="B851">
        <v>77</v>
      </c>
      <c r="C851">
        <v>70.3</v>
      </c>
      <c r="D851">
        <v>69.599999999999994</v>
      </c>
      <c r="E851">
        <v>72.7</v>
      </c>
      <c r="F851">
        <v>68.599999999999994</v>
      </c>
      <c r="G851">
        <v>70.650000000000006</v>
      </c>
      <c r="H851" t="s">
        <v>19</v>
      </c>
      <c r="I851">
        <v>1</v>
      </c>
      <c r="J851" t="s">
        <v>20</v>
      </c>
      <c r="K851">
        <v>73</v>
      </c>
      <c r="L851">
        <v>175</v>
      </c>
      <c r="M851">
        <v>65.2</v>
      </c>
      <c r="N851">
        <v>8.1999999999999993</v>
      </c>
      <c r="O851">
        <v>1</v>
      </c>
      <c r="P851">
        <v>1</v>
      </c>
      <c r="Q851" t="s">
        <v>25</v>
      </c>
      <c r="R851" t="s">
        <v>33</v>
      </c>
    </row>
    <row r="852" spans="1:18" x14ac:dyDescent="0.25">
      <c r="A852" t="s">
        <v>880</v>
      </c>
      <c r="B852">
        <v>46.1</v>
      </c>
      <c r="C852">
        <v>45.2</v>
      </c>
      <c r="D852">
        <v>46.7</v>
      </c>
      <c r="E852">
        <v>43.7</v>
      </c>
      <c r="F852">
        <v>45.9</v>
      </c>
      <c r="G852">
        <v>44.8</v>
      </c>
      <c r="H852" t="s">
        <v>32</v>
      </c>
      <c r="I852">
        <v>3</v>
      </c>
      <c r="J852" t="s">
        <v>38</v>
      </c>
      <c r="K852">
        <v>55.4</v>
      </c>
      <c r="L852">
        <v>133</v>
      </c>
      <c r="M852">
        <v>81</v>
      </c>
      <c r="N852">
        <v>6.5</v>
      </c>
      <c r="O852">
        <v>5.8</v>
      </c>
      <c r="P852">
        <v>5</v>
      </c>
      <c r="Q852" t="s">
        <v>28</v>
      </c>
      <c r="R852" t="s">
        <v>33</v>
      </c>
    </row>
    <row r="853" spans="1:18" x14ac:dyDescent="0.25">
      <c r="A853" t="s">
        <v>881</v>
      </c>
      <c r="B853">
        <v>77</v>
      </c>
      <c r="C853">
        <v>83.6</v>
      </c>
      <c r="D853">
        <v>78.099999999999994</v>
      </c>
      <c r="E853">
        <v>81.2</v>
      </c>
      <c r="F853">
        <v>78.400000000000006</v>
      </c>
      <c r="G853">
        <v>79.8</v>
      </c>
      <c r="H853" t="s">
        <v>19</v>
      </c>
      <c r="I853">
        <v>4</v>
      </c>
      <c r="J853" t="s">
        <v>24</v>
      </c>
      <c r="K853">
        <v>88</v>
      </c>
      <c r="L853">
        <v>211</v>
      </c>
      <c r="M853">
        <v>82.9</v>
      </c>
      <c r="N853">
        <v>6.7</v>
      </c>
      <c r="O853">
        <v>5.0999999999999996</v>
      </c>
      <c r="P853">
        <v>4</v>
      </c>
      <c r="Q853" t="s">
        <v>28</v>
      </c>
      <c r="R853" t="s">
        <v>26</v>
      </c>
    </row>
    <row r="854" spans="1:18" x14ac:dyDescent="0.25">
      <c r="A854" t="s">
        <v>882</v>
      </c>
      <c r="B854">
        <v>48.3</v>
      </c>
      <c r="C854">
        <v>52.5</v>
      </c>
      <c r="D854">
        <v>50.4</v>
      </c>
      <c r="E854">
        <v>51.5</v>
      </c>
      <c r="F854">
        <v>37.799999999999997</v>
      </c>
      <c r="G854">
        <v>44.65</v>
      </c>
      <c r="H854" t="s">
        <v>32</v>
      </c>
      <c r="I854">
        <v>2</v>
      </c>
      <c r="J854" t="s">
        <v>20</v>
      </c>
      <c r="K854">
        <v>68.2</v>
      </c>
      <c r="L854">
        <v>164</v>
      </c>
      <c r="M854">
        <v>70.2</v>
      </c>
      <c r="N854">
        <v>6.8</v>
      </c>
      <c r="O854">
        <v>5.5</v>
      </c>
      <c r="P854">
        <v>4</v>
      </c>
      <c r="Q854" t="s">
        <v>28</v>
      </c>
      <c r="R854" t="s">
        <v>33</v>
      </c>
    </row>
    <row r="855" spans="1:18" x14ac:dyDescent="0.25">
      <c r="A855" t="s">
        <v>883</v>
      </c>
      <c r="B855">
        <v>94.5</v>
      </c>
      <c r="C855">
        <v>90.9</v>
      </c>
      <c r="D855">
        <v>93.1</v>
      </c>
      <c r="E855">
        <v>89.4</v>
      </c>
      <c r="F855">
        <v>83.6</v>
      </c>
      <c r="G855">
        <v>86.5</v>
      </c>
      <c r="H855" t="s">
        <v>19</v>
      </c>
      <c r="I855">
        <v>2</v>
      </c>
      <c r="J855" t="s">
        <v>20</v>
      </c>
      <c r="K855">
        <v>83.6</v>
      </c>
      <c r="L855">
        <v>201</v>
      </c>
      <c r="M855">
        <v>68.099999999999994</v>
      </c>
      <c r="N855">
        <v>7.4</v>
      </c>
      <c r="O855">
        <v>1.1000000000000001</v>
      </c>
      <c r="P855">
        <v>5</v>
      </c>
      <c r="Q855" t="s">
        <v>28</v>
      </c>
      <c r="R855" t="s">
        <v>22</v>
      </c>
    </row>
    <row r="856" spans="1:18" x14ac:dyDescent="0.25">
      <c r="A856" t="s">
        <v>884</v>
      </c>
      <c r="B856">
        <v>49.6</v>
      </c>
      <c r="C856">
        <v>59.8</v>
      </c>
      <c r="D856">
        <v>53.4</v>
      </c>
      <c r="E856">
        <v>51.3</v>
      </c>
      <c r="F856">
        <v>57.5</v>
      </c>
      <c r="G856">
        <v>54.4</v>
      </c>
      <c r="H856" t="s">
        <v>19</v>
      </c>
      <c r="I856">
        <v>3</v>
      </c>
      <c r="J856" t="s">
        <v>38</v>
      </c>
      <c r="K856">
        <v>60</v>
      </c>
      <c r="L856">
        <v>144</v>
      </c>
      <c r="M856">
        <v>84</v>
      </c>
      <c r="N856">
        <v>6.1</v>
      </c>
      <c r="O856">
        <v>5.7</v>
      </c>
      <c r="P856">
        <v>2</v>
      </c>
      <c r="Q856" t="s">
        <v>25</v>
      </c>
      <c r="R856" t="s">
        <v>22</v>
      </c>
    </row>
    <row r="857" spans="1:18" x14ac:dyDescent="0.25">
      <c r="A857" t="s">
        <v>885</v>
      </c>
      <c r="B857">
        <v>48.5</v>
      </c>
      <c r="C857">
        <v>55.8</v>
      </c>
      <c r="D857">
        <v>51.8</v>
      </c>
      <c r="E857">
        <v>50.5</v>
      </c>
      <c r="F857">
        <v>58.7</v>
      </c>
      <c r="G857">
        <v>54.6</v>
      </c>
      <c r="H857" t="s">
        <v>19</v>
      </c>
      <c r="I857">
        <v>2</v>
      </c>
      <c r="J857" t="s">
        <v>20</v>
      </c>
      <c r="K857">
        <v>61.1</v>
      </c>
      <c r="L857">
        <v>147</v>
      </c>
      <c r="M857">
        <v>65</v>
      </c>
      <c r="N857">
        <v>7.6</v>
      </c>
      <c r="O857">
        <v>5</v>
      </c>
      <c r="P857">
        <v>3</v>
      </c>
      <c r="Q857" t="s">
        <v>25</v>
      </c>
      <c r="R857" t="s">
        <v>22</v>
      </c>
    </row>
    <row r="858" spans="1:18" x14ac:dyDescent="0.25">
      <c r="A858" t="s">
        <v>886</v>
      </c>
      <c r="B858">
        <v>37.200000000000003</v>
      </c>
      <c r="C858">
        <v>43</v>
      </c>
      <c r="D858">
        <v>40.299999999999997</v>
      </c>
      <c r="E858">
        <v>42</v>
      </c>
      <c r="F858">
        <v>53.3</v>
      </c>
      <c r="G858">
        <v>47.65</v>
      </c>
      <c r="H858" t="s">
        <v>32</v>
      </c>
      <c r="I858">
        <v>1</v>
      </c>
      <c r="J858" t="s">
        <v>20</v>
      </c>
      <c r="K858">
        <v>67.5</v>
      </c>
      <c r="L858">
        <v>162</v>
      </c>
      <c r="M858">
        <v>65.7</v>
      </c>
      <c r="N858">
        <v>6.3</v>
      </c>
      <c r="O858">
        <v>5.2</v>
      </c>
      <c r="P858">
        <v>1</v>
      </c>
      <c r="Q858" t="s">
        <v>25</v>
      </c>
      <c r="R858" t="s">
        <v>22</v>
      </c>
    </row>
    <row r="859" spans="1:18" x14ac:dyDescent="0.25">
      <c r="A859" t="s">
        <v>887</v>
      </c>
      <c r="B859">
        <v>68.099999999999994</v>
      </c>
      <c r="C859">
        <v>70.7</v>
      </c>
      <c r="D859">
        <v>67.8</v>
      </c>
      <c r="E859">
        <v>66</v>
      </c>
      <c r="F859">
        <v>80.3</v>
      </c>
      <c r="G859">
        <v>73.150000000000006</v>
      </c>
      <c r="H859" t="s">
        <v>19</v>
      </c>
      <c r="I859">
        <v>4</v>
      </c>
      <c r="J859" t="s">
        <v>38</v>
      </c>
      <c r="K859">
        <v>73.7</v>
      </c>
      <c r="L859">
        <v>177</v>
      </c>
      <c r="M859">
        <v>89</v>
      </c>
      <c r="N859">
        <v>7.9</v>
      </c>
      <c r="O859">
        <v>1.5</v>
      </c>
      <c r="P859">
        <v>2</v>
      </c>
      <c r="Q859" t="s">
        <v>25</v>
      </c>
      <c r="R859" t="s">
        <v>33</v>
      </c>
    </row>
    <row r="860" spans="1:18" x14ac:dyDescent="0.25">
      <c r="A860" t="s">
        <v>888</v>
      </c>
      <c r="B860">
        <v>81.400000000000006</v>
      </c>
      <c r="C860">
        <v>65.900000000000006</v>
      </c>
      <c r="D860">
        <v>70.400000000000006</v>
      </c>
      <c r="E860">
        <v>71.099999999999994</v>
      </c>
      <c r="F860">
        <v>74.599999999999994</v>
      </c>
      <c r="G860">
        <v>72.849999999999994</v>
      </c>
      <c r="H860" t="s">
        <v>19</v>
      </c>
      <c r="I860">
        <v>4</v>
      </c>
      <c r="J860" t="s">
        <v>38</v>
      </c>
      <c r="K860">
        <v>72.8</v>
      </c>
      <c r="L860">
        <v>175</v>
      </c>
      <c r="M860">
        <v>84.1</v>
      </c>
      <c r="N860">
        <v>6.6</v>
      </c>
      <c r="O860">
        <v>4.7</v>
      </c>
      <c r="P860">
        <v>4</v>
      </c>
      <c r="Q860" t="s">
        <v>28</v>
      </c>
      <c r="R860" t="s">
        <v>22</v>
      </c>
    </row>
    <row r="861" spans="1:18" x14ac:dyDescent="0.25">
      <c r="A861" t="s">
        <v>889</v>
      </c>
      <c r="B861">
        <v>38.299999999999997</v>
      </c>
      <c r="C861">
        <v>45.6</v>
      </c>
      <c r="D861">
        <v>45.9</v>
      </c>
      <c r="E861">
        <v>43.6</v>
      </c>
      <c r="F861">
        <v>52.3</v>
      </c>
      <c r="G861">
        <v>47.95</v>
      </c>
      <c r="H861" t="s">
        <v>32</v>
      </c>
      <c r="I861">
        <v>3</v>
      </c>
      <c r="J861" t="s">
        <v>38</v>
      </c>
      <c r="K861">
        <v>64.400000000000006</v>
      </c>
      <c r="L861">
        <v>155</v>
      </c>
      <c r="M861">
        <v>86.5</v>
      </c>
      <c r="N861">
        <v>5.3</v>
      </c>
      <c r="O861">
        <v>5.8</v>
      </c>
      <c r="P861">
        <v>4</v>
      </c>
      <c r="Q861" t="s">
        <v>28</v>
      </c>
      <c r="R861" t="s">
        <v>26</v>
      </c>
    </row>
    <row r="862" spans="1:18" x14ac:dyDescent="0.25">
      <c r="A862" t="s">
        <v>890</v>
      </c>
      <c r="B862">
        <v>82.8</v>
      </c>
      <c r="C862">
        <v>91.7</v>
      </c>
      <c r="D862">
        <v>80.2</v>
      </c>
      <c r="E862">
        <v>82.7</v>
      </c>
      <c r="F862">
        <v>87.7</v>
      </c>
      <c r="G862">
        <v>85.2</v>
      </c>
      <c r="H862" t="s">
        <v>19</v>
      </c>
      <c r="I862">
        <v>4</v>
      </c>
      <c r="J862" t="s">
        <v>38</v>
      </c>
      <c r="K862">
        <v>77.3</v>
      </c>
      <c r="L862">
        <v>186</v>
      </c>
      <c r="M862">
        <v>94.5</v>
      </c>
      <c r="N862">
        <v>5.7</v>
      </c>
      <c r="O862">
        <v>4.4000000000000004</v>
      </c>
      <c r="P862">
        <v>2</v>
      </c>
      <c r="Q862" t="s">
        <v>25</v>
      </c>
      <c r="R862" t="s">
        <v>33</v>
      </c>
    </row>
    <row r="863" spans="1:18" x14ac:dyDescent="0.25">
      <c r="A863" t="s">
        <v>891</v>
      </c>
      <c r="B863">
        <v>72</v>
      </c>
      <c r="C863">
        <v>63.8</v>
      </c>
      <c r="D863">
        <v>64</v>
      </c>
      <c r="E863">
        <v>64.900000000000006</v>
      </c>
      <c r="F863">
        <v>69.2</v>
      </c>
      <c r="G863">
        <v>67.05</v>
      </c>
      <c r="H863" t="s">
        <v>19</v>
      </c>
      <c r="I863">
        <v>4</v>
      </c>
      <c r="J863" t="s">
        <v>38</v>
      </c>
      <c r="K863">
        <v>80</v>
      </c>
      <c r="L863">
        <v>192</v>
      </c>
      <c r="M863">
        <v>86.9</v>
      </c>
      <c r="N863">
        <v>6.6</v>
      </c>
      <c r="O863">
        <v>3.9</v>
      </c>
      <c r="P863">
        <v>4</v>
      </c>
      <c r="Q863" t="s">
        <v>28</v>
      </c>
      <c r="R863" t="s">
        <v>22</v>
      </c>
    </row>
    <row r="864" spans="1:18" x14ac:dyDescent="0.25">
      <c r="A864" t="s">
        <v>892</v>
      </c>
      <c r="B864">
        <v>68.400000000000006</v>
      </c>
      <c r="C864">
        <v>64.599999999999994</v>
      </c>
      <c r="D864">
        <v>63.9</v>
      </c>
      <c r="E864">
        <v>68.8</v>
      </c>
      <c r="F864">
        <v>68.400000000000006</v>
      </c>
      <c r="G864">
        <v>68.599999999999994</v>
      </c>
      <c r="H864" t="s">
        <v>19</v>
      </c>
      <c r="I864">
        <v>2</v>
      </c>
      <c r="J864" t="s">
        <v>20</v>
      </c>
      <c r="K864">
        <v>81.2</v>
      </c>
      <c r="L864">
        <v>195</v>
      </c>
      <c r="M864">
        <v>64.400000000000006</v>
      </c>
      <c r="N864">
        <v>6.8</v>
      </c>
      <c r="O864">
        <v>5.7</v>
      </c>
      <c r="P864">
        <v>5</v>
      </c>
      <c r="Q864" t="s">
        <v>28</v>
      </c>
      <c r="R864" t="s">
        <v>26</v>
      </c>
    </row>
    <row r="865" spans="1:18" x14ac:dyDescent="0.25">
      <c r="A865" t="s">
        <v>893</v>
      </c>
      <c r="B865">
        <v>66.5</v>
      </c>
      <c r="C865">
        <v>61</v>
      </c>
      <c r="D865">
        <v>64.099999999999994</v>
      </c>
      <c r="E865">
        <v>64.2</v>
      </c>
      <c r="F865">
        <v>67.5</v>
      </c>
      <c r="G865">
        <v>65.849999999999994</v>
      </c>
      <c r="H865" t="s">
        <v>19</v>
      </c>
      <c r="I865">
        <v>2</v>
      </c>
      <c r="J865" t="s">
        <v>20</v>
      </c>
      <c r="K865">
        <v>69.8</v>
      </c>
      <c r="L865">
        <v>168</v>
      </c>
      <c r="M865">
        <v>65.2</v>
      </c>
      <c r="N865">
        <v>7.4</v>
      </c>
      <c r="O865">
        <v>3.2</v>
      </c>
      <c r="P865">
        <v>4</v>
      </c>
      <c r="Q865" t="s">
        <v>28</v>
      </c>
      <c r="R865" t="s">
        <v>22</v>
      </c>
    </row>
    <row r="866" spans="1:18" x14ac:dyDescent="0.25">
      <c r="A866" t="s">
        <v>894</v>
      </c>
      <c r="B866">
        <v>56.7</v>
      </c>
      <c r="C866">
        <v>56.6</v>
      </c>
      <c r="D866">
        <v>58</v>
      </c>
      <c r="E866">
        <v>62</v>
      </c>
      <c r="F866">
        <v>56.5</v>
      </c>
      <c r="G866">
        <v>59.25</v>
      </c>
      <c r="H866" t="s">
        <v>19</v>
      </c>
      <c r="I866">
        <v>2</v>
      </c>
      <c r="J866" t="s">
        <v>20</v>
      </c>
      <c r="K866">
        <v>67.900000000000006</v>
      </c>
      <c r="L866">
        <v>163</v>
      </c>
      <c r="M866">
        <v>61.6</v>
      </c>
      <c r="N866">
        <v>7.3</v>
      </c>
      <c r="O866">
        <v>4</v>
      </c>
      <c r="P866">
        <v>4</v>
      </c>
      <c r="Q866" t="s">
        <v>28</v>
      </c>
      <c r="R866" t="s">
        <v>33</v>
      </c>
    </row>
    <row r="867" spans="1:18" x14ac:dyDescent="0.25">
      <c r="A867" t="s">
        <v>895</v>
      </c>
      <c r="B867">
        <v>72.900000000000006</v>
      </c>
      <c r="C867">
        <v>66.900000000000006</v>
      </c>
      <c r="D867">
        <v>65.2</v>
      </c>
      <c r="E867">
        <v>70.8</v>
      </c>
      <c r="F867">
        <v>61.7</v>
      </c>
      <c r="G867">
        <v>66.25</v>
      </c>
      <c r="H867" t="s">
        <v>19</v>
      </c>
      <c r="I867">
        <v>2</v>
      </c>
      <c r="J867" t="s">
        <v>20</v>
      </c>
      <c r="K867">
        <v>62.3</v>
      </c>
      <c r="L867">
        <v>150</v>
      </c>
      <c r="M867">
        <v>62.1</v>
      </c>
      <c r="N867">
        <v>6.5</v>
      </c>
      <c r="O867">
        <v>3.4</v>
      </c>
      <c r="P867">
        <v>7</v>
      </c>
      <c r="Q867" t="s">
        <v>21</v>
      </c>
      <c r="R867" t="s">
        <v>33</v>
      </c>
    </row>
    <row r="868" spans="1:18" x14ac:dyDescent="0.25">
      <c r="A868" t="s">
        <v>896</v>
      </c>
      <c r="B868">
        <v>47.6</v>
      </c>
      <c r="C868">
        <v>46.7</v>
      </c>
      <c r="D868">
        <v>49.8</v>
      </c>
      <c r="E868">
        <v>48.5</v>
      </c>
      <c r="F868">
        <v>62.3</v>
      </c>
      <c r="G868">
        <v>55.4</v>
      </c>
      <c r="H868" t="s">
        <v>19</v>
      </c>
      <c r="I868">
        <v>4</v>
      </c>
      <c r="J868" t="s">
        <v>38</v>
      </c>
      <c r="K868">
        <v>56.9</v>
      </c>
      <c r="L868">
        <v>137</v>
      </c>
      <c r="M868">
        <v>87.6</v>
      </c>
      <c r="N868">
        <v>7.1</v>
      </c>
      <c r="O868">
        <v>5.7</v>
      </c>
      <c r="P868">
        <v>1</v>
      </c>
      <c r="Q868" t="s">
        <v>25</v>
      </c>
      <c r="R868" t="s">
        <v>26</v>
      </c>
    </row>
    <row r="869" spans="1:18" x14ac:dyDescent="0.25">
      <c r="A869" t="s">
        <v>897</v>
      </c>
      <c r="B869">
        <v>54.9</v>
      </c>
      <c r="C869">
        <v>43</v>
      </c>
      <c r="D869">
        <v>51.1</v>
      </c>
      <c r="E869">
        <v>50</v>
      </c>
      <c r="F869">
        <v>70.900000000000006</v>
      </c>
      <c r="G869">
        <v>60.45</v>
      </c>
      <c r="H869" t="s">
        <v>19</v>
      </c>
      <c r="I869">
        <v>4</v>
      </c>
      <c r="J869" t="s">
        <v>24</v>
      </c>
      <c r="K869">
        <v>58.3</v>
      </c>
      <c r="L869">
        <v>140</v>
      </c>
      <c r="M869">
        <v>92.6</v>
      </c>
      <c r="N869">
        <v>7.1</v>
      </c>
      <c r="O869">
        <v>1.4</v>
      </c>
      <c r="P869">
        <v>1</v>
      </c>
      <c r="Q869" t="s">
        <v>25</v>
      </c>
      <c r="R869" t="s">
        <v>33</v>
      </c>
    </row>
    <row r="870" spans="1:18" x14ac:dyDescent="0.25">
      <c r="A870" t="s">
        <v>898</v>
      </c>
      <c r="B870">
        <v>93.3</v>
      </c>
      <c r="C870">
        <v>87.5</v>
      </c>
      <c r="D870">
        <v>91.3</v>
      </c>
      <c r="E870">
        <v>87.4</v>
      </c>
      <c r="F870">
        <v>95.8</v>
      </c>
      <c r="G870">
        <v>91.6</v>
      </c>
      <c r="H870" t="s">
        <v>19</v>
      </c>
      <c r="I870">
        <v>5</v>
      </c>
      <c r="J870" t="s">
        <v>24</v>
      </c>
      <c r="K870">
        <v>84.4</v>
      </c>
      <c r="L870">
        <v>203</v>
      </c>
      <c r="M870">
        <v>101.9</v>
      </c>
      <c r="N870">
        <v>7.1</v>
      </c>
      <c r="O870">
        <v>3.5</v>
      </c>
      <c r="P870">
        <v>3</v>
      </c>
      <c r="Q870" t="s">
        <v>28</v>
      </c>
      <c r="R870" t="s">
        <v>26</v>
      </c>
    </row>
    <row r="871" spans="1:18" x14ac:dyDescent="0.25">
      <c r="A871" t="s">
        <v>899</v>
      </c>
      <c r="B871">
        <v>105</v>
      </c>
      <c r="C871">
        <v>96.5</v>
      </c>
      <c r="D871">
        <v>89.9</v>
      </c>
      <c r="E871">
        <v>92</v>
      </c>
      <c r="F871">
        <v>76.599999999999994</v>
      </c>
      <c r="G871">
        <v>84.3</v>
      </c>
      <c r="H871" t="s">
        <v>19</v>
      </c>
      <c r="I871">
        <v>4</v>
      </c>
      <c r="J871" t="s">
        <v>38</v>
      </c>
      <c r="K871">
        <v>84.4</v>
      </c>
      <c r="L871">
        <v>203</v>
      </c>
      <c r="M871">
        <v>82.1</v>
      </c>
      <c r="N871">
        <v>6.7</v>
      </c>
      <c r="O871">
        <v>4.4000000000000004</v>
      </c>
      <c r="P871">
        <v>6</v>
      </c>
      <c r="Q871" t="s">
        <v>21</v>
      </c>
      <c r="R871" t="s">
        <v>22</v>
      </c>
    </row>
    <row r="872" spans="1:18" x14ac:dyDescent="0.25">
      <c r="A872" t="s">
        <v>900</v>
      </c>
      <c r="B872">
        <v>63.4</v>
      </c>
      <c r="C872">
        <v>56</v>
      </c>
      <c r="D872">
        <v>62.6</v>
      </c>
      <c r="E872">
        <v>60.5</v>
      </c>
      <c r="F872">
        <v>69.099999999999994</v>
      </c>
      <c r="G872">
        <v>64.8</v>
      </c>
      <c r="H872" t="s">
        <v>19</v>
      </c>
      <c r="I872">
        <v>2</v>
      </c>
      <c r="J872" t="s">
        <v>20</v>
      </c>
      <c r="K872">
        <v>63.5</v>
      </c>
      <c r="L872">
        <v>152</v>
      </c>
      <c r="M872">
        <v>67.099999999999994</v>
      </c>
      <c r="N872">
        <v>6.4</v>
      </c>
      <c r="O872">
        <v>5</v>
      </c>
      <c r="P872">
        <v>1</v>
      </c>
      <c r="Q872" t="s">
        <v>25</v>
      </c>
      <c r="R872" t="s">
        <v>33</v>
      </c>
    </row>
    <row r="873" spans="1:18" x14ac:dyDescent="0.25">
      <c r="A873" t="s">
        <v>901</v>
      </c>
      <c r="B873">
        <v>56.5</v>
      </c>
      <c r="C873">
        <v>62.5</v>
      </c>
      <c r="D873">
        <v>57.6</v>
      </c>
      <c r="E873">
        <v>54.9</v>
      </c>
      <c r="F873">
        <v>58.5</v>
      </c>
      <c r="G873">
        <v>56.7</v>
      </c>
      <c r="H873" t="s">
        <v>19</v>
      </c>
      <c r="I873">
        <v>1</v>
      </c>
      <c r="J873" t="s">
        <v>20</v>
      </c>
      <c r="K873">
        <v>66</v>
      </c>
      <c r="L873">
        <v>158</v>
      </c>
      <c r="M873">
        <v>70.099999999999994</v>
      </c>
      <c r="N873">
        <v>7.5</v>
      </c>
      <c r="O873">
        <v>3.9</v>
      </c>
      <c r="P873">
        <v>5</v>
      </c>
      <c r="Q873" t="s">
        <v>28</v>
      </c>
      <c r="R873" t="s">
        <v>22</v>
      </c>
    </row>
    <row r="874" spans="1:18" x14ac:dyDescent="0.25">
      <c r="A874" t="s">
        <v>902</v>
      </c>
      <c r="B874">
        <v>76.400000000000006</v>
      </c>
      <c r="C874">
        <v>78</v>
      </c>
      <c r="D874">
        <v>77.599999999999994</v>
      </c>
      <c r="E874">
        <v>75.400000000000006</v>
      </c>
      <c r="F874">
        <v>77.5</v>
      </c>
      <c r="G874">
        <v>76.45</v>
      </c>
      <c r="H874" t="s">
        <v>19</v>
      </c>
      <c r="I874">
        <v>4</v>
      </c>
      <c r="J874" t="s">
        <v>24</v>
      </c>
      <c r="K874">
        <v>80.2</v>
      </c>
      <c r="L874">
        <v>192</v>
      </c>
      <c r="M874">
        <v>94.2</v>
      </c>
      <c r="N874">
        <v>6</v>
      </c>
      <c r="O874">
        <v>5.5</v>
      </c>
      <c r="P874">
        <v>3</v>
      </c>
      <c r="Q874" t="s">
        <v>28</v>
      </c>
      <c r="R874" t="s">
        <v>22</v>
      </c>
    </row>
    <row r="875" spans="1:18" x14ac:dyDescent="0.25">
      <c r="A875" t="s">
        <v>903</v>
      </c>
      <c r="B875">
        <v>60.7</v>
      </c>
      <c r="C875">
        <v>67.599999999999994</v>
      </c>
      <c r="D875">
        <v>58.4</v>
      </c>
      <c r="E875">
        <v>62.5</v>
      </c>
      <c r="F875">
        <v>67.8</v>
      </c>
      <c r="G875">
        <v>65.150000000000006</v>
      </c>
      <c r="H875" t="s">
        <v>19</v>
      </c>
      <c r="I875">
        <v>3</v>
      </c>
      <c r="J875" t="s">
        <v>38</v>
      </c>
      <c r="K875">
        <v>73.900000000000006</v>
      </c>
      <c r="L875">
        <v>177</v>
      </c>
      <c r="M875">
        <v>82.9</v>
      </c>
      <c r="N875">
        <v>5.6</v>
      </c>
      <c r="O875">
        <v>5.7</v>
      </c>
      <c r="P875">
        <v>6</v>
      </c>
      <c r="Q875" t="s">
        <v>28</v>
      </c>
      <c r="R875" t="s">
        <v>33</v>
      </c>
    </row>
    <row r="876" spans="1:18" x14ac:dyDescent="0.25">
      <c r="A876" t="s">
        <v>904</v>
      </c>
      <c r="B876">
        <v>43.1</v>
      </c>
      <c r="C876">
        <v>38.1</v>
      </c>
      <c r="D876">
        <v>42.1</v>
      </c>
      <c r="E876">
        <v>41.4</v>
      </c>
      <c r="F876">
        <v>39.4</v>
      </c>
      <c r="G876">
        <v>40.4</v>
      </c>
      <c r="H876" t="s">
        <v>32</v>
      </c>
      <c r="I876">
        <v>4</v>
      </c>
      <c r="J876" t="s">
        <v>38</v>
      </c>
      <c r="K876">
        <v>51.2</v>
      </c>
      <c r="L876">
        <v>123</v>
      </c>
      <c r="M876">
        <v>81.7</v>
      </c>
      <c r="N876">
        <v>7.6</v>
      </c>
      <c r="O876">
        <v>1.3</v>
      </c>
      <c r="P876">
        <v>4</v>
      </c>
      <c r="Q876" t="s">
        <v>28</v>
      </c>
      <c r="R876" t="s">
        <v>22</v>
      </c>
    </row>
    <row r="877" spans="1:18" x14ac:dyDescent="0.25">
      <c r="A877" t="s">
        <v>905</v>
      </c>
      <c r="B877">
        <v>47.1</v>
      </c>
      <c r="C877">
        <v>52.9</v>
      </c>
      <c r="D877">
        <v>50.4</v>
      </c>
      <c r="E877">
        <v>48.6</v>
      </c>
      <c r="F877">
        <v>68.8</v>
      </c>
      <c r="G877">
        <v>58.7</v>
      </c>
      <c r="H877" t="s">
        <v>19</v>
      </c>
      <c r="I877">
        <v>4</v>
      </c>
      <c r="J877" t="s">
        <v>24</v>
      </c>
      <c r="K877">
        <v>63.7</v>
      </c>
      <c r="L877">
        <v>153</v>
      </c>
      <c r="M877">
        <v>88.1</v>
      </c>
      <c r="N877">
        <v>6.9</v>
      </c>
      <c r="O877">
        <v>3</v>
      </c>
      <c r="P877">
        <v>1</v>
      </c>
      <c r="Q877" t="s">
        <v>25</v>
      </c>
      <c r="R877" t="s">
        <v>26</v>
      </c>
    </row>
    <row r="878" spans="1:18" x14ac:dyDescent="0.25">
      <c r="A878" t="s">
        <v>906</v>
      </c>
      <c r="B878">
        <v>80.2</v>
      </c>
      <c r="C878">
        <v>73.900000000000006</v>
      </c>
      <c r="D878">
        <v>79.400000000000006</v>
      </c>
      <c r="E878">
        <v>79.400000000000006</v>
      </c>
      <c r="F878">
        <v>86.4</v>
      </c>
      <c r="G878">
        <v>82.9</v>
      </c>
      <c r="H878" t="s">
        <v>19</v>
      </c>
      <c r="I878">
        <v>4</v>
      </c>
      <c r="J878" t="s">
        <v>38</v>
      </c>
      <c r="K878">
        <v>72.8</v>
      </c>
      <c r="L878">
        <v>175</v>
      </c>
      <c r="M878">
        <v>83.9</v>
      </c>
      <c r="N878">
        <v>9.4</v>
      </c>
      <c r="O878">
        <v>1.1000000000000001</v>
      </c>
      <c r="P878">
        <v>3</v>
      </c>
      <c r="Q878" t="s">
        <v>25</v>
      </c>
      <c r="R878" t="s">
        <v>26</v>
      </c>
    </row>
    <row r="879" spans="1:18" x14ac:dyDescent="0.25">
      <c r="A879" t="s">
        <v>907</v>
      </c>
      <c r="B879">
        <v>82.8</v>
      </c>
      <c r="C879">
        <v>80.7</v>
      </c>
      <c r="D879">
        <v>65.8</v>
      </c>
      <c r="E879">
        <v>76.2</v>
      </c>
      <c r="F879">
        <v>78.2</v>
      </c>
      <c r="G879">
        <v>77.2</v>
      </c>
      <c r="H879" t="s">
        <v>19</v>
      </c>
      <c r="I879">
        <v>4</v>
      </c>
      <c r="J879" t="s">
        <v>24</v>
      </c>
      <c r="K879">
        <v>82.6</v>
      </c>
      <c r="L879">
        <v>198</v>
      </c>
      <c r="M879">
        <v>90.7</v>
      </c>
      <c r="N879">
        <v>7.5</v>
      </c>
      <c r="O879">
        <v>2.6</v>
      </c>
      <c r="P879">
        <v>5</v>
      </c>
      <c r="Q879" t="s">
        <v>28</v>
      </c>
      <c r="R879" t="s">
        <v>26</v>
      </c>
    </row>
    <row r="880" spans="1:18" x14ac:dyDescent="0.25">
      <c r="A880" t="s">
        <v>908</v>
      </c>
      <c r="B880">
        <v>36.5</v>
      </c>
      <c r="C880">
        <v>42.3</v>
      </c>
      <c r="D880">
        <v>42.3</v>
      </c>
      <c r="E880">
        <v>41.5</v>
      </c>
      <c r="F880">
        <v>44</v>
      </c>
      <c r="G880">
        <v>42.75</v>
      </c>
      <c r="H880" t="s">
        <v>32</v>
      </c>
      <c r="I880">
        <v>1</v>
      </c>
      <c r="J880" t="s">
        <v>20</v>
      </c>
      <c r="K880">
        <v>64.7</v>
      </c>
      <c r="L880">
        <v>155</v>
      </c>
      <c r="M880">
        <v>66</v>
      </c>
      <c r="N880">
        <v>6.7</v>
      </c>
      <c r="O880">
        <v>3.7</v>
      </c>
      <c r="P880">
        <v>3</v>
      </c>
      <c r="Q880" t="s">
        <v>28</v>
      </c>
      <c r="R880" t="s">
        <v>33</v>
      </c>
    </row>
    <row r="881" spans="1:18" x14ac:dyDescent="0.25">
      <c r="A881" t="s">
        <v>909</v>
      </c>
      <c r="B881">
        <v>57.9</v>
      </c>
      <c r="C881">
        <v>55</v>
      </c>
      <c r="D881">
        <v>63.3</v>
      </c>
      <c r="E881">
        <v>52.2</v>
      </c>
      <c r="F881">
        <v>62.7</v>
      </c>
      <c r="G881">
        <v>57.45</v>
      </c>
      <c r="H881" t="s">
        <v>19</v>
      </c>
      <c r="I881">
        <v>4</v>
      </c>
      <c r="J881" t="s">
        <v>38</v>
      </c>
      <c r="K881">
        <v>61.6</v>
      </c>
      <c r="L881">
        <v>148</v>
      </c>
      <c r="M881">
        <v>88.8</v>
      </c>
      <c r="N881">
        <v>5.8</v>
      </c>
      <c r="O881">
        <v>5.6</v>
      </c>
      <c r="P881">
        <v>5</v>
      </c>
      <c r="Q881" t="s">
        <v>28</v>
      </c>
      <c r="R881" t="s">
        <v>22</v>
      </c>
    </row>
    <row r="882" spans="1:18" x14ac:dyDescent="0.25">
      <c r="A882" t="s">
        <v>910</v>
      </c>
      <c r="B882">
        <v>59.3</v>
      </c>
      <c r="C882">
        <v>46.8</v>
      </c>
      <c r="D882">
        <v>50.9</v>
      </c>
      <c r="E882">
        <v>52.7</v>
      </c>
      <c r="F882">
        <v>46.8</v>
      </c>
      <c r="G882">
        <v>49.75</v>
      </c>
      <c r="H882" t="s">
        <v>32</v>
      </c>
      <c r="I882">
        <v>4</v>
      </c>
      <c r="J882" t="s">
        <v>24</v>
      </c>
      <c r="K882">
        <v>62.5</v>
      </c>
      <c r="L882">
        <v>150</v>
      </c>
      <c r="M882">
        <v>87.3</v>
      </c>
      <c r="N882">
        <v>5.5</v>
      </c>
      <c r="O882">
        <v>5.2</v>
      </c>
      <c r="P882">
        <v>7</v>
      </c>
      <c r="Q882" t="s">
        <v>21</v>
      </c>
      <c r="R882" t="s">
        <v>22</v>
      </c>
    </row>
    <row r="883" spans="1:18" x14ac:dyDescent="0.25">
      <c r="A883" t="s">
        <v>911</v>
      </c>
      <c r="B883">
        <v>76.400000000000006</v>
      </c>
      <c r="C883">
        <v>72.5</v>
      </c>
      <c r="D883">
        <v>73.3</v>
      </c>
      <c r="E883">
        <v>77</v>
      </c>
      <c r="F883">
        <v>87.4</v>
      </c>
      <c r="G883">
        <v>82.2</v>
      </c>
      <c r="H883" t="s">
        <v>19</v>
      </c>
      <c r="I883">
        <v>2</v>
      </c>
      <c r="J883" t="s">
        <v>20</v>
      </c>
      <c r="K883">
        <v>76.2</v>
      </c>
      <c r="L883">
        <v>183</v>
      </c>
      <c r="M883">
        <v>80.3</v>
      </c>
      <c r="N883">
        <v>7</v>
      </c>
      <c r="O883">
        <v>1.6</v>
      </c>
      <c r="P883">
        <v>1</v>
      </c>
      <c r="Q883" t="s">
        <v>25</v>
      </c>
      <c r="R883" t="s">
        <v>22</v>
      </c>
    </row>
    <row r="884" spans="1:18" x14ac:dyDescent="0.25">
      <c r="A884" t="s">
        <v>912</v>
      </c>
      <c r="B884">
        <v>30.5</v>
      </c>
      <c r="C884">
        <v>44.1</v>
      </c>
      <c r="D884">
        <v>43</v>
      </c>
      <c r="E884">
        <v>41.1</v>
      </c>
      <c r="F884">
        <v>54</v>
      </c>
      <c r="G884">
        <v>47.55</v>
      </c>
      <c r="H884" t="s">
        <v>32</v>
      </c>
      <c r="I884">
        <v>4</v>
      </c>
      <c r="J884" t="s">
        <v>38</v>
      </c>
      <c r="K884">
        <v>49.3</v>
      </c>
      <c r="L884">
        <v>118</v>
      </c>
      <c r="M884">
        <v>87.2</v>
      </c>
      <c r="N884">
        <v>7.6</v>
      </c>
      <c r="O884">
        <v>1.5</v>
      </c>
      <c r="P884">
        <v>1</v>
      </c>
      <c r="Q884" t="s">
        <v>25</v>
      </c>
      <c r="R884" t="s">
        <v>22</v>
      </c>
    </row>
    <row r="885" spans="1:18" x14ac:dyDescent="0.25">
      <c r="A885" t="s">
        <v>913</v>
      </c>
      <c r="B885">
        <v>42.7</v>
      </c>
      <c r="C885">
        <v>41</v>
      </c>
      <c r="D885">
        <v>47.3</v>
      </c>
      <c r="E885">
        <v>45.7</v>
      </c>
      <c r="F885">
        <v>56.9</v>
      </c>
      <c r="G885">
        <v>51.3</v>
      </c>
      <c r="H885" t="s">
        <v>19</v>
      </c>
      <c r="I885">
        <v>2</v>
      </c>
      <c r="J885" t="s">
        <v>20</v>
      </c>
      <c r="K885">
        <v>64.5</v>
      </c>
      <c r="L885">
        <v>155</v>
      </c>
      <c r="M885">
        <v>65.5</v>
      </c>
      <c r="N885">
        <v>7.5</v>
      </c>
      <c r="O885">
        <v>3.9</v>
      </c>
      <c r="P885">
        <v>2</v>
      </c>
      <c r="Q885" t="s">
        <v>25</v>
      </c>
      <c r="R885" t="s">
        <v>26</v>
      </c>
    </row>
    <row r="886" spans="1:18" x14ac:dyDescent="0.25">
      <c r="A886" t="s">
        <v>914</v>
      </c>
      <c r="B886">
        <v>90.5</v>
      </c>
      <c r="C886">
        <v>86.3</v>
      </c>
      <c r="D886">
        <v>90</v>
      </c>
      <c r="E886">
        <v>84</v>
      </c>
      <c r="F886">
        <v>100</v>
      </c>
      <c r="G886">
        <v>92</v>
      </c>
      <c r="H886" t="s">
        <v>19</v>
      </c>
      <c r="I886">
        <v>5</v>
      </c>
      <c r="J886" t="s">
        <v>24</v>
      </c>
      <c r="K886">
        <v>80.599999999999994</v>
      </c>
      <c r="L886">
        <v>193</v>
      </c>
      <c r="M886">
        <v>96.1</v>
      </c>
      <c r="N886">
        <v>7.5</v>
      </c>
      <c r="O886">
        <v>3.7</v>
      </c>
      <c r="P886">
        <v>1</v>
      </c>
      <c r="Q886" t="s">
        <v>25</v>
      </c>
      <c r="R886" t="s">
        <v>33</v>
      </c>
    </row>
    <row r="887" spans="1:18" x14ac:dyDescent="0.25">
      <c r="A887" t="s">
        <v>915</v>
      </c>
      <c r="B887">
        <v>49.7</v>
      </c>
      <c r="C887">
        <v>43</v>
      </c>
      <c r="D887">
        <v>43.5</v>
      </c>
      <c r="E887">
        <v>49.8</v>
      </c>
      <c r="F887">
        <v>53.6</v>
      </c>
      <c r="G887">
        <v>51.7</v>
      </c>
      <c r="H887" t="s">
        <v>19</v>
      </c>
      <c r="I887">
        <v>1</v>
      </c>
      <c r="J887" t="s">
        <v>20</v>
      </c>
      <c r="K887">
        <v>69.8</v>
      </c>
      <c r="L887">
        <v>168</v>
      </c>
      <c r="M887">
        <v>61.9</v>
      </c>
      <c r="N887">
        <v>7.4</v>
      </c>
      <c r="O887">
        <v>2.2999999999999998</v>
      </c>
      <c r="P887">
        <v>1</v>
      </c>
      <c r="Q887" t="s">
        <v>25</v>
      </c>
      <c r="R887" t="s">
        <v>26</v>
      </c>
    </row>
    <row r="888" spans="1:18" x14ac:dyDescent="0.25">
      <c r="A888" t="s">
        <v>916</v>
      </c>
      <c r="B888">
        <v>70.900000000000006</v>
      </c>
      <c r="C888">
        <v>80.099999999999994</v>
      </c>
      <c r="D888">
        <v>79.599999999999994</v>
      </c>
      <c r="E888">
        <v>75.900000000000006</v>
      </c>
      <c r="F888">
        <v>83</v>
      </c>
      <c r="G888">
        <v>79.45</v>
      </c>
      <c r="H888" t="s">
        <v>19</v>
      </c>
      <c r="I888">
        <v>3</v>
      </c>
      <c r="J888" t="s">
        <v>38</v>
      </c>
      <c r="K888">
        <v>72.5</v>
      </c>
      <c r="L888">
        <v>174</v>
      </c>
      <c r="M888">
        <v>91.7</v>
      </c>
      <c r="N888">
        <v>6.2</v>
      </c>
      <c r="O888">
        <v>5.5</v>
      </c>
      <c r="P888">
        <v>1</v>
      </c>
      <c r="Q888" t="s">
        <v>25</v>
      </c>
      <c r="R888" t="s">
        <v>26</v>
      </c>
    </row>
    <row r="889" spans="1:18" x14ac:dyDescent="0.25">
      <c r="A889" t="s">
        <v>917</v>
      </c>
      <c r="B889">
        <v>50.6</v>
      </c>
      <c r="C889">
        <v>46.9</v>
      </c>
      <c r="D889">
        <v>56.1</v>
      </c>
      <c r="E889">
        <v>53.1</v>
      </c>
      <c r="F889">
        <v>47.1</v>
      </c>
      <c r="G889">
        <v>50.1</v>
      </c>
      <c r="H889" t="s">
        <v>19</v>
      </c>
      <c r="I889">
        <v>2</v>
      </c>
      <c r="J889" t="s">
        <v>20</v>
      </c>
      <c r="K889">
        <v>63.5</v>
      </c>
      <c r="L889">
        <v>152</v>
      </c>
      <c r="M889">
        <v>61.1</v>
      </c>
      <c r="N889">
        <v>6.4</v>
      </c>
      <c r="O889">
        <v>5.6</v>
      </c>
      <c r="P889">
        <v>5</v>
      </c>
      <c r="Q889" t="s">
        <v>28</v>
      </c>
      <c r="R889" t="s">
        <v>33</v>
      </c>
    </row>
    <row r="890" spans="1:18" x14ac:dyDescent="0.25">
      <c r="A890" t="s">
        <v>918</v>
      </c>
      <c r="B890">
        <v>49.7</v>
      </c>
      <c r="C890">
        <v>48.2</v>
      </c>
      <c r="D890">
        <v>44.8</v>
      </c>
      <c r="E890">
        <v>45.5</v>
      </c>
      <c r="F890">
        <v>63.8</v>
      </c>
      <c r="G890">
        <v>54.65</v>
      </c>
      <c r="H890" t="s">
        <v>19</v>
      </c>
      <c r="I890">
        <v>4</v>
      </c>
      <c r="J890" t="s">
        <v>38</v>
      </c>
      <c r="K890">
        <v>55.2</v>
      </c>
      <c r="L890">
        <v>132</v>
      </c>
      <c r="M890">
        <v>93.4</v>
      </c>
      <c r="N890">
        <v>6.8</v>
      </c>
      <c r="O890">
        <v>3</v>
      </c>
      <c r="P890">
        <v>4</v>
      </c>
      <c r="Q890" t="s">
        <v>28</v>
      </c>
      <c r="R890" t="s">
        <v>33</v>
      </c>
    </row>
    <row r="891" spans="1:18" x14ac:dyDescent="0.25">
      <c r="A891" t="s">
        <v>919</v>
      </c>
      <c r="B891">
        <v>56.1</v>
      </c>
      <c r="C891">
        <v>56.5</v>
      </c>
      <c r="D891">
        <v>55.1</v>
      </c>
      <c r="E891">
        <v>53.4</v>
      </c>
      <c r="F891">
        <v>52</v>
      </c>
      <c r="G891">
        <v>52.7</v>
      </c>
      <c r="H891" t="s">
        <v>19</v>
      </c>
      <c r="I891">
        <v>2</v>
      </c>
      <c r="J891" t="s">
        <v>20</v>
      </c>
      <c r="K891">
        <v>61.7</v>
      </c>
      <c r="L891">
        <v>148</v>
      </c>
      <c r="M891">
        <v>74</v>
      </c>
      <c r="N891">
        <v>7.2</v>
      </c>
      <c r="O891">
        <v>5.5</v>
      </c>
      <c r="P891">
        <v>3</v>
      </c>
      <c r="Q891" t="s">
        <v>25</v>
      </c>
      <c r="R891" t="s">
        <v>26</v>
      </c>
    </row>
    <row r="892" spans="1:18" x14ac:dyDescent="0.25">
      <c r="A892" t="s">
        <v>920</v>
      </c>
      <c r="B892">
        <v>78.5</v>
      </c>
      <c r="C892">
        <v>76.2</v>
      </c>
      <c r="D892">
        <v>84.9</v>
      </c>
      <c r="E892">
        <v>79.7</v>
      </c>
      <c r="F892">
        <v>72.7</v>
      </c>
      <c r="G892">
        <v>76.2</v>
      </c>
      <c r="H892" t="s">
        <v>19</v>
      </c>
      <c r="I892">
        <v>2</v>
      </c>
      <c r="J892" t="s">
        <v>20</v>
      </c>
      <c r="K892">
        <v>74</v>
      </c>
      <c r="L892">
        <v>178</v>
      </c>
      <c r="M892">
        <v>66.3</v>
      </c>
      <c r="N892">
        <v>7</v>
      </c>
      <c r="O892">
        <v>2.9</v>
      </c>
      <c r="P892">
        <v>3</v>
      </c>
      <c r="Q892" t="s">
        <v>28</v>
      </c>
      <c r="R892" t="s">
        <v>22</v>
      </c>
    </row>
    <row r="893" spans="1:18" x14ac:dyDescent="0.25">
      <c r="A893" t="s">
        <v>921</v>
      </c>
      <c r="B893">
        <v>85.2</v>
      </c>
      <c r="C893">
        <v>90</v>
      </c>
      <c r="D893">
        <v>91.4</v>
      </c>
      <c r="E893">
        <v>87.1</v>
      </c>
      <c r="F893">
        <v>84.8</v>
      </c>
      <c r="G893">
        <v>85.95</v>
      </c>
      <c r="H893" t="s">
        <v>19</v>
      </c>
      <c r="I893">
        <v>3</v>
      </c>
      <c r="J893" t="s">
        <v>20</v>
      </c>
      <c r="K893">
        <v>88.5</v>
      </c>
      <c r="L893">
        <v>212</v>
      </c>
      <c r="M893">
        <v>78.400000000000006</v>
      </c>
      <c r="N893">
        <v>6.6</v>
      </c>
      <c r="O893">
        <v>4.7</v>
      </c>
      <c r="P893">
        <v>1</v>
      </c>
      <c r="Q893" t="s">
        <v>25</v>
      </c>
      <c r="R893" t="s">
        <v>33</v>
      </c>
    </row>
    <row r="894" spans="1:18" x14ac:dyDescent="0.25">
      <c r="A894" t="s">
        <v>922</v>
      </c>
      <c r="B894">
        <v>83.7</v>
      </c>
      <c r="C894">
        <v>87</v>
      </c>
      <c r="D894">
        <v>79.900000000000006</v>
      </c>
      <c r="E894">
        <v>85.7</v>
      </c>
      <c r="F894">
        <v>92</v>
      </c>
      <c r="G894">
        <v>88.85</v>
      </c>
      <c r="H894" t="s">
        <v>19</v>
      </c>
      <c r="I894">
        <v>5</v>
      </c>
      <c r="J894" t="s">
        <v>24</v>
      </c>
      <c r="K894">
        <v>79.3</v>
      </c>
      <c r="L894">
        <v>190</v>
      </c>
      <c r="M894">
        <v>91.4</v>
      </c>
      <c r="N894">
        <v>5.9</v>
      </c>
      <c r="O894">
        <v>3.4</v>
      </c>
      <c r="P894">
        <v>3</v>
      </c>
      <c r="Q894" t="s">
        <v>28</v>
      </c>
      <c r="R894" t="s">
        <v>33</v>
      </c>
    </row>
    <row r="895" spans="1:18" x14ac:dyDescent="0.25">
      <c r="A895" t="s">
        <v>923</v>
      </c>
      <c r="B895">
        <v>57.2</v>
      </c>
      <c r="C895">
        <v>59.2</v>
      </c>
      <c r="D895">
        <v>65.900000000000006</v>
      </c>
      <c r="E895">
        <v>61.8</v>
      </c>
      <c r="F895">
        <v>65.3</v>
      </c>
      <c r="G895">
        <v>63.55</v>
      </c>
      <c r="H895" t="s">
        <v>19</v>
      </c>
      <c r="I895">
        <v>2</v>
      </c>
      <c r="J895" t="s">
        <v>20</v>
      </c>
      <c r="K895">
        <v>71.5</v>
      </c>
      <c r="L895">
        <v>172</v>
      </c>
      <c r="M895">
        <v>67.5</v>
      </c>
      <c r="N895">
        <v>7.4</v>
      </c>
      <c r="O895">
        <v>1.6</v>
      </c>
      <c r="P895">
        <v>2</v>
      </c>
      <c r="Q895" t="s">
        <v>25</v>
      </c>
      <c r="R895" t="s">
        <v>26</v>
      </c>
    </row>
    <row r="896" spans="1:18" x14ac:dyDescent="0.25">
      <c r="A896" t="s">
        <v>924</v>
      </c>
      <c r="B896">
        <v>84.8</v>
      </c>
      <c r="C896">
        <v>71.7</v>
      </c>
      <c r="D896">
        <v>76.400000000000006</v>
      </c>
      <c r="E896">
        <v>76.7</v>
      </c>
      <c r="F896">
        <v>66.2</v>
      </c>
      <c r="G896">
        <v>71.45</v>
      </c>
      <c r="H896" t="s">
        <v>19</v>
      </c>
      <c r="I896">
        <v>2</v>
      </c>
      <c r="J896" t="s">
        <v>20</v>
      </c>
      <c r="K896">
        <v>76.5</v>
      </c>
      <c r="L896">
        <v>184</v>
      </c>
      <c r="M896">
        <v>65.599999999999994</v>
      </c>
      <c r="N896">
        <v>6.7</v>
      </c>
      <c r="O896">
        <v>5.6</v>
      </c>
      <c r="P896">
        <v>5</v>
      </c>
      <c r="Q896" t="s">
        <v>28</v>
      </c>
      <c r="R896" t="s">
        <v>22</v>
      </c>
    </row>
    <row r="897" spans="1:18" x14ac:dyDescent="0.25">
      <c r="A897" t="s">
        <v>925</v>
      </c>
      <c r="B897">
        <v>49.7</v>
      </c>
      <c r="C897">
        <v>41.5</v>
      </c>
      <c r="D897">
        <v>51.6</v>
      </c>
      <c r="E897">
        <v>51.3</v>
      </c>
      <c r="F897">
        <v>74.5</v>
      </c>
      <c r="G897">
        <v>62.9</v>
      </c>
      <c r="H897" t="s">
        <v>19</v>
      </c>
      <c r="I897">
        <v>4</v>
      </c>
      <c r="J897" t="s">
        <v>38</v>
      </c>
      <c r="K897">
        <v>59.3</v>
      </c>
      <c r="L897">
        <v>142</v>
      </c>
      <c r="M897">
        <v>93.7</v>
      </c>
      <c r="N897">
        <v>6.5</v>
      </c>
      <c r="O897">
        <v>3.3</v>
      </c>
      <c r="P897">
        <v>1</v>
      </c>
      <c r="Q897" t="s">
        <v>25</v>
      </c>
      <c r="R897" t="s">
        <v>33</v>
      </c>
    </row>
    <row r="898" spans="1:18" x14ac:dyDescent="0.25">
      <c r="A898" t="s">
        <v>926</v>
      </c>
      <c r="B898">
        <v>62.2</v>
      </c>
      <c r="C898">
        <v>57.9</v>
      </c>
      <c r="D898">
        <v>56.5</v>
      </c>
      <c r="E898">
        <v>56.1</v>
      </c>
      <c r="F898">
        <v>58.9</v>
      </c>
      <c r="G898">
        <v>57.5</v>
      </c>
      <c r="H898" t="s">
        <v>19</v>
      </c>
      <c r="I898">
        <v>3</v>
      </c>
      <c r="J898" t="s">
        <v>20</v>
      </c>
      <c r="K898">
        <v>67.2</v>
      </c>
      <c r="L898">
        <v>161</v>
      </c>
      <c r="M898">
        <v>85.5</v>
      </c>
      <c r="N898">
        <v>6.2</v>
      </c>
      <c r="O898">
        <v>4.7</v>
      </c>
      <c r="P898">
        <v>3</v>
      </c>
      <c r="Q898" t="s">
        <v>28</v>
      </c>
      <c r="R898" t="s">
        <v>26</v>
      </c>
    </row>
    <row r="899" spans="1:18" x14ac:dyDescent="0.25">
      <c r="A899" t="s">
        <v>927</v>
      </c>
      <c r="B899">
        <v>96.9</v>
      </c>
      <c r="C899">
        <v>81.5</v>
      </c>
      <c r="D899">
        <v>88.5</v>
      </c>
      <c r="E899">
        <v>89.3</v>
      </c>
      <c r="F899">
        <v>100</v>
      </c>
      <c r="G899">
        <v>94.65</v>
      </c>
      <c r="H899" t="s">
        <v>19</v>
      </c>
      <c r="I899">
        <v>5</v>
      </c>
      <c r="J899" t="s">
        <v>24</v>
      </c>
      <c r="K899">
        <v>87.6</v>
      </c>
      <c r="L899">
        <v>210</v>
      </c>
      <c r="M899">
        <v>92.7</v>
      </c>
      <c r="N899">
        <v>7.5</v>
      </c>
      <c r="O899">
        <v>2.8</v>
      </c>
      <c r="P899">
        <v>1</v>
      </c>
      <c r="Q899" t="s">
        <v>25</v>
      </c>
      <c r="R899" t="s">
        <v>33</v>
      </c>
    </row>
    <row r="900" spans="1:18" x14ac:dyDescent="0.25">
      <c r="A900" t="s">
        <v>928</v>
      </c>
      <c r="B900">
        <v>45.7</v>
      </c>
      <c r="C900">
        <v>41.2</v>
      </c>
      <c r="D900">
        <v>46.7</v>
      </c>
      <c r="E900">
        <v>40.700000000000003</v>
      </c>
      <c r="F900">
        <v>41.2</v>
      </c>
      <c r="G900">
        <v>40.950000000000003</v>
      </c>
      <c r="H900" t="s">
        <v>32</v>
      </c>
      <c r="I900">
        <v>2</v>
      </c>
      <c r="J900" t="s">
        <v>20</v>
      </c>
      <c r="K900">
        <v>54.3</v>
      </c>
      <c r="L900">
        <v>130</v>
      </c>
      <c r="M900">
        <v>56</v>
      </c>
      <c r="N900">
        <v>6.9</v>
      </c>
      <c r="O900">
        <v>1.1000000000000001</v>
      </c>
      <c r="P900">
        <v>5</v>
      </c>
      <c r="Q900" t="s">
        <v>28</v>
      </c>
      <c r="R900" t="s">
        <v>22</v>
      </c>
    </row>
    <row r="901" spans="1:18" x14ac:dyDescent="0.25">
      <c r="A901" t="s">
        <v>929</v>
      </c>
      <c r="B901">
        <v>42.5</v>
      </c>
      <c r="C901">
        <v>43.4</v>
      </c>
      <c r="D901">
        <v>44.3</v>
      </c>
      <c r="E901">
        <v>44.7</v>
      </c>
      <c r="F901">
        <v>56.4</v>
      </c>
      <c r="G901">
        <v>50.55</v>
      </c>
      <c r="H901" t="s">
        <v>19</v>
      </c>
      <c r="I901">
        <v>4</v>
      </c>
      <c r="J901" t="s">
        <v>38</v>
      </c>
      <c r="K901">
        <v>66.400000000000006</v>
      </c>
      <c r="L901">
        <v>159</v>
      </c>
      <c r="M901">
        <v>85.7</v>
      </c>
      <c r="N901">
        <v>8.1</v>
      </c>
      <c r="O901">
        <v>1.5</v>
      </c>
      <c r="P901">
        <v>3</v>
      </c>
      <c r="Q901" t="s">
        <v>25</v>
      </c>
      <c r="R901" t="s">
        <v>26</v>
      </c>
    </row>
    <row r="902" spans="1:18" x14ac:dyDescent="0.25">
      <c r="A902" t="s">
        <v>930</v>
      </c>
      <c r="B902">
        <v>53.5</v>
      </c>
      <c r="C902">
        <v>54.8</v>
      </c>
      <c r="D902">
        <v>45.8</v>
      </c>
      <c r="E902">
        <v>51.4</v>
      </c>
      <c r="F902">
        <v>74.2</v>
      </c>
      <c r="G902">
        <v>62.8</v>
      </c>
      <c r="H902" t="s">
        <v>19</v>
      </c>
      <c r="I902">
        <v>2</v>
      </c>
      <c r="J902" t="s">
        <v>20</v>
      </c>
      <c r="K902">
        <v>61.5</v>
      </c>
      <c r="L902">
        <v>148</v>
      </c>
      <c r="M902">
        <v>70.8</v>
      </c>
      <c r="N902">
        <v>6.7</v>
      </c>
      <c r="O902">
        <v>3.5</v>
      </c>
      <c r="P902">
        <v>1</v>
      </c>
      <c r="Q902" t="s">
        <v>25</v>
      </c>
      <c r="R902" t="s">
        <v>26</v>
      </c>
    </row>
    <row r="903" spans="1:18" x14ac:dyDescent="0.25">
      <c r="A903" t="s">
        <v>931</v>
      </c>
      <c r="B903">
        <v>41.3</v>
      </c>
      <c r="C903">
        <v>39.9</v>
      </c>
      <c r="D903">
        <v>39.5</v>
      </c>
      <c r="E903">
        <v>41.5</v>
      </c>
      <c r="F903">
        <v>37.4</v>
      </c>
      <c r="G903">
        <v>39.450000000000003</v>
      </c>
      <c r="H903" t="s">
        <v>32</v>
      </c>
      <c r="I903">
        <v>2</v>
      </c>
      <c r="J903" t="s">
        <v>20</v>
      </c>
      <c r="K903">
        <v>58.3</v>
      </c>
      <c r="L903">
        <v>140</v>
      </c>
      <c r="M903">
        <v>67.5</v>
      </c>
      <c r="N903">
        <v>6.5</v>
      </c>
      <c r="O903">
        <v>4.4000000000000004</v>
      </c>
      <c r="P903">
        <v>3</v>
      </c>
      <c r="Q903" t="s">
        <v>25</v>
      </c>
      <c r="R903" t="s">
        <v>22</v>
      </c>
    </row>
    <row r="904" spans="1:18" x14ac:dyDescent="0.25">
      <c r="A904" t="s">
        <v>932</v>
      </c>
      <c r="B904">
        <v>45.5</v>
      </c>
      <c r="C904">
        <v>48.3</v>
      </c>
      <c r="D904">
        <v>50.9</v>
      </c>
      <c r="E904">
        <v>50</v>
      </c>
      <c r="F904">
        <v>63.3</v>
      </c>
      <c r="G904">
        <v>56.65</v>
      </c>
      <c r="H904" t="s">
        <v>19</v>
      </c>
      <c r="I904">
        <v>4</v>
      </c>
      <c r="J904" t="s">
        <v>38</v>
      </c>
      <c r="K904">
        <v>67.599999999999994</v>
      </c>
      <c r="L904">
        <v>162</v>
      </c>
      <c r="M904">
        <v>85.7</v>
      </c>
      <c r="N904">
        <v>6.6</v>
      </c>
      <c r="O904">
        <v>2.7</v>
      </c>
      <c r="P904">
        <v>4</v>
      </c>
      <c r="Q904" t="s">
        <v>28</v>
      </c>
      <c r="R904" t="s">
        <v>26</v>
      </c>
    </row>
    <row r="905" spans="1:18" x14ac:dyDescent="0.25">
      <c r="A905" t="s">
        <v>933</v>
      </c>
      <c r="B905">
        <v>73.7</v>
      </c>
      <c r="C905">
        <v>75.7</v>
      </c>
      <c r="D905">
        <v>78.2</v>
      </c>
      <c r="E905">
        <v>72.099999999999994</v>
      </c>
      <c r="F905">
        <v>95.5</v>
      </c>
      <c r="G905">
        <v>83.8</v>
      </c>
      <c r="H905" t="s">
        <v>19</v>
      </c>
      <c r="I905">
        <v>3</v>
      </c>
      <c r="J905" t="s">
        <v>38</v>
      </c>
      <c r="K905">
        <v>72.7</v>
      </c>
      <c r="L905">
        <v>174</v>
      </c>
      <c r="M905">
        <v>84.4</v>
      </c>
      <c r="N905">
        <v>6.8</v>
      </c>
      <c r="O905">
        <v>4.5</v>
      </c>
      <c r="P905">
        <v>1</v>
      </c>
      <c r="Q905" t="s">
        <v>25</v>
      </c>
      <c r="R905" t="s">
        <v>22</v>
      </c>
    </row>
    <row r="906" spans="1:18" x14ac:dyDescent="0.25">
      <c r="A906" t="s">
        <v>934</v>
      </c>
      <c r="B906">
        <v>57.3</v>
      </c>
      <c r="C906">
        <v>64.900000000000006</v>
      </c>
      <c r="D906">
        <v>66.2</v>
      </c>
      <c r="E906">
        <v>63.2</v>
      </c>
      <c r="F906">
        <v>74.3</v>
      </c>
      <c r="G906">
        <v>68.75</v>
      </c>
      <c r="H906" t="s">
        <v>19</v>
      </c>
      <c r="I906">
        <v>4</v>
      </c>
      <c r="J906" t="s">
        <v>38</v>
      </c>
      <c r="K906">
        <v>71.8</v>
      </c>
      <c r="L906">
        <v>172</v>
      </c>
      <c r="M906">
        <v>97.8</v>
      </c>
      <c r="N906">
        <v>7.9</v>
      </c>
      <c r="O906">
        <v>4.5</v>
      </c>
      <c r="P906">
        <v>4</v>
      </c>
      <c r="Q906" t="s">
        <v>28</v>
      </c>
      <c r="R906" t="s">
        <v>26</v>
      </c>
    </row>
    <row r="907" spans="1:18" x14ac:dyDescent="0.25">
      <c r="A907" t="s">
        <v>935</v>
      </c>
      <c r="B907">
        <v>95</v>
      </c>
      <c r="C907">
        <v>90.7</v>
      </c>
      <c r="D907">
        <v>84.8</v>
      </c>
      <c r="E907">
        <v>89.1</v>
      </c>
      <c r="F907">
        <v>87.7</v>
      </c>
      <c r="G907">
        <v>88.4</v>
      </c>
      <c r="H907" t="s">
        <v>19</v>
      </c>
      <c r="I907">
        <v>2</v>
      </c>
      <c r="J907" t="s">
        <v>20</v>
      </c>
      <c r="K907">
        <v>83</v>
      </c>
      <c r="L907">
        <v>199</v>
      </c>
      <c r="M907">
        <v>74.3</v>
      </c>
      <c r="N907">
        <v>7</v>
      </c>
      <c r="O907">
        <v>4.5</v>
      </c>
      <c r="P907">
        <v>2</v>
      </c>
      <c r="Q907" t="s">
        <v>25</v>
      </c>
      <c r="R907" t="s">
        <v>22</v>
      </c>
    </row>
    <row r="908" spans="1:18" x14ac:dyDescent="0.25">
      <c r="A908" t="s">
        <v>936</v>
      </c>
      <c r="B908">
        <v>82.6</v>
      </c>
      <c r="C908">
        <v>87.3</v>
      </c>
      <c r="D908">
        <v>97.4</v>
      </c>
      <c r="E908">
        <v>85</v>
      </c>
      <c r="F908">
        <v>72.900000000000006</v>
      </c>
      <c r="G908">
        <v>78.95</v>
      </c>
      <c r="H908" t="s">
        <v>19</v>
      </c>
      <c r="I908">
        <v>3</v>
      </c>
      <c r="J908" t="s">
        <v>20</v>
      </c>
      <c r="K908">
        <v>83.1</v>
      </c>
      <c r="L908">
        <v>199</v>
      </c>
      <c r="M908">
        <v>76.099999999999994</v>
      </c>
      <c r="N908">
        <v>6.5</v>
      </c>
      <c r="O908">
        <v>3.5</v>
      </c>
      <c r="P908">
        <v>6</v>
      </c>
      <c r="Q908" t="s">
        <v>28</v>
      </c>
      <c r="R908" t="s">
        <v>33</v>
      </c>
    </row>
    <row r="909" spans="1:18" x14ac:dyDescent="0.25">
      <c r="A909" t="s">
        <v>937</v>
      </c>
      <c r="B909">
        <v>59.8</v>
      </c>
      <c r="C909">
        <v>51.1</v>
      </c>
      <c r="D909">
        <v>60.1</v>
      </c>
      <c r="E909">
        <v>58.8</v>
      </c>
      <c r="F909">
        <v>71.599999999999994</v>
      </c>
      <c r="G909">
        <v>65.2</v>
      </c>
      <c r="H909" t="s">
        <v>19</v>
      </c>
      <c r="I909">
        <v>3</v>
      </c>
      <c r="J909" t="s">
        <v>20</v>
      </c>
      <c r="K909">
        <v>57.5</v>
      </c>
      <c r="L909">
        <v>138</v>
      </c>
      <c r="M909">
        <v>73.7</v>
      </c>
      <c r="N909">
        <v>6.9</v>
      </c>
      <c r="O909">
        <v>5.6</v>
      </c>
      <c r="P909">
        <v>1</v>
      </c>
      <c r="Q909" t="s">
        <v>25</v>
      </c>
      <c r="R909" t="s">
        <v>33</v>
      </c>
    </row>
    <row r="910" spans="1:18" x14ac:dyDescent="0.25">
      <c r="A910" t="s">
        <v>938</v>
      </c>
      <c r="B910">
        <v>55.7</v>
      </c>
      <c r="C910">
        <v>58.1</v>
      </c>
      <c r="D910">
        <v>60.6</v>
      </c>
      <c r="E910">
        <v>54.3</v>
      </c>
      <c r="F910">
        <v>76.599999999999994</v>
      </c>
      <c r="G910">
        <v>65.45</v>
      </c>
      <c r="H910" t="s">
        <v>19</v>
      </c>
      <c r="I910">
        <v>5</v>
      </c>
      <c r="J910" t="s">
        <v>24</v>
      </c>
      <c r="K910">
        <v>58</v>
      </c>
      <c r="L910">
        <v>139</v>
      </c>
      <c r="M910">
        <v>98.5</v>
      </c>
      <c r="N910">
        <v>6.8</v>
      </c>
      <c r="O910">
        <v>3.4</v>
      </c>
      <c r="P910">
        <v>2</v>
      </c>
      <c r="Q910" t="s">
        <v>25</v>
      </c>
      <c r="R910" t="s">
        <v>33</v>
      </c>
    </row>
    <row r="911" spans="1:18" x14ac:dyDescent="0.25">
      <c r="A911" t="s">
        <v>939</v>
      </c>
      <c r="B911">
        <v>59.6</v>
      </c>
      <c r="C911">
        <v>63.9</v>
      </c>
      <c r="D911">
        <v>60.1</v>
      </c>
      <c r="E911">
        <v>60.9</v>
      </c>
      <c r="F911">
        <v>56.2</v>
      </c>
      <c r="G911">
        <v>58.55</v>
      </c>
      <c r="H911" t="s">
        <v>19</v>
      </c>
      <c r="I911">
        <v>2</v>
      </c>
      <c r="J911" t="s">
        <v>20</v>
      </c>
      <c r="K911">
        <v>73.5</v>
      </c>
      <c r="L911">
        <v>176</v>
      </c>
      <c r="M911">
        <v>79.900000000000006</v>
      </c>
      <c r="N911">
        <v>7.7</v>
      </c>
      <c r="O911">
        <v>3.3</v>
      </c>
      <c r="P911">
        <v>3</v>
      </c>
      <c r="Q911" t="s">
        <v>28</v>
      </c>
      <c r="R911" t="s">
        <v>26</v>
      </c>
    </row>
    <row r="912" spans="1:18" x14ac:dyDescent="0.25">
      <c r="A912" t="s">
        <v>940</v>
      </c>
      <c r="B912">
        <v>75.400000000000006</v>
      </c>
      <c r="C912">
        <v>67.400000000000006</v>
      </c>
      <c r="D912">
        <v>75.099999999999994</v>
      </c>
      <c r="E912">
        <v>72.5</v>
      </c>
      <c r="F912">
        <v>65.2</v>
      </c>
      <c r="G912">
        <v>68.849999999999994</v>
      </c>
      <c r="H912" t="s">
        <v>19</v>
      </c>
      <c r="I912">
        <v>2</v>
      </c>
      <c r="J912" t="s">
        <v>20</v>
      </c>
      <c r="K912">
        <v>81.400000000000006</v>
      </c>
      <c r="L912">
        <v>195</v>
      </c>
      <c r="M912">
        <v>70.900000000000006</v>
      </c>
      <c r="N912">
        <v>7.8</v>
      </c>
      <c r="O912">
        <v>2</v>
      </c>
      <c r="P912">
        <v>6</v>
      </c>
      <c r="Q912" t="s">
        <v>28</v>
      </c>
      <c r="R912" t="s">
        <v>22</v>
      </c>
    </row>
    <row r="913" spans="1:18" x14ac:dyDescent="0.25">
      <c r="A913" t="s">
        <v>941</v>
      </c>
      <c r="B913">
        <v>52.4</v>
      </c>
      <c r="C913">
        <v>53.5</v>
      </c>
      <c r="D913">
        <v>58.9</v>
      </c>
      <c r="E913">
        <v>54.7</v>
      </c>
      <c r="F913">
        <v>53.8</v>
      </c>
      <c r="G913">
        <v>54.25</v>
      </c>
      <c r="H913" t="s">
        <v>19</v>
      </c>
      <c r="I913">
        <v>2</v>
      </c>
      <c r="J913" t="s">
        <v>20</v>
      </c>
      <c r="K913">
        <v>62.8</v>
      </c>
      <c r="L913">
        <v>151</v>
      </c>
      <c r="M913">
        <v>74.099999999999994</v>
      </c>
      <c r="N913">
        <v>5.8</v>
      </c>
      <c r="O913">
        <v>2.5</v>
      </c>
      <c r="P913">
        <v>4</v>
      </c>
      <c r="Q913" t="s">
        <v>28</v>
      </c>
      <c r="R913" t="s">
        <v>22</v>
      </c>
    </row>
    <row r="914" spans="1:18" x14ac:dyDescent="0.25">
      <c r="A914" t="s">
        <v>942</v>
      </c>
      <c r="B914">
        <v>78.7</v>
      </c>
      <c r="C914">
        <v>74.099999999999994</v>
      </c>
      <c r="D914">
        <v>80.400000000000006</v>
      </c>
      <c r="E914">
        <v>74.3</v>
      </c>
      <c r="F914">
        <v>58.5</v>
      </c>
      <c r="G914">
        <v>66.400000000000006</v>
      </c>
      <c r="H914" t="s">
        <v>19</v>
      </c>
      <c r="I914">
        <v>3</v>
      </c>
      <c r="J914" t="s">
        <v>38</v>
      </c>
      <c r="K914">
        <v>75.900000000000006</v>
      </c>
      <c r="L914">
        <v>182</v>
      </c>
      <c r="M914">
        <v>80.2</v>
      </c>
      <c r="N914">
        <v>7.1</v>
      </c>
      <c r="O914">
        <v>1.2</v>
      </c>
      <c r="P914">
        <v>6</v>
      </c>
      <c r="Q914" t="s">
        <v>21</v>
      </c>
      <c r="R914" t="s">
        <v>33</v>
      </c>
    </row>
    <row r="915" spans="1:18" x14ac:dyDescent="0.25">
      <c r="A915" t="s">
        <v>943</v>
      </c>
      <c r="B915">
        <v>55.8</v>
      </c>
      <c r="C915">
        <v>61.8</v>
      </c>
      <c r="D915">
        <v>67.8</v>
      </c>
      <c r="E915">
        <v>62.5</v>
      </c>
      <c r="F915">
        <v>51.1</v>
      </c>
      <c r="G915">
        <v>56.8</v>
      </c>
      <c r="H915" t="s">
        <v>19</v>
      </c>
      <c r="I915">
        <v>2</v>
      </c>
      <c r="J915" t="s">
        <v>20</v>
      </c>
      <c r="K915">
        <v>72.7</v>
      </c>
      <c r="L915">
        <v>174</v>
      </c>
      <c r="M915">
        <v>75.599999999999994</v>
      </c>
      <c r="N915">
        <v>7.2</v>
      </c>
      <c r="O915">
        <v>4.2</v>
      </c>
      <c r="P915">
        <v>5</v>
      </c>
      <c r="Q915" t="s">
        <v>28</v>
      </c>
      <c r="R915" t="s">
        <v>33</v>
      </c>
    </row>
    <row r="916" spans="1:18" x14ac:dyDescent="0.25">
      <c r="A916" t="s">
        <v>944</v>
      </c>
      <c r="B916">
        <v>71</v>
      </c>
      <c r="C916">
        <v>72</v>
      </c>
      <c r="D916">
        <v>74.7</v>
      </c>
      <c r="E916">
        <v>70.400000000000006</v>
      </c>
      <c r="F916">
        <v>86.1</v>
      </c>
      <c r="G916">
        <v>78.25</v>
      </c>
      <c r="H916" t="s">
        <v>19</v>
      </c>
      <c r="I916">
        <v>5</v>
      </c>
      <c r="J916" t="s">
        <v>24</v>
      </c>
      <c r="K916">
        <v>78.599999999999994</v>
      </c>
      <c r="L916">
        <v>189</v>
      </c>
      <c r="M916">
        <v>106.4</v>
      </c>
      <c r="N916">
        <v>7.4</v>
      </c>
      <c r="O916">
        <v>2.2000000000000002</v>
      </c>
      <c r="P916">
        <v>2</v>
      </c>
      <c r="Q916" t="s">
        <v>25</v>
      </c>
      <c r="R916" t="s">
        <v>33</v>
      </c>
    </row>
    <row r="917" spans="1:18" x14ac:dyDescent="0.25">
      <c r="A917" t="s">
        <v>945</v>
      </c>
      <c r="B917">
        <v>73.7</v>
      </c>
      <c r="C917">
        <v>71.099999999999994</v>
      </c>
      <c r="D917">
        <v>62.4</v>
      </c>
      <c r="E917">
        <v>64</v>
      </c>
      <c r="F917">
        <v>66.099999999999994</v>
      </c>
      <c r="G917">
        <v>65.05</v>
      </c>
      <c r="H917" t="s">
        <v>19</v>
      </c>
      <c r="I917">
        <v>2</v>
      </c>
      <c r="J917" t="s">
        <v>20</v>
      </c>
      <c r="K917">
        <v>61.9</v>
      </c>
      <c r="L917">
        <v>149</v>
      </c>
      <c r="M917">
        <v>72.900000000000006</v>
      </c>
      <c r="N917">
        <v>6.7</v>
      </c>
      <c r="O917">
        <v>2.5</v>
      </c>
      <c r="P917">
        <v>6</v>
      </c>
      <c r="Q917" t="s">
        <v>28</v>
      </c>
      <c r="R917" t="s">
        <v>22</v>
      </c>
    </row>
    <row r="918" spans="1:18" x14ac:dyDescent="0.25">
      <c r="A918" t="s">
        <v>946</v>
      </c>
      <c r="B918">
        <v>51.2</v>
      </c>
      <c r="C918">
        <v>61.6</v>
      </c>
      <c r="D918">
        <v>53.3</v>
      </c>
      <c r="E918">
        <v>56.2</v>
      </c>
      <c r="F918">
        <v>59.5</v>
      </c>
      <c r="G918">
        <v>57.85</v>
      </c>
      <c r="H918" t="s">
        <v>19</v>
      </c>
      <c r="I918">
        <v>5</v>
      </c>
      <c r="J918" t="s">
        <v>24</v>
      </c>
      <c r="K918">
        <v>63.7</v>
      </c>
      <c r="L918">
        <v>153</v>
      </c>
      <c r="M918">
        <v>96.2</v>
      </c>
      <c r="N918">
        <v>6.2</v>
      </c>
      <c r="O918">
        <v>4.9000000000000004</v>
      </c>
      <c r="P918">
        <v>6</v>
      </c>
      <c r="Q918" t="s">
        <v>21</v>
      </c>
      <c r="R918" t="s">
        <v>33</v>
      </c>
    </row>
    <row r="919" spans="1:18" x14ac:dyDescent="0.25">
      <c r="A919" t="s">
        <v>947</v>
      </c>
      <c r="B919">
        <v>88.8</v>
      </c>
      <c r="C919">
        <v>85.6</v>
      </c>
      <c r="D919">
        <v>93.8</v>
      </c>
      <c r="E919">
        <v>92.2</v>
      </c>
      <c r="F919">
        <v>92.1</v>
      </c>
      <c r="G919">
        <v>92.15</v>
      </c>
      <c r="H919" t="s">
        <v>19</v>
      </c>
      <c r="I919">
        <v>1</v>
      </c>
      <c r="J919" t="s">
        <v>20</v>
      </c>
      <c r="K919">
        <v>84.4</v>
      </c>
      <c r="L919">
        <v>203</v>
      </c>
      <c r="M919">
        <v>64.3</v>
      </c>
      <c r="N919">
        <v>6.3</v>
      </c>
      <c r="O919">
        <v>2.6</v>
      </c>
      <c r="P919">
        <v>2</v>
      </c>
      <c r="Q919" t="s">
        <v>25</v>
      </c>
      <c r="R919" t="s">
        <v>26</v>
      </c>
    </row>
    <row r="920" spans="1:18" x14ac:dyDescent="0.25">
      <c r="A920" t="s">
        <v>948</v>
      </c>
      <c r="B920">
        <v>84.6</v>
      </c>
      <c r="C920">
        <v>85.1</v>
      </c>
      <c r="D920">
        <v>86.7</v>
      </c>
      <c r="E920">
        <v>82</v>
      </c>
      <c r="F920">
        <v>83.8</v>
      </c>
      <c r="G920">
        <v>82.9</v>
      </c>
      <c r="H920" t="s">
        <v>19</v>
      </c>
      <c r="I920">
        <v>4</v>
      </c>
      <c r="J920" t="s">
        <v>38</v>
      </c>
      <c r="K920">
        <v>84.5</v>
      </c>
      <c r="L920">
        <v>203</v>
      </c>
      <c r="M920">
        <v>74.3</v>
      </c>
      <c r="N920">
        <v>7.3</v>
      </c>
      <c r="O920">
        <v>2.2000000000000002</v>
      </c>
      <c r="P920">
        <v>6</v>
      </c>
      <c r="Q920" t="s">
        <v>21</v>
      </c>
      <c r="R920" t="s">
        <v>33</v>
      </c>
    </row>
    <row r="921" spans="1:18" x14ac:dyDescent="0.25">
      <c r="A921" t="s">
        <v>949</v>
      </c>
      <c r="B921">
        <v>48.6</v>
      </c>
      <c r="C921">
        <v>54.4</v>
      </c>
      <c r="D921">
        <v>46.6</v>
      </c>
      <c r="E921">
        <v>47.7</v>
      </c>
      <c r="F921">
        <v>62.1</v>
      </c>
      <c r="G921">
        <v>54.9</v>
      </c>
      <c r="H921" t="s">
        <v>19</v>
      </c>
      <c r="I921">
        <v>5</v>
      </c>
      <c r="J921" t="s">
        <v>24</v>
      </c>
      <c r="K921">
        <v>76.3</v>
      </c>
      <c r="L921">
        <v>183</v>
      </c>
      <c r="M921">
        <v>100</v>
      </c>
      <c r="N921">
        <v>8.6</v>
      </c>
      <c r="O921">
        <v>1.8</v>
      </c>
      <c r="P921">
        <v>5</v>
      </c>
      <c r="Q921" t="s">
        <v>28</v>
      </c>
      <c r="R921" t="s">
        <v>33</v>
      </c>
    </row>
    <row r="922" spans="1:18" x14ac:dyDescent="0.25">
      <c r="A922" t="s">
        <v>950</v>
      </c>
      <c r="B922">
        <v>89.5</v>
      </c>
      <c r="C922">
        <v>89.7</v>
      </c>
      <c r="D922">
        <v>93.1</v>
      </c>
      <c r="E922">
        <v>87.8</v>
      </c>
      <c r="F922">
        <v>74.2</v>
      </c>
      <c r="G922">
        <v>81</v>
      </c>
      <c r="H922" t="s">
        <v>19</v>
      </c>
      <c r="I922">
        <v>2</v>
      </c>
      <c r="J922" t="s">
        <v>20</v>
      </c>
      <c r="K922">
        <v>82.7</v>
      </c>
      <c r="L922">
        <v>198</v>
      </c>
      <c r="M922">
        <v>67.400000000000006</v>
      </c>
      <c r="N922">
        <v>6.9</v>
      </c>
      <c r="O922">
        <v>4.9000000000000004</v>
      </c>
      <c r="P922">
        <v>7</v>
      </c>
      <c r="Q922" t="s">
        <v>21</v>
      </c>
      <c r="R922" t="s">
        <v>22</v>
      </c>
    </row>
    <row r="923" spans="1:18" x14ac:dyDescent="0.25">
      <c r="A923" t="s">
        <v>951</v>
      </c>
      <c r="B923">
        <v>69.3</v>
      </c>
      <c r="C923">
        <v>72.3</v>
      </c>
      <c r="D923">
        <v>74.099999999999994</v>
      </c>
      <c r="E923">
        <v>66.8</v>
      </c>
      <c r="F923">
        <v>85.7</v>
      </c>
      <c r="G923">
        <v>76.25</v>
      </c>
      <c r="H923" t="s">
        <v>19</v>
      </c>
      <c r="I923">
        <v>5</v>
      </c>
      <c r="J923" t="s">
        <v>24</v>
      </c>
      <c r="K923">
        <v>66.400000000000006</v>
      </c>
      <c r="L923">
        <v>159</v>
      </c>
      <c r="M923">
        <v>100.9</v>
      </c>
      <c r="N923">
        <v>8.6</v>
      </c>
      <c r="O923">
        <v>1.6</v>
      </c>
      <c r="P923">
        <v>1</v>
      </c>
      <c r="Q923" t="s">
        <v>25</v>
      </c>
      <c r="R923" t="s">
        <v>26</v>
      </c>
    </row>
    <row r="924" spans="1:18" x14ac:dyDescent="0.25">
      <c r="A924" t="s">
        <v>952</v>
      </c>
      <c r="B924">
        <v>92.4</v>
      </c>
      <c r="C924">
        <v>99.3</v>
      </c>
      <c r="D924">
        <v>84.6</v>
      </c>
      <c r="E924">
        <v>89.2</v>
      </c>
      <c r="F924">
        <v>90.3</v>
      </c>
      <c r="G924">
        <v>89.75</v>
      </c>
      <c r="H924" t="s">
        <v>19</v>
      </c>
      <c r="I924">
        <v>3</v>
      </c>
      <c r="J924" t="s">
        <v>20</v>
      </c>
      <c r="K924">
        <v>86.6</v>
      </c>
      <c r="L924">
        <v>208</v>
      </c>
      <c r="M924">
        <v>74.599999999999994</v>
      </c>
      <c r="N924">
        <v>7.5</v>
      </c>
      <c r="O924">
        <v>3.3</v>
      </c>
      <c r="P924">
        <v>3</v>
      </c>
      <c r="Q924" t="s">
        <v>25</v>
      </c>
      <c r="R924" t="s">
        <v>22</v>
      </c>
    </row>
    <row r="925" spans="1:18" x14ac:dyDescent="0.25">
      <c r="A925" t="s">
        <v>953</v>
      </c>
      <c r="B925">
        <v>89.5</v>
      </c>
      <c r="C925">
        <v>89.1</v>
      </c>
      <c r="D925">
        <v>79.8</v>
      </c>
      <c r="E925">
        <v>84</v>
      </c>
      <c r="F925">
        <v>87.6</v>
      </c>
      <c r="G925">
        <v>85.8</v>
      </c>
      <c r="H925" t="s">
        <v>19</v>
      </c>
      <c r="I925">
        <v>5</v>
      </c>
      <c r="J925" t="s">
        <v>24</v>
      </c>
      <c r="K925">
        <v>88.6</v>
      </c>
      <c r="L925">
        <v>213</v>
      </c>
      <c r="M925">
        <v>95.9</v>
      </c>
      <c r="N925">
        <v>7.5</v>
      </c>
      <c r="O925">
        <v>3.5</v>
      </c>
      <c r="P925">
        <v>3</v>
      </c>
      <c r="Q925" t="s">
        <v>25</v>
      </c>
      <c r="R925" t="s">
        <v>26</v>
      </c>
    </row>
    <row r="926" spans="1:18" x14ac:dyDescent="0.25">
      <c r="A926" t="s">
        <v>954</v>
      </c>
      <c r="B926">
        <v>65.400000000000006</v>
      </c>
      <c r="C926">
        <v>64.599999999999994</v>
      </c>
      <c r="D926">
        <v>62.7</v>
      </c>
      <c r="E926">
        <v>63.4</v>
      </c>
      <c r="F926">
        <v>67</v>
      </c>
      <c r="G926">
        <v>65.2</v>
      </c>
      <c r="H926" t="s">
        <v>19</v>
      </c>
      <c r="I926">
        <v>4</v>
      </c>
      <c r="J926" t="s">
        <v>38</v>
      </c>
      <c r="K926">
        <v>72.2</v>
      </c>
      <c r="L926">
        <v>173</v>
      </c>
      <c r="M926">
        <v>85</v>
      </c>
      <c r="N926">
        <v>7.7</v>
      </c>
      <c r="O926">
        <v>4.4000000000000004</v>
      </c>
      <c r="P926">
        <v>3</v>
      </c>
      <c r="Q926" t="s">
        <v>28</v>
      </c>
      <c r="R926" t="s">
        <v>26</v>
      </c>
    </row>
    <row r="927" spans="1:18" x14ac:dyDescent="0.25">
      <c r="A927" t="s">
        <v>955</v>
      </c>
      <c r="B927">
        <v>40</v>
      </c>
      <c r="C927">
        <v>46.5</v>
      </c>
      <c r="D927">
        <v>42.8</v>
      </c>
      <c r="E927">
        <v>41.2</v>
      </c>
      <c r="F927">
        <v>47.8</v>
      </c>
      <c r="G927">
        <v>44.5</v>
      </c>
      <c r="H927" t="s">
        <v>32</v>
      </c>
      <c r="I927">
        <v>2</v>
      </c>
      <c r="J927" t="s">
        <v>20</v>
      </c>
      <c r="K927">
        <v>56.1</v>
      </c>
      <c r="L927">
        <v>135</v>
      </c>
      <c r="M927">
        <v>77.2</v>
      </c>
      <c r="N927">
        <v>6.9</v>
      </c>
      <c r="O927">
        <v>4.2</v>
      </c>
      <c r="P927">
        <v>5</v>
      </c>
      <c r="Q927" t="s">
        <v>28</v>
      </c>
      <c r="R927" t="s">
        <v>33</v>
      </c>
    </row>
    <row r="928" spans="1:18" x14ac:dyDescent="0.25">
      <c r="A928" t="s">
        <v>956</v>
      </c>
      <c r="B928">
        <v>58.1</v>
      </c>
      <c r="C928">
        <v>55.5</v>
      </c>
      <c r="D928">
        <v>52.2</v>
      </c>
      <c r="E928">
        <v>54.8</v>
      </c>
      <c r="F928">
        <v>59.1</v>
      </c>
      <c r="G928">
        <v>56.95</v>
      </c>
      <c r="H928" t="s">
        <v>19</v>
      </c>
      <c r="I928">
        <v>2</v>
      </c>
      <c r="J928" t="s">
        <v>20</v>
      </c>
      <c r="K928">
        <v>72.2</v>
      </c>
      <c r="L928">
        <v>173</v>
      </c>
      <c r="M928">
        <v>65.599999999999994</v>
      </c>
      <c r="N928">
        <v>6.4</v>
      </c>
      <c r="O928">
        <v>5.0999999999999996</v>
      </c>
      <c r="P928">
        <v>5</v>
      </c>
      <c r="Q928" t="s">
        <v>28</v>
      </c>
      <c r="R928" t="s">
        <v>33</v>
      </c>
    </row>
    <row r="929" spans="1:18" x14ac:dyDescent="0.25">
      <c r="A929" t="s">
        <v>957</v>
      </c>
      <c r="B929">
        <v>79.3</v>
      </c>
      <c r="C929">
        <v>69.900000000000006</v>
      </c>
      <c r="D929">
        <v>76.599999999999994</v>
      </c>
      <c r="E929">
        <v>69.8</v>
      </c>
      <c r="F929">
        <v>80.5</v>
      </c>
      <c r="G929">
        <v>75.150000000000006</v>
      </c>
      <c r="H929" t="s">
        <v>19</v>
      </c>
      <c r="I929">
        <v>2</v>
      </c>
      <c r="J929" t="s">
        <v>20</v>
      </c>
      <c r="K929">
        <v>78.2</v>
      </c>
      <c r="L929">
        <v>188</v>
      </c>
      <c r="M929">
        <v>82.6</v>
      </c>
      <c r="N929">
        <v>8.1</v>
      </c>
      <c r="O929">
        <v>1.2</v>
      </c>
      <c r="P929">
        <v>3</v>
      </c>
      <c r="Q929" t="s">
        <v>25</v>
      </c>
      <c r="R929" t="s">
        <v>22</v>
      </c>
    </row>
    <row r="930" spans="1:18" x14ac:dyDescent="0.25">
      <c r="A930" t="s">
        <v>958</v>
      </c>
      <c r="B930">
        <v>74.2</v>
      </c>
      <c r="C930">
        <v>73.099999999999994</v>
      </c>
      <c r="D930">
        <v>77</v>
      </c>
      <c r="E930">
        <v>74.8</v>
      </c>
      <c r="F930">
        <v>78.3</v>
      </c>
      <c r="G930">
        <v>76.55</v>
      </c>
      <c r="H930" t="s">
        <v>19</v>
      </c>
      <c r="I930">
        <v>1</v>
      </c>
      <c r="J930" t="s">
        <v>20</v>
      </c>
      <c r="K930">
        <v>72.3</v>
      </c>
      <c r="L930">
        <v>174</v>
      </c>
      <c r="M930">
        <v>65.900000000000006</v>
      </c>
      <c r="N930">
        <v>8</v>
      </c>
      <c r="O930">
        <v>2.5</v>
      </c>
      <c r="P930">
        <v>1</v>
      </c>
      <c r="Q930" t="s">
        <v>25</v>
      </c>
      <c r="R930" t="s">
        <v>22</v>
      </c>
    </row>
    <row r="931" spans="1:18" x14ac:dyDescent="0.25">
      <c r="A931" t="s">
        <v>959</v>
      </c>
      <c r="B931">
        <v>49.3</v>
      </c>
      <c r="C931">
        <v>62</v>
      </c>
      <c r="D931">
        <v>54.4</v>
      </c>
      <c r="E931">
        <v>54.2</v>
      </c>
      <c r="F931">
        <v>60</v>
      </c>
      <c r="G931">
        <v>57.1</v>
      </c>
      <c r="H931" t="s">
        <v>19</v>
      </c>
      <c r="I931">
        <v>2</v>
      </c>
      <c r="J931" t="s">
        <v>20</v>
      </c>
      <c r="K931">
        <v>69</v>
      </c>
      <c r="L931">
        <v>166</v>
      </c>
      <c r="M931">
        <v>59.4</v>
      </c>
      <c r="N931">
        <v>7</v>
      </c>
      <c r="O931">
        <v>2.4</v>
      </c>
      <c r="P931">
        <v>5</v>
      </c>
      <c r="Q931" t="s">
        <v>28</v>
      </c>
      <c r="R931" t="s">
        <v>22</v>
      </c>
    </row>
    <row r="932" spans="1:18" x14ac:dyDescent="0.25">
      <c r="A932" t="s">
        <v>960</v>
      </c>
      <c r="B932">
        <v>53.2</v>
      </c>
      <c r="C932">
        <v>43.6</v>
      </c>
      <c r="D932">
        <v>40.5</v>
      </c>
      <c r="E932">
        <v>47.7</v>
      </c>
      <c r="F932">
        <v>50</v>
      </c>
      <c r="G932">
        <v>48.85</v>
      </c>
      <c r="H932" t="s">
        <v>32</v>
      </c>
      <c r="I932">
        <v>1</v>
      </c>
      <c r="J932" t="s">
        <v>20</v>
      </c>
      <c r="K932">
        <v>68.8</v>
      </c>
      <c r="L932">
        <v>165</v>
      </c>
      <c r="M932">
        <v>63.5</v>
      </c>
      <c r="N932">
        <v>7.1</v>
      </c>
      <c r="O932">
        <v>1.7</v>
      </c>
      <c r="P932">
        <v>5</v>
      </c>
      <c r="Q932" t="s">
        <v>28</v>
      </c>
      <c r="R932" t="s">
        <v>26</v>
      </c>
    </row>
    <row r="933" spans="1:18" x14ac:dyDescent="0.25">
      <c r="A933" t="s">
        <v>961</v>
      </c>
      <c r="B933">
        <v>85.3</v>
      </c>
      <c r="C933">
        <v>93.6</v>
      </c>
      <c r="D933">
        <v>79.3</v>
      </c>
      <c r="E933">
        <v>85.9</v>
      </c>
      <c r="F933">
        <v>78</v>
      </c>
      <c r="G933">
        <v>81.95</v>
      </c>
      <c r="H933" t="s">
        <v>19</v>
      </c>
      <c r="I933">
        <v>3</v>
      </c>
      <c r="J933" t="s">
        <v>20</v>
      </c>
      <c r="K933">
        <v>88.9</v>
      </c>
      <c r="L933">
        <v>213</v>
      </c>
      <c r="M933">
        <v>73.7</v>
      </c>
      <c r="N933">
        <v>7.3</v>
      </c>
      <c r="O933">
        <v>2.4</v>
      </c>
      <c r="P933">
        <v>7</v>
      </c>
      <c r="Q933" t="s">
        <v>21</v>
      </c>
      <c r="R933" t="s">
        <v>22</v>
      </c>
    </row>
    <row r="934" spans="1:18" x14ac:dyDescent="0.25">
      <c r="A934" t="s">
        <v>962</v>
      </c>
      <c r="B934">
        <v>83.3</v>
      </c>
      <c r="C934">
        <v>96.6</v>
      </c>
      <c r="D934">
        <v>95.5</v>
      </c>
      <c r="E934">
        <v>94.1</v>
      </c>
      <c r="F934">
        <v>100</v>
      </c>
      <c r="G934">
        <v>97.05</v>
      </c>
      <c r="H934" t="s">
        <v>19</v>
      </c>
      <c r="I934">
        <v>4</v>
      </c>
      <c r="J934" t="s">
        <v>24</v>
      </c>
      <c r="K934">
        <v>86.7</v>
      </c>
      <c r="L934">
        <v>208</v>
      </c>
      <c r="M934">
        <v>80.900000000000006</v>
      </c>
      <c r="N934">
        <v>7.7</v>
      </c>
      <c r="O934">
        <v>2.5</v>
      </c>
      <c r="P934">
        <v>2</v>
      </c>
      <c r="Q934" t="s">
        <v>25</v>
      </c>
      <c r="R934" t="s">
        <v>26</v>
      </c>
    </row>
    <row r="935" spans="1:18" x14ac:dyDescent="0.25">
      <c r="A935" t="s">
        <v>963</v>
      </c>
      <c r="B935">
        <v>73.2</v>
      </c>
      <c r="C935">
        <v>61.9</v>
      </c>
      <c r="D935">
        <v>58.2</v>
      </c>
      <c r="E935">
        <v>68.900000000000006</v>
      </c>
      <c r="F935">
        <v>73.7</v>
      </c>
      <c r="G935">
        <v>71.3</v>
      </c>
      <c r="H935" t="s">
        <v>19</v>
      </c>
      <c r="I935">
        <v>2</v>
      </c>
      <c r="J935" t="s">
        <v>20</v>
      </c>
      <c r="K935">
        <v>72.7</v>
      </c>
      <c r="L935">
        <v>174</v>
      </c>
      <c r="M935">
        <v>73.7</v>
      </c>
      <c r="N935">
        <v>7.3</v>
      </c>
      <c r="O935">
        <v>3.6</v>
      </c>
      <c r="P935">
        <v>1</v>
      </c>
      <c r="Q935" t="s">
        <v>25</v>
      </c>
      <c r="R935" t="s">
        <v>26</v>
      </c>
    </row>
    <row r="936" spans="1:18" x14ac:dyDescent="0.25">
      <c r="A936" t="s">
        <v>964</v>
      </c>
      <c r="B936">
        <v>46.8</v>
      </c>
      <c r="C936">
        <v>51.3</v>
      </c>
      <c r="D936">
        <v>54.5</v>
      </c>
      <c r="E936">
        <v>49.4</v>
      </c>
      <c r="F936">
        <v>60.7</v>
      </c>
      <c r="G936">
        <v>55.05</v>
      </c>
      <c r="H936" t="s">
        <v>19</v>
      </c>
      <c r="I936">
        <v>2</v>
      </c>
      <c r="J936" t="s">
        <v>20</v>
      </c>
      <c r="K936">
        <v>70.900000000000006</v>
      </c>
      <c r="L936">
        <v>170</v>
      </c>
      <c r="M936">
        <v>68.7</v>
      </c>
      <c r="N936">
        <v>6</v>
      </c>
      <c r="O936">
        <v>4.3</v>
      </c>
      <c r="P936">
        <v>4</v>
      </c>
      <c r="Q936" t="s">
        <v>28</v>
      </c>
      <c r="R936" t="s">
        <v>26</v>
      </c>
    </row>
    <row r="937" spans="1:18" x14ac:dyDescent="0.25">
      <c r="A937" t="s">
        <v>965</v>
      </c>
      <c r="B937">
        <v>54.5</v>
      </c>
      <c r="C937">
        <v>44.5</v>
      </c>
      <c r="D937">
        <v>54.2</v>
      </c>
      <c r="E937">
        <v>55</v>
      </c>
      <c r="F937">
        <v>61.3</v>
      </c>
      <c r="G937">
        <v>58.15</v>
      </c>
      <c r="H937" t="s">
        <v>19</v>
      </c>
      <c r="I937">
        <v>4</v>
      </c>
      <c r="J937" t="s">
        <v>38</v>
      </c>
      <c r="K937">
        <v>61.4</v>
      </c>
      <c r="L937">
        <v>147</v>
      </c>
      <c r="M937">
        <v>88.4</v>
      </c>
      <c r="N937">
        <v>8.1</v>
      </c>
      <c r="O937">
        <v>2.9</v>
      </c>
      <c r="P937">
        <v>2</v>
      </c>
      <c r="Q937" t="s">
        <v>25</v>
      </c>
      <c r="R937" t="s">
        <v>26</v>
      </c>
    </row>
    <row r="938" spans="1:18" x14ac:dyDescent="0.25">
      <c r="A938" t="s">
        <v>966</v>
      </c>
      <c r="B938">
        <v>42.7</v>
      </c>
      <c r="C938">
        <v>44.1</v>
      </c>
      <c r="D938">
        <v>57.2</v>
      </c>
      <c r="E938">
        <v>41</v>
      </c>
      <c r="F938">
        <v>45</v>
      </c>
      <c r="G938">
        <v>43</v>
      </c>
      <c r="H938" t="s">
        <v>32</v>
      </c>
      <c r="I938">
        <v>2</v>
      </c>
      <c r="J938" t="s">
        <v>20</v>
      </c>
      <c r="K938">
        <v>62.7</v>
      </c>
      <c r="L938">
        <v>150</v>
      </c>
      <c r="M938">
        <v>68.7</v>
      </c>
      <c r="N938">
        <v>6.3</v>
      </c>
      <c r="O938">
        <v>4.5999999999999996</v>
      </c>
      <c r="P938">
        <v>3</v>
      </c>
      <c r="Q938" t="s">
        <v>28</v>
      </c>
      <c r="R938" t="s">
        <v>26</v>
      </c>
    </row>
    <row r="939" spans="1:18" x14ac:dyDescent="0.25">
      <c r="A939" t="s">
        <v>967</v>
      </c>
      <c r="B939">
        <v>91.2</v>
      </c>
      <c r="C939">
        <v>94.7</v>
      </c>
      <c r="D939">
        <v>101.8</v>
      </c>
      <c r="E939">
        <v>90.3</v>
      </c>
      <c r="F939">
        <v>74.2</v>
      </c>
      <c r="G939">
        <v>82.25</v>
      </c>
      <c r="H939" t="s">
        <v>19</v>
      </c>
      <c r="I939">
        <v>1</v>
      </c>
      <c r="J939" t="s">
        <v>20</v>
      </c>
      <c r="K939">
        <v>78.3</v>
      </c>
      <c r="L939">
        <v>188</v>
      </c>
      <c r="M939">
        <v>57</v>
      </c>
      <c r="N939">
        <v>7.1</v>
      </c>
      <c r="O939">
        <v>2.7</v>
      </c>
      <c r="P939">
        <v>6</v>
      </c>
      <c r="Q939" t="s">
        <v>28</v>
      </c>
      <c r="R939" t="s">
        <v>33</v>
      </c>
    </row>
    <row r="940" spans="1:18" x14ac:dyDescent="0.25">
      <c r="A940" t="s">
        <v>968</v>
      </c>
      <c r="B940">
        <v>50</v>
      </c>
      <c r="C940">
        <v>43.5</v>
      </c>
      <c r="D940">
        <v>45.6</v>
      </c>
      <c r="E940">
        <v>46.5</v>
      </c>
      <c r="F940">
        <v>50.2</v>
      </c>
      <c r="G940">
        <v>48.35</v>
      </c>
      <c r="H940" t="s">
        <v>32</v>
      </c>
      <c r="I940">
        <v>2</v>
      </c>
      <c r="J940" t="s">
        <v>20</v>
      </c>
      <c r="K940">
        <v>68.599999999999994</v>
      </c>
      <c r="L940">
        <v>165</v>
      </c>
      <c r="M940">
        <v>64.3</v>
      </c>
      <c r="N940">
        <v>6.8</v>
      </c>
      <c r="O940">
        <v>2.5</v>
      </c>
      <c r="P940">
        <v>4</v>
      </c>
      <c r="Q940" t="s">
        <v>28</v>
      </c>
      <c r="R940" t="s">
        <v>26</v>
      </c>
    </row>
    <row r="941" spans="1:18" x14ac:dyDescent="0.25">
      <c r="A941" t="s">
        <v>969</v>
      </c>
      <c r="B941">
        <v>69.5</v>
      </c>
      <c r="C941">
        <v>72.3</v>
      </c>
      <c r="D941">
        <v>71.2</v>
      </c>
      <c r="E941">
        <v>71.7</v>
      </c>
      <c r="F941">
        <v>91.5</v>
      </c>
      <c r="G941">
        <v>81.599999999999994</v>
      </c>
      <c r="H941" t="s">
        <v>19</v>
      </c>
      <c r="I941">
        <v>5</v>
      </c>
      <c r="J941" t="s">
        <v>24</v>
      </c>
      <c r="K941">
        <v>74.599999999999994</v>
      </c>
      <c r="L941">
        <v>179</v>
      </c>
      <c r="M941">
        <v>101.2</v>
      </c>
      <c r="N941">
        <v>8.1999999999999993</v>
      </c>
      <c r="O941">
        <v>3.7</v>
      </c>
      <c r="P941">
        <v>3</v>
      </c>
      <c r="Q941" t="s">
        <v>25</v>
      </c>
      <c r="R941" t="s">
        <v>26</v>
      </c>
    </row>
    <row r="942" spans="1:18" x14ac:dyDescent="0.25">
      <c r="A942" t="s">
        <v>970</v>
      </c>
      <c r="B942">
        <v>57.6</v>
      </c>
      <c r="C942">
        <v>64.8</v>
      </c>
      <c r="D942">
        <v>60.1</v>
      </c>
      <c r="E942">
        <v>55.1</v>
      </c>
      <c r="F942">
        <v>67.8</v>
      </c>
      <c r="G942">
        <v>61.45</v>
      </c>
      <c r="H942" t="s">
        <v>19</v>
      </c>
      <c r="I942">
        <v>4</v>
      </c>
      <c r="J942" t="s">
        <v>24</v>
      </c>
      <c r="K942">
        <v>73.900000000000006</v>
      </c>
      <c r="L942">
        <v>177</v>
      </c>
      <c r="M942">
        <v>87.6</v>
      </c>
      <c r="N942">
        <v>7.8</v>
      </c>
      <c r="O942">
        <v>1.1000000000000001</v>
      </c>
      <c r="P942">
        <v>2</v>
      </c>
      <c r="Q942" t="s">
        <v>25</v>
      </c>
      <c r="R942" t="s">
        <v>33</v>
      </c>
    </row>
    <row r="943" spans="1:18" x14ac:dyDescent="0.25">
      <c r="A943" t="s">
        <v>971</v>
      </c>
      <c r="B943">
        <v>69.2</v>
      </c>
      <c r="C943">
        <v>68</v>
      </c>
      <c r="D943">
        <v>79</v>
      </c>
      <c r="E943">
        <v>70.5</v>
      </c>
      <c r="F943">
        <v>77.099999999999994</v>
      </c>
      <c r="G943">
        <v>73.8</v>
      </c>
      <c r="H943" t="s">
        <v>19</v>
      </c>
      <c r="I943">
        <v>2</v>
      </c>
      <c r="J943" t="s">
        <v>20</v>
      </c>
      <c r="K943">
        <v>77.7</v>
      </c>
      <c r="L943">
        <v>186</v>
      </c>
      <c r="M943">
        <v>61.5</v>
      </c>
      <c r="N943">
        <v>7.2</v>
      </c>
      <c r="O943">
        <v>1.4</v>
      </c>
      <c r="P943">
        <v>3</v>
      </c>
      <c r="Q943" t="s">
        <v>28</v>
      </c>
      <c r="R943" t="s">
        <v>33</v>
      </c>
    </row>
    <row r="944" spans="1:18" x14ac:dyDescent="0.25">
      <c r="A944" t="s">
        <v>972</v>
      </c>
      <c r="B944">
        <v>79.5</v>
      </c>
      <c r="C944">
        <v>70.5</v>
      </c>
      <c r="D944">
        <v>67.599999999999994</v>
      </c>
      <c r="E944">
        <v>75.8</v>
      </c>
      <c r="F944">
        <v>76.599999999999994</v>
      </c>
      <c r="G944">
        <v>76.2</v>
      </c>
      <c r="H944" t="s">
        <v>19</v>
      </c>
      <c r="I944">
        <v>4</v>
      </c>
      <c r="J944" t="s">
        <v>38</v>
      </c>
      <c r="K944">
        <v>71.8</v>
      </c>
      <c r="L944">
        <v>172</v>
      </c>
      <c r="M944">
        <v>85.1</v>
      </c>
      <c r="N944">
        <v>7.5</v>
      </c>
      <c r="O944">
        <v>3.1</v>
      </c>
      <c r="P944">
        <v>1</v>
      </c>
      <c r="Q944" t="s">
        <v>25</v>
      </c>
      <c r="R944" t="s">
        <v>33</v>
      </c>
    </row>
    <row r="945" spans="1:18" x14ac:dyDescent="0.25">
      <c r="A945" t="s">
        <v>973</v>
      </c>
      <c r="B945">
        <v>88.7</v>
      </c>
      <c r="C945">
        <v>93</v>
      </c>
      <c r="D945">
        <v>76.7</v>
      </c>
      <c r="E945">
        <v>85.6</v>
      </c>
      <c r="F945">
        <v>99.4</v>
      </c>
      <c r="G945">
        <v>92.5</v>
      </c>
      <c r="H945" t="s">
        <v>19</v>
      </c>
      <c r="I945">
        <v>3</v>
      </c>
      <c r="J945" t="s">
        <v>38</v>
      </c>
      <c r="K945">
        <v>89.9</v>
      </c>
      <c r="L945">
        <v>216</v>
      </c>
      <c r="M945">
        <v>80.8</v>
      </c>
      <c r="N945">
        <v>6.7</v>
      </c>
      <c r="O945">
        <v>5.7</v>
      </c>
      <c r="P945">
        <v>2</v>
      </c>
      <c r="Q945" t="s">
        <v>25</v>
      </c>
      <c r="R945" t="s">
        <v>22</v>
      </c>
    </row>
    <row r="946" spans="1:18" x14ac:dyDescent="0.25">
      <c r="A946" t="s">
        <v>974</v>
      </c>
      <c r="B946">
        <v>46.7</v>
      </c>
      <c r="C946">
        <v>61.2</v>
      </c>
      <c r="D946">
        <v>48.2</v>
      </c>
      <c r="E946">
        <v>51.4</v>
      </c>
      <c r="F946">
        <v>60.3</v>
      </c>
      <c r="G946">
        <v>55.85</v>
      </c>
      <c r="H946" t="s">
        <v>19</v>
      </c>
      <c r="I946">
        <v>4</v>
      </c>
      <c r="J946" t="s">
        <v>38</v>
      </c>
      <c r="K946">
        <v>73.400000000000006</v>
      </c>
      <c r="L946">
        <v>176</v>
      </c>
      <c r="M946">
        <v>87.8</v>
      </c>
      <c r="N946">
        <v>6.5</v>
      </c>
      <c r="O946">
        <v>4.5999999999999996</v>
      </c>
      <c r="P946">
        <v>1</v>
      </c>
      <c r="Q946" t="s">
        <v>25</v>
      </c>
      <c r="R946" t="s">
        <v>22</v>
      </c>
    </row>
    <row r="947" spans="1:18" x14ac:dyDescent="0.25">
      <c r="A947" t="s">
        <v>975</v>
      </c>
      <c r="B947">
        <v>46</v>
      </c>
      <c r="C947">
        <v>40.6</v>
      </c>
      <c r="D947">
        <v>43.5</v>
      </c>
      <c r="E947">
        <v>40.6</v>
      </c>
      <c r="F947">
        <v>63.2</v>
      </c>
      <c r="G947">
        <v>51.9</v>
      </c>
      <c r="H947" t="s">
        <v>19</v>
      </c>
      <c r="I947">
        <v>4</v>
      </c>
      <c r="J947" t="s">
        <v>38</v>
      </c>
      <c r="K947">
        <v>64.7</v>
      </c>
      <c r="L947">
        <v>155</v>
      </c>
      <c r="M947">
        <v>90.9</v>
      </c>
      <c r="N947">
        <v>8</v>
      </c>
      <c r="O947">
        <v>1.4</v>
      </c>
      <c r="P947">
        <v>2</v>
      </c>
      <c r="Q947" t="s">
        <v>25</v>
      </c>
      <c r="R947" t="s">
        <v>26</v>
      </c>
    </row>
    <row r="948" spans="1:18" x14ac:dyDescent="0.25">
      <c r="A948" t="s">
        <v>976</v>
      </c>
      <c r="B948">
        <v>44.8</v>
      </c>
      <c r="C948">
        <v>52.6</v>
      </c>
      <c r="D948">
        <v>50</v>
      </c>
      <c r="E948">
        <v>47.5</v>
      </c>
      <c r="F948">
        <v>67.400000000000006</v>
      </c>
      <c r="G948">
        <v>57.45</v>
      </c>
      <c r="H948" t="s">
        <v>19</v>
      </c>
      <c r="I948">
        <v>4</v>
      </c>
      <c r="J948" t="s">
        <v>38</v>
      </c>
      <c r="K948">
        <v>60</v>
      </c>
      <c r="L948">
        <v>144</v>
      </c>
      <c r="M948">
        <v>88.3</v>
      </c>
      <c r="N948">
        <v>6</v>
      </c>
      <c r="O948">
        <v>5.2</v>
      </c>
      <c r="P948">
        <v>1</v>
      </c>
      <c r="Q948" t="s">
        <v>25</v>
      </c>
      <c r="R948" t="s">
        <v>26</v>
      </c>
    </row>
    <row r="949" spans="1:18" x14ac:dyDescent="0.25">
      <c r="A949" t="s">
        <v>977</v>
      </c>
      <c r="B949">
        <v>93.5</v>
      </c>
      <c r="C949">
        <v>96.2</v>
      </c>
      <c r="D949">
        <v>94.8</v>
      </c>
      <c r="E949">
        <v>89.5</v>
      </c>
      <c r="F949">
        <v>86.6</v>
      </c>
      <c r="G949">
        <v>88.05</v>
      </c>
      <c r="H949" t="s">
        <v>19</v>
      </c>
      <c r="I949">
        <v>2</v>
      </c>
      <c r="J949" t="s">
        <v>20</v>
      </c>
      <c r="K949">
        <v>83.2</v>
      </c>
      <c r="L949">
        <v>200</v>
      </c>
      <c r="M949">
        <v>71.900000000000006</v>
      </c>
      <c r="N949">
        <v>6.4</v>
      </c>
      <c r="O949">
        <v>4.7</v>
      </c>
      <c r="P949">
        <v>4</v>
      </c>
      <c r="Q949" t="s">
        <v>28</v>
      </c>
      <c r="R949" t="s">
        <v>26</v>
      </c>
    </row>
    <row r="950" spans="1:18" x14ac:dyDescent="0.25">
      <c r="A950" t="s">
        <v>978</v>
      </c>
      <c r="B950">
        <v>89.9</v>
      </c>
      <c r="C950">
        <v>84.4</v>
      </c>
      <c r="D950">
        <v>82.1</v>
      </c>
      <c r="E950">
        <v>88.1</v>
      </c>
      <c r="F950">
        <v>79.5</v>
      </c>
      <c r="G950">
        <v>83.8</v>
      </c>
      <c r="H950" t="s">
        <v>19</v>
      </c>
      <c r="I950">
        <v>1</v>
      </c>
      <c r="J950" t="s">
        <v>20</v>
      </c>
      <c r="K950">
        <v>84.8</v>
      </c>
      <c r="L950">
        <v>204</v>
      </c>
      <c r="M950">
        <v>67.5</v>
      </c>
      <c r="N950">
        <v>5.8</v>
      </c>
      <c r="O950">
        <v>4.0999999999999996</v>
      </c>
      <c r="P950">
        <v>1</v>
      </c>
      <c r="Q950" t="s">
        <v>25</v>
      </c>
      <c r="R950" t="s">
        <v>26</v>
      </c>
    </row>
    <row r="951" spans="1:18" x14ac:dyDescent="0.25">
      <c r="A951" t="s">
        <v>979</v>
      </c>
      <c r="B951">
        <v>82</v>
      </c>
      <c r="C951">
        <v>70.400000000000006</v>
      </c>
      <c r="D951">
        <v>61.3</v>
      </c>
      <c r="E951">
        <v>72.900000000000006</v>
      </c>
      <c r="F951">
        <v>73.8</v>
      </c>
      <c r="G951">
        <v>73.349999999999994</v>
      </c>
      <c r="H951" t="s">
        <v>19</v>
      </c>
      <c r="I951">
        <v>3</v>
      </c>
      <c r="J951" t="s">
        <v>20</v>
      </c>
      <c r="K951">
        <v>72.900000000000006</v>
      </c>
      <c r="L951">
        <v>175</v>
      </c>
      <c r="M951">
        <v>70.599999999999994</v>
      </c>
      <c r="N951">
        <v>5.8</v>
      </c>
      <c r="O951">
        <v>5.0999999999999996</v>
      </c>
      <c r="P951">
        <v>1</v>
      </c>
      <c r="Q951" t="s">
        <v>25</v>
      </c>
      <c r="R951" t="s">
        <v>33</v>
      </c>
    </row>
    <row r="952" spans="1:18" x14ac:dyDescent="0.25">
      <c r="A952" t="s">
        <v>980</v>
      </c>
      <c r="B952">
        <v>71.900000000000006</v>
      </c>
      <c r="C952">
        <v>79.2</v>
      </c>
      <c r="D952">
        <v>77.3</v>
      </c>
      <c r="E952">
        <v>73</v>
      </c>
      <c r="F952">
        <v>88.5</v>
      </c>
      <c r="G952">
        <v>80.75</v>
      </c>
      <c r="H952" t="s">
        <v>19</v>
      </c>
      <c r="I952">
        <v>5</v>
      </c>
      <c r="J952" t="s">
        <v>24</v>
      </c>
      <c r="K952">
        <v>85</v>
      </c>
      <c r="L952">
        <v>204</v>
      </c>
      <c r="M952">
        <v>98.2</v>
      </c>
      <c r="N952">
        <v>8</v>
      </c>
      <c r="O952">
        <v>3</v>
      </c>
      <c r="P952">
        <v>4</v>
      </c>
      <c r="Q952" t="s">
        <v>28</v>
      </c>
      <c r="R952" t="s">
        <v>22</v>
      </c>
    </row>
    <row r="953" spans="1:18" x14ac:dyDescent="0.25">
      <c r="A953" t="s">
        <v>981</v>
      </c>
      <c r="B953">
        <v>74.8</v>
      </c>
      <c r="C953">
        <v>85</v>
      </c>
      <c r="D953">
        <v>72.400000000000006</v>
      </c>
      <c r="E953">
        <v>76.599999999999994</v>
      </c>
      <c r="F953">
        <v>91</v>
      </c>
      <c r="G953">
        <v>83.8</v>
      </c>
      <c r="H953" t="s">
        <v>19</v>
      </c>
      <c r="I953">
        <v>3</v>
      </c>
      <c r="J953" t="s">
        <v>38</v>
      </c>
      <c r="K953">
        <v>79</v>
      </c>
      <c r="L953">
        <v>190</v>
      </c>
      <c r="M953">
        <v>85.9</v>
      </c>
      <c r="N953">
        <v>8.1999999999999993</v>
      </c>
      <c r="O953">
        <v>2.1</v>
      </c>
      <c r="P953">
        <v>1</v>
      </c>
      <c r="Q953" t="s">
        <v>25</v>
      </c>
      <c r="R953" t="s">
        <v>33</v>
      </c>
    </row>
    <row r="954" spans="1:18" x14ac:dyDescent="0.25">
      <c r="A954" t="s">
        <v>982</v>
      </c>
      <c r="B954">
        <v>49.5</v>
      </c>
      <c r="C954">
        <v>52.5</v>
      </c>
      <c r="D954">
        <v>39.6</v>
      </c>
      <c r="E954">
        <v>49.6</v>
      </c>
      <c r="F954">
        <v>70.099999999999994</v>
      </c>
      <c r="G954">
        <v>59.85</v>
      </c>
      <c r="H954" t="s">
        <v>19</v>
      </c>
      <c r="I954">
        <v>4</v>
      </c>
      <c r="J954" t="s">
        <v>24</v>
      </c>
      <c r="K954">
        <v>51.3</v>
      </c>
      <c r="L954">
        <v>123</v>
      </c>
      <c r="M954">
        <v>87.1</v>
      </c>
      <c r="N954">
        <v>7</v>
      </c>
      <c r="O954">
        <v>3.6</v>
      </c>
      <c r="P954">
        <v>1</v>
      </c>
      <c r="Q954" t="s">
        <v>25</v>
      </c>
      <c r="R954" t="s">
        <v>22</v>
      </c>
    </row>
    <row r="955" spans="1:18" x14ac:dyDescent="0.25">
      <c r="A955" t="s">
        <v>983</v>
      </c>
      <c r="B955">
        <v>88.8</v>
      </c>
      <c r="C955">
        <v>85.9</v>
      </c>
      <c r="D955">
        <v>91</v>
      </c>
      <c r="E955">
        <v>90.3</v>
      </c>
      <c r="F955">
        <v>92.4</v>
      </c>
      <c r="G955">
        <v>91.35</v>
      </c>
      <c r="H955" t="s">
        <v>19</v>
      </c>
      <c r="I955">
        <v>5</v>
      </c>
      <c r="J955" t="s">
        <v>24</v>
      </c>
      <c r="K955">
        <v>86.8</v>
      </c>
      <c r="L955">
        <v>208</v>
      </c>
      <c r="M955">
        <v>92.2</v>
      </c>
      <c r="N955">
        <v>7.7</v>
      </c>
      <c r="O955">
        <v>3.7</v>
      </c>
      <c r="P955">
        <v>6</v>
      </c>
      <c r="Q955" t="s">
        <v>21</v>
      </c>
      <c r="R955" t="s">
        <v>33</v>
      </c>
    </row>
    <row r="956" spans="1:18" x14ac:dyDescent="0.25">
      <c r="A956" t="s">
        <v>984</v>
      </c>
      <c r="B956">
        <v>67</v>
      </c>
      <c r="C956">
        <v>73</v>
      </c>
      <c r="D956">
        <v>67</v>
      </c>
      <c r="E956">
        <v>63</v>
      </c>
      <c r="F956">
        <v>59.5</v>
      </c>
      <c r="G956">
        <v>61.25</v>
      </c>
      <c r="H956" t="s">
        <v>19</v>
      </c>
      <c r="I956">
        <v>2</v>
      </c>
      <c r="J956" t="s">
        <v>20</v>
      </c>
      <c r="K956">
        <v>69.8</v>
      </c>
      <c r="L956">
        <v>168</v>
      </c>
      <c r="M956">
        <v>62.8</v>
      </c>
      <c r="N956">
        <v>6.8</v>
      </c>
      <c r="O956">
        <v>3.7</v>
      </c>
      <c r="P956">
        <v>2</v>
      </c>
      <c r="Q956" t="s">
        <v>25</v>
      </c>
      <c r="R956" t="s">
        <v>26</v>
      </c>
    </row>
    <row r="957" spans="1:18" x14ac:dyDescent="0.25">
      <c r="A957" t="s">
        <v>985</v>
      </c>
      <c r="B957">
        <v>53</v>
      </c>
      <c r="C957">
        <v>58.4</v>
      </c>
      <c r="D957">
        <v>60.5</v>
      </c>
      <c r="E957">
        <v>61.1</v>
      </c>
      <c r="F957">
        <v>54.4</v>
      </c>
      <c r="G957">
        <v>57.75</v>
      </c>
      <c r="H957" t="s">
        <v>19</v>
      </c>
      <c r="I957">
        <v>4</v>
      </c>
      <c r="J957" t="s">
        <v>38</v>
      </c>
      <c r="K957">
        <v>70.2</v>
      </c>
      <c r="L957">
        <v>168</v>
      </c>
      <c r="M957">
        <v>84.4</v>
      </c>
      <c r="N957">
        <v>6.7</v>
      </c>
      <c r="O957">
        <v>3.8</v>
      </c>
      <c r="P957">
        <v>5</v>
      </c>
      <c r="Q957" t="s">
        <v>28</v>
      </c>
      <c r="R957" t="s">
        <v>22</v>
      </c>
    </row>
    <row r="958" spans="1:18" x14ac:dyDescent="0.25">
      <c r="A958" t="s">
        <v>986</v>
      </c>
      <c r="B958">
        <v>63.3</v>
      </c>
      <c r="C958">
        <v>66.900000000000006</v>
      </c>
      <c r="D958">
        <v>66.3</v>
      </c>
      <c r="E958">
        <v>68.5</v>
      </c>
      <c r="F958">
        <v>75.400000000000006</v>
      </c>
      <c r="G958">
        <v>71.95</v>
      </c>
      <c r="H958" t="s">
        <v>19</v>
      </c>
      <c r="I958">
        <v>4</v>
      </c>
      <c r="J958" t="s">
        <v>38</v>
      </c>
      <c r="K958">
        <v>72.400000000000006</v>
      </c>
      <c r="L958">
        <v>174</v>
      </c>
      <c r="M958">
        <v>90.7</v>
      </c>
      <c r="N958">
        <v>6.3</v>
      </c>
      <c r="O958">
        <v>5.7</v>
      </c>
      <c r="P958">
        <v>1</v>
      </c>
      <c r="Q958" t="s">
        <v>25</v>
      </c>
      <c r="R958" t="s">
        <v>26</v>
      </c>
    </row>
    <row r="959" spans="1:18" x14ac:dyDescent="0.25">
      <c r="A959" t="s">
        <v>987</v>
      </c>
      <c r="B959">
        <v>37.200000000000003</v>
      </c>
      <c r="C959">
        <v>44.3</v>
      </c>
      <c r="D959">
        <v>41.8</v>
      </c>
      <c r="E959">
        <v>42.6</v>
      </c>
      <c r="F959">
        <v>60.5</v>
      </c>
      <c r="G959">
        <v>51.55</v>
      </c>
      <c r="H959" t="s">
        <v>19</v>
      </c>
      <c r="I959">
        <v>5</v>
      </c>
      <c r="J959" t="s">
        <v>24</v>
      </c>
      <c r="K959">
        <v>65.3</v>
      </c>
      <c r="L959">
        <v>157</v>
      </c>
      <c r="M959">
        <v>96.1</v>
      </c>
      <c r="N959">
        <v>6.3</v>
      </c>
      <c r="O959">
        <v>5.5</v>
      </c>
      <c r="P959">
        <v>2</v>
      </c>
      <c r="Q959" t="s">
        <v>25</v>
      </c>
      <c r="R959" t="s">
        <v>22</v>
      </c>
    </row>
    <row r="960" spans="1:18" x14ac:dyDescent="0.25">
      <c r="A960" t="s">
        <v>988</v>
      </c>
      <c r="B960">
        <v>53.9</v>
      </c>
      <c r="C960">
        <v>56.9</v>
      </c>
      <c r="D960">
        <v>47.3</v>
      </c>
      <c r="E960">
        <v>49.1</v>
      </c>
      <c r="F960">
        <v>58.7</v>
      </c>
      <c r="G960">
        <v>53.9</v>
      </c>
      <c r="H960" t="s">
        <v>19</v>
      </c>
      <c r="I960">
        <v>5</v>
      </c>
      <c r="J960" t="s">
        <v>24</v>
      </c>
      <c r="K960">
        <v>70.2</v>
      </c>
      <c r="L960">
        <v>168</v>
      </c>
      <c r="M960">
        <v>95.1</v>
      </c>
      <c r="N960">
        <v>6.3</v>
      </c>
      <c r="O960">
        <v>5.4</v>
      </c>
      <c r="P960">
        <v>4</v>
      </c>
      <c r="Q960" t="s">
        <v>28</v>
      </c>
      <c r="R960" t="s">
        <v>22</v>
      </c>
    </row>
    <row r="961" spans="1:18" x14ac:dyDescent="0.25">
      <c r="A961" t="s">
        <v>989</v>
      </c>
      <c r="B961">
        <v>89.1</v>
      </c>
      <c r="C961">
        <v>84.9</v>
      </c>
      <c r="D961">
        <v>73.900000000000006</v>
      </c>
      <c r="E961">
        <v>80.599999999999994</v>
      </c>
      <c r="F961">
        <v>79.599999999999994</v>
      </c>
      <c r="G961">
        <v>80.099999999999994</v>
      </c>
      <c r="H961" t="s">
        <v>19</v>
      </c>
      <c r="I961">
        <v>4</v>
      </c>
      <c r="J961" t="s">
        <v>38</v>
      </c>
      <c r="K961">
        <v>81.7</v>
      </c>
      <c r="L961">
        <v>196</v>
      </c>
      <c r="M961">
        <v>84.4</v>
      </c>
      <c r="N961">
        <v>7.1</v>
      </c>
      <c r="O961">
        <v>5</v>
      </c>
      <c r="P961">
        <v>6</v>
      </c>
      <c r="Q961" t="s">
        <v>28</v>
      </c>
      <c r="R961" t="s">
        <v>26</v>
      </c>
    </row>
    <row r="962" spans="1:18" x14ac:dyDescent="0.25">
      <c r="A962" t="s">
        <v>990</v>
      </c>
      <c r="B962">
        <v>44</v>
      </c>
      <c r="C962">
        <v>46.6</v>
      </c>
      <c r="D962">
        <v>41</v>
      </c>
      <c r="E962">
        <v>44.6</v>
      </c>
      <c r="F962">
        <v>57.6</v>
      </c>
      <c r="G962">
        <v>51.1</v>
      </c>
      <c r="H962" t="s">
        <v>19</v>
      </c>
      <c r="I962">
        <v>2</v>
      </c>
      <c r="J962" t="s">
        <v>20</v>
      </c>
      <c r="K962">
        <v>60.6</v>
      </c>
      <c r="L962">
        <v>145</v>
      </c>
      <c r="M962">
        <v>75.3</v>
      </c>
      <c r="N962">
        <v>6.4</v>
      </c>
      <c r="O962">
        <v>5.7</v>
      </c>
      <c r="P962">
        <v>2</v>
      </c>
      <c r="Q962" t="s">
        <v>25</v>
      </c>
      <c r="R962" t="s">
        <v>26</v>
      </c>
    </row>
    <row r="963" spans="1:18" x14ac:dyDescent="0.25">
      <c r="A963" t="s">
        <v>991</v>
      </c>
      <c r="B963">
        <v>72.3</v>
      </c>
      <c r="C963">
        <v>75.5</v>
      </c>
      <c r="D963">
        <v>75.8</v>
      </c>
      <c r="E963">
        <v>73.2</v>
      </c>
      <c r="F963">
        <v>78.2</v>
      </c>
      <c r="G963">
        <v>75.7</v>
      </c>
      <c r="H963" t="s">
        <v>19</v>
      </c>
      <c r="I963">
        <v>4</v>
      </c>
      <c r="J963" t="s">
        <v>24</v>
      </c>
      <c r="K963">
        <v>76.400000000000006</v>
      </c>
      <c r="L963">
        <v>183</v>
      </c>
      <c r="M963">
        <v>92</v>
      </c>
      <c r="N963">
        <v>7.9</v>
      </c>
      <c r="O963">
        <v>1.5</v>
      </c>
      <c r="P963">
        <v>4</v>
      </c>
      <c r="Q963" t="s">
        <v>28</v>
      </c>
      <c r="R963" t="s">
        <v>26</v>
      </c>
    </row>
    <row r="964" spans="1:18" x14ac:dyDescent="0.25">
      <c r="A964" t="s">
        <v>992</v>
      </c>
      <c r="B964">
        <v>53.8</v>
      </c>
      <c r="C964">
        <v>53.7</v>
      </c>
      <c r="D964">
        <v>55.1</v>
      </c>
      <c r="E964">
        <v>53.5</v>
      </c>
      <c r="F964">
        <v>45.6</v>
      </c>
      <c r="G964">
        <v>49.55</v>
      </c>
      <c r="H964" t="s">
        <v>32</v>
      </c>
      <c r="I964">
        <v>1</v>
      </c>
      <c r="J964" t="s">
        <v>20</v>
      </c>
      <c r="K964">
        <v>66.8</v>
      </c>
      <c r="L964">
        <v>160</v>
      </c>
      <c r="M964">
        <v>63.4</v>
      </c>
      <c r="N964">
        <v>7.8</v>
      </c>
      <c r="O964">
        <v>2.2999999999999998</v>
      </c>
      <c r="P964">
        <v>6</v>
      </c>
      <c r="Q964" t="s">
        <v>28</v>
      </c>
      <c r="R964" t="s">
        <v>33</v>
      </c>
    </row>
    <row r="965" spans="1:18" x14ac:dyDescent="0.25">
      <c r="A965" t="s">
        <v>993</v>
      </c>
      <c r="B965">
        <v>67.2</v>
      </c>
      <c r="C965">
        <v>64.2</v>
      </c>
      <c r="D965">
        <v>62.3</v>
      </c>
      <c r="E965">
        <v>61.4</v>
      </c>
      <c r="F965">
        <v>77.8</v>
      </c>
      <c r="G965">
        <v>69.599999999999994</v>
      </c>
      <c r="H965" t="s">
        <v>19</v>
      </c>
      <c r="I965">
        <v>4</v>
      </c>
      <c r="J965" t="s">
        <v>24</v>
      </c>
      <c r="K965">
        <v>66.7</v>
      </c>
      <c r="L965">
        <v>160</v>
      </c>
      <c r="M965">
        <v>90.7</v>
      </c>
      <c r="N965">
        <v>7.2</v>
      </c>
      <c r="O965">
        <v>3.5</v>
      </c>
      <c r="P965">
        <v>2</v>
      </c>
      <c r="Q965" t="s">
        <v>25</v>
      </c>
      <c r="R965" t="s">
        <v>22</v>
      </c>
    </row>
    <row r="966" spans="1:18" x14ac:dyDescent="0.25">
      <c r="A966" t="s">
        <v>994</v>
      </c>
      <c r="B966">
        <v>51.2</v>
      </c>
      <c r="C966">
        <v>43.2</v>
      </c>
      <c r="D966">
        <v>50.9</v>
      </c>
      <c r="E966">
        <v>55.9</v>
      </c>
      <c r="F966">
        <v>64</v>
      </c>
      <c r="G966">
        <v>59.95</v>
      </c>
      <c r="H966" t="s">
        <v>19</v>
      </c>
      <c r="I966">
        <v>5</v>
      </c>
      <c r="J966" t="s">
        <v>24</v>
      </c>
      <c r="K966">
        <v>70.8</v>
      </c>
      <c r="L966">
        <v>170</v>
      </c>
      <c r="M966">
        <v>102.9</v>
      </c>
      <c r="N966">
        <v>5.9</v>
      </c>
      <c r="O966">
        <v>5.2</v>
      </c>
      <c r="P966">
        <v>3</v>
      </c>
      <c r="Q966" t="s">
        <v>25</v>
      </c>
      <c r="R966" t="s">
        <v>22</v>
      </c>
    </row>
    <row r="967" spans="1:18" x14ac:dyDescent="0.25">
      <c r="A967" t="s">
        <v>995</v>
      </c>
      <c r="B967">
        <v>60.8</v>
      </c>
      <c r="C967">
        <v>58.1</v>
      </c>
      <c r="D967">
        <v>58.7</v>
      </c>
      <c r="E967">
        <v>59.6</v>
      </c>
      <c r="F967">
        <v>59</v>
      </c>
      <c r="G967">
        <v>59.3</v>
      </c>
      <c r="H967" t="s">
        <v>19</v>
      </c>
      <c r="I967">
        <v>3</v>
      </c>
      <c r="J967" t="s">
        <v>20</v>
      </c>
      <c r="K967">
        <v>72.099999999999994</v>
      </c>
      <c r="L967">
        <v>173</v>
      </c>
      <c r="M967">
        <v>71.599999999999994</v>
      </c>
      <c r="N967">
        <v>6.3</v>
      </c>
      <c r="O967">
        <v>3.5</v>
      </c>
      <c r="P967">
        <v>5</v>
      </c>
      <c r="Q967" t="s">
        <v>28</v>
      </c>
      <c r="R967" t="s">
        <v>22</v>
      </c>
    </row>
    <row r="968" spans="1:18" x14ac:dyDescent="0.25">
      <c r="A968" t="s">
        <v>996</v>
      </c>
      <c r="B968">
        <v>84.4</v>
      </c>
      <c r="C968">
        <v>80.8</v>
      </c>
      <c r="D968">
        <v>68.7</v>
      </c>
      <c r="E968">
        <v>79.5</v>
      </c>
      <c r="F968">
        <v>84.4</v>
      </c>
      <c r="G968">
        <v>81.95</v>
      </c>
      <c r="H968" t="s">
        <v>19</v>
      </c>
      <c r="I968">
        <v>4</v>
      </c>
      <c r="J968" t="s">
        <v>38</v>
      </c>
      <c r="K968">
        <v>87.5</v>
      </c>
      <c r="L968">
        <v>210</v>
      </c>
      <c r="M968">
        <v>91.8</v>
      </c>
      <c r="N968">
        <v>6.7</v>
      </c>
      <c r="O968">
        <v>4.7</v>
      </c>
      <c r="P968">
        <v>3</v>
      </c>
      <c r="Q968" t="s">
        <v>25</v>
      </c>
      <c r="R968" t="s">
        <v>26</v>
      </c>
    </row>
    <row r="969" spans="1:18" x14ac:dyDescent="0.25">
      <c r="A969" t="s">
        <v>997</v>
      </c>
      <c r="B969">
        <v>58.8</v>
      </c>
      <c r="C969">
        <v>50.6</v>
      </c>
      <c r="D969">
        <v>57.2</v>
      </c>
      <c r="E969">
        <v>56.3</v>
      </c>
      <c r="F969">
        <v>71.2</v>
      </c>
      <c r="G969">
        <v>63.75</v>
      </c>
      <c r="H969" t="s">
        <v>19</v>
      </c>
      <c r="I969">
        <v>3</v>
      </c>
      <c r="J969" t="s">
        <v>20</v>
      </c>
      <c r="K969">
        <v>74.400000000000006</v>
      </c>
      <c r="L969">
        <v>179</v>
      </c>
      <c r="M969">
        <v>78.3</v>
      </c>
      <c r="N969">
        <v>7.4</v>
      </c>
      <c r="O969">
        <v>1.7</v>
      </c>
      <c r="P969">
        <v>1</v>
      </c>
      <c r="Q969" t="s">
        <v>25</v>
      </c>
      <c r="R969" t="s">
        <v>22</v>
      </c>
    </row>
    <row r="970" spans="1:18" x14ac:dyDescent="0.25">
      <c r="A970" t="s">
        <v>998</v>
      </c>
      <c r="B970">
        <v>72.099999999999994</v>
      </c>
      <c r="C970">
        <v>73.099999999999994</v>
      </c>
      <c r="D970">
        <v>78.3</v>
      </c>
      <c r="E970">
        <v>71.2</v>
      </c>
      <c r="F970">
        <v>71.8</v>
      </c>
      <c r="G970">
        <v>71.5</v>
      </c>
      <c r="H970" t="s">
        <v>19</v>
      </c>
      <c r="I970">
        <v>3</v>
      </c>
      <c r="J970" t="s">
        <v>20</v>
      </c>
      <c r="K970">
        <v>72.099999999999994</v>
      </c>
      <c r="L970">
        <v>173</v>
      </c>
      <c r="M970">
        <v>76.7</v>
      </c>
      <c r="N970">
        <v>7.4</v>
      </c>
      <c r="O970">
        <v>2.2999999999999998</v>
      </c>
      <c r="P970">
        <v>3</v>
      </c>
      <c r="Q970" t="s">
        <v>28</v>
      </c>
      <c r="R970" t="s">
        <v>22</v>
      </c>
    </row>
    <row r="971" spans="1:18" x14ac:dyDescent="0.25">
      <c r="A971" t="s">
        <v>999</v>
      </c>
      <c r="B971">
        <v>71.2</v>
      </c>
      <c r="C971">
        <v>65.2</v>
      </c>
      <c r="D971">
        <v>58.8</v>
      </c>
      <c r="E971">
        <v>66.2</v>
      </c>
      <c r="F971">
        <v>77.400000000000006</v>
      </c>
      <c r="G971">
        <v>71.8</v>
      </c>
      <c r="H971" t="s">
        <v>19</v>
      </c>
      <c r="I971">
        <v>2</v>
      </c>
      <c r="J971" t="s">
        <v>20</v>
      </c>
      <c r="K971">
        <v>77.2</v>
      </c>
      <c r="L971">
        <v>185</v>
      </c>
      <c r="M971">
        <v>84.9</v>
      </c>
      <c r="N971">
        <v>6.6</v>
      </c>
      <c r="O971">
        <v>4.7</v>
      </c>
      <c r="P971">
        <v>1</v>
      </c>
      <c r="Q971" t="s">
        <v>25</v>
      </c>
      <c r="R971" t="s">
        <v>26</v>
      </c>
    </row>
    <row r="972" spans="1:18" x14ac:dyDescent="0.25">
      <c r="A972" t="s">
        <v>1000</v>
      </c>
      <c r="B972">
        <v>63</v>
      </c>
      <c r="C972">
        <v>85.3</v>
      </c>
      <c r="D972">
        <v>73.599999999999994</v>
      </c>
      <c r="E972">
        <v>76.5</v>
      </c>
      <c r="F972">
        <v>75.8</v>
      </c>
      <c r="G972">
        <v>76.150000000000006</v>
      </c>
      <c r="H972" t="s">
        <v>19</v>
      </c>
      <c r="I972">
        <v>4</v>
      </c>
      <c r="J972" t="s">
        <v>38</v>
      </c>
      <c r="K972">
        <v>73.5</v>
      </c>
      <c r="L972">
        <v>176</v>
      </c>
      <c r="M972">
        <v>85.2</v>
      </c>
      <c r="N972">
        <v>8.6999999999999993</v>
      </c>
      <c r="O972">
        <v>1.8</v>
      </c>
      <c r="P972">
        <v>5</v>
      </c>
      <c r="Q972" t="s">
        <v>28</v>
      </c>
      <c r="R972" t="s">
        <v>26</v>
      </c>
    </row>
    <row r="973" spans="1:18" x14ac:dyDescent="0.25">
      <c r="A973" t="s">
        <v>1001</v>
      </c>
      <c r="B973">
        <v>94.9</v>
      </c>
      <c r="C973">
        <v>99.4</v>
      </c>
      <c r="D973">
        <v>93.2</v>
      </c>
      <c r="E973">
        <v>91.5</v>
      </c>
      <c r="F973">
        <v>92.7</v>
      </c>
      <c r="G973">
        <v>92.1</v>
      </c>
      <c r="H973" t="s">
        <v>19</v>
      </c>
      <c r="I973">
        <v>5</v>
      </c>
      <c r="J973" t="s">
        <v>24</v>
      </c>
      <c r="K973">
        <v>89.2</v>
      </c>
      <c r="L973">
        <v>214</v>
      </c>
      <c r="M973">
        <v>95.7</v>
      </c>
      <c r="N973">
        <v>6.5</v>
      </c>
      <c r="O973">
        <v>2.8</v>
      </c>
      <c r="P973">
        <v>3</v>
      </c>
      <c r="Q973" t="s">
        <v>28</v>
      </c>
      <c r="R973" t="s">
        <v>22</v>
      </c>
    </row>
    <row r="974" spans="1:18" x14ac:dyDescent="0.25">
      <c r="A974" t="s">
        <v>1002</v>
      </c>
      <c r="B974">
        <v>77</v>
      </c>
      <c r="C974">
        <v>78</v>
      </c>
      <c r="D974">
        <v>86.6</v>
      </c>
      <c r="E974">
        <v>80.3</v>
      </c>
      <c r="F974">
        <v>86.4</v>
      </c>
      <c r="G974">
        <v>83.35</v>
      </c>
      <c r="H974" t="s">
        <v>19</v>
      </c>
      <c r="I974">
        <v>5</v>
      </c>
      <c r="J974" t="s">
        <v>24</v>
      </c>
      <c r="K974">
        <v>77.599999999999994</v>
      </c>
      <c r="L974">
        <v>186</v>
      </c>
      <c r="M974">
        <v>91.5</v>
      </c>
      <c r="N974">
        <v>6.3</v>
      </c>
      <c r="O974">
        <v>2.2999999999999998</v>
      </c>
      <c r="P974">
        <v>4</v>
      </c>
      <c r="Q974" t="s">
        <v>28</v>
      </c>
      <c r="R974" t="s">
        <v>33</v>
      </c>
    </row>
    <row r="975" spans="1:18" x14ac:dyDescent="0.25">
      <c r="A975" t="s">
        <v>1003</v>
      </c>
      <c r="B975">
        <v>42.7</v>
      </c>
      <c r="C975">
        <v>51.1</v>
      </c>
      <c r="D975">
        <v>49.6</v>
      </c>
      <c r="E975">
        <v>51.8</v>
      </c>
      <c r="F975">
        <v>53.8</v>
      </c>
      <c r="G975">
        <v>52.8</v>
      </c>
      <c r="H975" t="s">
        <v>19</v>
      </c>
      <c r="I975">
        <v>2</v>
      </c>
      <c r="J975" t="s">
        <v>20</v>
      </c>
      <c r="K975">
        <v>60.8</v>
      </c>
      <c r="L975">
        <v>146</v>
      </c>
      <c r="M975">
        <v>71.8</v>
      </c>
      <c r="N975">
        <v>7.3</v>
      </c>
      <c r="O975">
        <v>2.7</v>
      </c>
      <c r="P975">
        <v>1</v>
      </c>
      <c r="Q975" t="s">
        <v>25</v>
      </c>
      <c r="R975" t="s">
        <v>26</v>
      </c>
    </row>
    <row r="976" spans="1:18" x14ac:dyDescent="0.25">
      <c r="A976" t="s">
        <v>1004</v>
      </c>
      <c r="B976">
        <v>44.3</v>
      </c>
      <c r="C976">
        <v>41.3</v>
      </c>
      <c r="D976">
        <v>38.299999999999997</v>
      </c>
      <c r="E976">
        <v>41.7</v>
      </c>
      <c r="F976">
        <v>61.2</v>
      </c>
      <c r="G976">
        <v>51.45</v>
      </c>
      <c r="H976" t="s">
        <v>19</v>
      </c>
      <c r="I976">
        <v>5</v>
      </c>
      <c r="J976" t="s">
        <v>24</v>
      </c>
      <c r="K976">
        <v>62.3</v>
      </c>
      <c r="L976">
        <v>150</v>
      </c>
      <c r="M976">
        <v>103.4</v>
      </c>
      <c r="N976">
        <v>6.4</v>
      </c>
      <c r="O976">
        <v>4.5</v>
      </c>
      <c r="P976">
        <v>1</v>
      </c>
      <c r="Q976" t="s">
        <v>25</v>
      </c>
      <c r="R976" t="s">
        <v>33</v>
      </c>
    </row>
    <row r="977" spans="1:18" x14ac:dyDescent="0.25">
      <c r="A977" t="s">
        <v>1005</v>
      </c>
      <c r="B977">
        <v>61.3</v>
      </c>
      <c r="C977">
        <v>52.2</v>
      </c>
      <c r="D977">
        <v>44.6</v>
      </c>
      <c r="E977">
        <v>54.4</v>
      </c>
      <c r="F977">
        <v>62.9</v>
      </c>
      <c r="G977">
        <v>58.65</v>
      </c>
      <c r="H977" t="s">
        <v>19</v>
      </c>
      <c r="I977">
        <v>4</v>
      </c>
      <c r="J977" t="s">
        <v>38</v>
      </c>
      <c r="K977">
        <v>53.8</v>
      </c>
      <c r="L977">
        <v>129</v>
      </c>
      <c r="M977">
        <v>97.8</v>
      </c>
      <c r="N977">
        <v>7.3</v>
      </c>
      <c r="O977">
        <v>2.8</v>
      </c>
      <c r="P977">
        <v>2</v>
      </c>
      <c r="Q977" t="s">
        <v>25</v>
      </c>
      <c r="R977" t="s">
        <v>33</v>
      </c>
    </row>
    <row r="978" spans="1:18" x14ac:dyDescent="0.25">
      <c r="A978" t="s">
        <v>1006</v>
      </c>
      <c r="B978">
        <v>72</v>
      </c>
      <c r="C978">
        <v>73.7</v>
      </c>
      <c r="D978">
        <v>73.2</v>
      </c>
      <c r="E978">
        <v>72.7</v>
      </c>
      <c r="F978">
        <v>68.099999999999994</v>
      </c>
      <c r="G978">
        <v>70.400000000000006</v>
      </c>
      <c r="H978" t="s">
        <v>19</v>
      </c>
      <c r="I978">
        <v>2</v>
      </c>
      <c r="J978" t="s">
        <v>20</v>
      </c>
      <c r="K978">
        <v>67.599999999999994</v>
      </c>
      <c r="L978">
        <v>162</v>
      </c>
      <c r="M978">
        <v>76.2</v>
      </c>
      <c r="N978">
        <v>7.2</v>
      </c>
      <c r="O978">
        <v>3.8</v>
      </c>
      <c r="P978">
        <v>1</v>
      </c>
      <c r="Q978" t="s">
        <v>25</v>
      </c>
      <c r="R978" t="s">
        <v>33</v>
      </c>
    </row>
    <row r="979" spans="1:18" x14ac:dyDescent="0.25">
      <c r="A979" t="s">
        <v>1007</v>
      </c>
      <c r="B979">
        <v>47.6</v>
      </c>
      <c r="C979">
        <v>39</v>
      </c>
      <c r="D979">
        <v>53</v>
      </c>
      <c r="E979">
        <v>42.8</v>
      </c>
      <c r="F979">
        <v>51.6</v>
      </c>
      <c r="G979">
        <v>47.2</v>
      </c>
      <c r="H979" t="s">
        <v>32</v>
      </c>
      <c r="I979">
        <v>1</v>
      </c>
      <c r="J979" t="s">
        <v>20</v>
      </c>
      <c r="K979">
        <v>60.5</v>
      </c>
      <c r="L979">
        <v>145</v>
      </c>
      <c r="M979">
        <v>61.7</v>
      </c>
      <c r="N979">
        <v>8.1999999999999993</v>
      </c>
      <c r="O979">
        <v>1.5</v>
      </c>
      <c r="P979">
        <v>4</v>
      </c>
      <c r="Q979" t="s">
        <v>28</v>
      </c>
      <c r="R979" t="s">
        <v>33</v>
      </c>
    </row>
    <row r="980" spans="1:18" x14ac:dyDescent="0.25">
      <c r="A980" t="s">
        <v>1008</v>
      </c>
      <c r="B980">
        <v>75.400000000000006</v>
      </c>
      <c r="C980">
        <v>61.6</v>
      </c>
      <c r="D980">
        <v>68.7</v>
      </c>
      <c r="E980">
        <v>67.3</v>
      </c>
      <c r="F980">
        <v>74</v>
      </c>
      <c r="G980">
        <v>70.650000000000006</v>
      </c>
      <c r="H980" t="s">
        <v>19</v>
      </c>
      <c r="I980">
        <v>2</v>
      </c>
      <c r="J980" t="s">
        <v>20</v>
      </c>
      <c r="K980">
        <v>74.099999999999994</v>
      </c>
      <c r="L980">
        <v>178</v>
      </c>
      <c r="M980">
        <v>68.900000000000006</v>
      </c>
      <c r="N980">
        <v>5.7</v>
      </c>
      <c r="O980">
        <v>5</v>
      </c>
      <c r="P980">
        <v>3</v>
      </c>
      <c r="Q980" t="s">
        <v>25</v>
      </c>
      <c r="R980" t="s">
        <v>26</v>
      </c>
    </row>
    <row r="981" spans="1:18" x14ac:dyDescent="0.25">
      <c r="A981" t="s">
        <v>1009</v>
      </c>
      <c r="B981">
        <v>79.400000000000006</v>
      </c>
      <c r="C981">
        <v>75.900000000000006</v>
      </c>
      <c r="D981">
        <v>72.7</v>
      </c>
      <c r="E981">
        <v>72.8</v>
      </c>
      <c r="F981">
        <v>79.5</v>
      </c>
      <c r="G981">
        <v>76.150000000000006</v>
      </c>
      <c r="H981" t="s">
        <v>19</v>
      </c>
      <c r="I981">
        <v>5</v>
      </c>
      <c r="J981" t="s">
        <v>24</v>
      </c>
      <c r="K981">
        <v>74.599999999999994</v>
      </c>
      <c r="L981">
        <v>179</v>
      </c>
      <c r="M981">
        <v>88.1</v>
      </c>
      <c r="N981">
        <v>6.9</v>
      </c>
      <c r="O981">
        <v>2.8</v>
      </c>
      <c r="P981">
        <v>4</v>
      </c>
      <c r="Q981" t="s">
        <v>28</v>
      </c>
      <c r="R981" t="s">
        <v>22</v>
      </c>
    </row>
    <row r="982" spans="1:18" x14ac:dyDescent="0.25">
      <c r="A982" t="s">
        <v>1010</v>
      </c>
      <c r="B982">
        <v>66.599999999999994</v>
      </c>
      <c r="C982">
        <v>61.5</v>
      </c>
      <c r="D982">
        <v>60</v>
      </c>
      <c r="E982">
        <v>58.4</v>
      </c>
      <c r="F982">
        <v>58</v>
      </c>
      <c r="G982">
        <v>58.2</v>
      </c>
      <c r="H982" t="s">
        <v>19</v>
      </c>
      <c r="I982">
        <v>4</v>
      </c>
      <c r="J982" t="s">
        <v>38</v>
      </c>
      <c r="K982">
        <v>61.3</v>
      </c>
      <c r="L982">
        <v>147</v>
      </c>
      <c r="M982">
        <v>95.5</v>
      </c>
      <c r="N982">
        <v>6.9</v>
      </c>
      <c r="O982">
        <v>4.2</v>
      </c>
      <c r="P982">
        <v>6</v>
      </c>
      <c r="Q982" t="s">
        <v>28</v>
      </c>
      <c r="R982" t="s">
        <v>22</v>
      </c>
    </row>
    <row r="983" spans="1:18" x14ac:dyDescent="0.25">
      <c r="A983" t="s">
        <v>1011</v>
      </c>
      <c r="B983">
        <v>86.1</v>
      </c>
      <c r="C983">
        <v>78.400000000000006</v>
      </c>
      <c r="D983">
        <v>82.3</v>
      </c>
      <c r="E983">
        <v>82.4</v>
      </c>
      <c r="F983">
        <v>70.2</v>
      </c>
      <c r="G983">
        <v>76.3</v>
      </c>
      <c r="H983" t="s">
        <v>19</v>
      </c>
      <c r="I983">
        <v>4</v>
      </c>
      <c r="J983" t="s">
        <v>38</v>
      </c>
      <c r="K983">
        <v>77.099999999999994</v>
      </c>
      <c r="L983">
        <v>185</v>
      </c>
      <c r="M983">
        <v>91.2</v>
      </c>
      <c r="N983">
        <v>7</v>
      </c>
      <c r="O983">
        <v>4.5999999999999996</v>
      </c>
      <c r="P983">
        <v>5</v>
      </c>
      <c r="Q983" t="s">
        <v>28</v>
      </c>
      <c r="R983" t="s">
        <v>26</v>
      </c>
    </row>
    <row r="984" spans="1:18" x14ac:dyDescent="0.25">
      <c r="A984" t="s">
        <v>1012</v>
      </c>
      <c r="B984">
        <v>46.2</v>
      </c>
      <c r="C984">
        <v>50.3</v>
      </c>
      <c r="D984">
        <v>41.8</v>
      </c>
      <c r="E984">
        <v>45.9</v>
      </c>
      <c r="F984">
        <v>44</v>
      </c>
      <c r="G984">
        <v>44.95</v>
      </c>
      <c r="H984" t="s">
        <v>32</v>
      </c>
      <c r="I984">
        <v>2</v>
      </c>
      <c r="J984" t="s">
        <v>20</v>
      </c>
      <c r="K984">
        <v>64.900000000000006</v>
      </c>
      <c r="L984">
        <v>156</v>
      </c>
      <c r="M984">
        <v>67.8</v>
      </c>
      <c r="N984">
        <v>8.5</v>
      </c>
      <c r="O984">
        <v>2</v>
      </c>
      <c r="P984">
        <v>3</v>
      </c>
      <c r="Q984" t="s">
        <v>25</v>
      </c>
      <c r="R984" t="s">
        <v>26</v>
      </c>
    </row>
    <row r="985" spans="1:18" x14ac:dyDescent="0.25">
      <c r="A985" t="s">
        <v>1013</v>
      </c>
      <c r="B985">
        <v>36.1</v>
      </c>
      <c r="C985">
        <v>41</v>
      </c>
      <c r="D985">
        <v>48.2</v>
      </c>
      <c r="E985">
        <v>44.1</v>
      </c>
      <c r="F985">
        <v>58.6</v>
      </c>
      <c r="G985">
        <v>51.35</v>
      </c>
      <c r="H985" t="s">
        <v>19</v>
      </c>
      <c r="I985">
        <v>4</v>
      </c>
      <c r="J985" t="s">
        <v>38</v>
      </c>
      <c r="K985">
        <v>65</v>
      </c>
      <c r="L985">
        <v>156</v>
      </c>
      <c r="M985">
        <v>95.4</v>
      </c>
      <c r="N985">
        <v>6.9</v>
      </c>
      <c r="O985">
        <v>5.4</v>
      </c>
      <c r="P985">
        <v>3</v>
      </c>
      <c r="Q985" t="s">
        <v>25</v>
      </c>
      <c r="R985" t="s">
        <v>33</v>
      </c>
    </row>
    <row r="986" spans="1:18" x14ac:dyDescent="0.25">
      <c r="A986" t="s">
        <v>1014</v>
      </c>
      <c r="B986">
        <v>78.8</v>
      </c>
      <c r="C986">
        <v>81.3</v>
      </c>
      <c r="D986">
        <v>81.2</v>
      </c>
      <c r="E986">
        <v>80.099999999999994</v>
      </c>
      <c r="F986">
        <v>66.2</v>
      </c>
      <c r="G986">
        <v>73.150000000000006</v>
      </c>
      <c r="H986" t="s">
        <v>19</v>
      </c>
      <c r="I986">
        <v>1</v>
      </c>
      <c r="J986" t="s">
        <v>20</v>
      </c>
      <c r="K986">
        <v>79.900000000000006</v>
      </c>
      <c r="L986">
        <v>192</v>
      </c>
      <c r="M986">
        <v>56.3</v>
      </c>
      <c r="N986">
        <v>6.7</v>
      </c>
      <c r="O986">
        <v>4.0999999999999996</v>
      </c>
      <c r="P986">
        <v>1</v>
      </c>
      <c r="Q986" t="s">
        <v>25</v>
      </c>
      <c r="R986" t="s">
        <v>33</v>
      </c>
    </row>
    <row r="987" spans="1:18" x14ac:dyDescent="0.25">
      <c r="A987" t="s">
        <v>1015</v>
      </c>
      <c r="B987">
        <v>63</v>
      </c>
      <c r="C987">
        <v>71.400000000000006</v>
      </c>
      <c r="D987">
        <v>67.3</v>
      </c>
      <c r="E987">
        <v>67.3</v>
      </c>
      <c r="F987">
        <v>64.900000000000006</v>
      </c>
      <c r="G987">
        <v>66.099999999999994</v>
      </c>
      <c r="H987" t="s">
        <v>19</v>
      </c>
      <c r="I987">
        <v>3</v>
      </c>
      <c r="J987" t="s">
        <v>20</v>
      </c>
      <c r="K987">
        <v>79.400000000000006</v>
      </c>
      <c r="L987">
        <v>191</v>
      </c>
      <c r="M987">
        <v>77</v>
      </c>
      <c r="N987">
        <v>6.6</v>
      </c>
      <c r="O987">
        <v>3.1</v>
      </c>
      <c r="P987">
        <v>3</v>
      </c>
      <c r="Q987" t="s">
        <v>28</v>
      </c>
      <c r="R987" t="s">
        <v>26</v>
      </c>
    </row>
    <row r="988" spans="1:18" x14ac:dyDescent="0.25">
      <c r="A988" t="s">
        <v>1016</v>
      </c>
      <c r="B988">
        <v>88.7</v>
      </c>
      <c r="C988">
        <v>77.7</v>
      </c>
      <c r="D988">
        <v>73</v>
      </c>
      <c r="E988">
        <v>77.900000000000006</v>
      </c>
      <c r="F988">
        <v>83.5</v>
      </c>
      <c r="G988">
        <v>80.7</v>
      </c>
      <c r="H988" t="s">
        <v>19</v>
      </c>
      <c r="I988">
        <v>4</v>
      </c>
      <c r="J988" t="s">
        <v>38</v>
      </c>
      <c r="K988">
        <v>80.900000000000006</v>
      </c>
      <c r="L988">
        <v>194</v>
      </c>
      <c r="M988">
        <v>84.2</v>
      </c>
      <c r="N988">
        <v>7.1</v>
      </c>
      <c r="O988">
        <v>1.9</v>
      </c>
      <c r="P988">
        <v>3</v>
      </c>
      <c r="Q988" t="s">
        <v>28</v>
      </c>
      <c r="R988" t="s">
        <v>22</v>
      </c>
    </row>
    <row r="989" spans="1:18" x14ac:dyDescent="0.25">
      <c r="A989" t="s">
        <v>1017</v>
      </c>
      <c r="B989">
        <v>63</v>
      </c>
      <c r="C989">
        <v>66.2</v>
      </c>
      <c r="D989">
        <v>70.400000000000006</v>
      </c>
      <c r="E989">
        <v>63.9</v>
      </c>
      <c r="F989">
        <v>64.900000000000006</v>
      </c>
      <c r="G989">
        <v>64.400000000000006</v>
      </c>
      <c r="H989" t="s">
        <v>19</v>
      </c>
      <c r="I989">
        <v>2</v>
      </c>
      <c r="J989" t="s">
        <v>20</v>
      </c>
      <c r="K989">
        <v>68.2</v>
      </c>
      <c r="L989">
        <v>164</v>
      </c>
      <c r="M989">
        <v>69</v>
      </c>
      <c r="N989">
        <v>6</v>
      </c>
      <c r="O989">
        <v>5.7</v>
      </c>
      <c r="P989">
        <v>2</v>
      </c>
      <c r="Q989" t="s">
        <v>25</v>
      </c>
      <c r="R989" t="s">
        <v>33</v>
      </c>
    </row>
    <row r="990" spans="1:18" x14ac:dyDescent="0.25">
      <c r="A990" t="s">
        <v>1018</v>
      </c>
      <c r="B990">
        <v>54.2</v>
      </c>
      <c r="C990">
        <v>51</v>
      </c>
      <c r="D990">
        <v>56.9</v>
      </c>
      <c r="E990">
        <v>53.6</v>
      </c>
      <c r="F990">
        <v>65.400000000000006</v>
      </c>
      <c r="G990">
        <v>59.5</v>
      </c>
      <c r="H990" t="s">
        <v>19</v>
      </c>
      <c r="I990">
        <v>4</v>
      </c>
      <c r="J990" t="s">
        <v>24</v>
      </c>
      <c r="K990">
        <v>65.400000000000006</v>
      </c>
      <c r="L990">
        <v>157</v>
      </c>
      <c r="M990">
        <v>92.6</v>
      </c>
      <c r="N990">
        <v>6.9</v>
      </c>
      <c r="O990">
        <v>4.8</v>
      </c>
      <c r="P990">
        <v>4</v>
      </c>
      <c r="Q990" t="s">
        <v>28</v>
      </c>
      <c r="R990" t="s">
        <v>26</v>
      </c>
    </row>
    <row r="991" spans="1:18" x14ac:dyDescent="0.25">
      <c r="A991" t="s">
        <v>1019</v>
      </c>
      <c r="B991">
        <v>87.8</v>
      </c>
      <c r="C991">
        <v>84.1</v>
      </c>
      <c r="D991">
        <v>82.3</v>
      </c>
      <c r="E991">
        <v>85.1</v>
      </c>
      <c r="F991">
        <v>79.400000000000006</v>
      </c>
      <c r="G991">
        <v>82.25</v>
      </c>
      <c r="H991" t="s">
        <v>19</v>
      </c>
      <c r="I991">
        <v>2</v>
      </c>
      <c r="J991" t="s">
        <v>20</v>
      </c>
      <c r="K991">
        <v>75.5</v>
      </c>
      <c r="L991">
        <v>181</v>
      </c>
      <c r="M991">
        <v>62.1</v>
      </c>
      <c r="N991">
        <v>7.5</v>
      </c>
      <c r="O991">
        <v>2</v>
      </c>
      <c r="P991">
        <v>3</v>
      </c>
      <c r="Q991" t="s">
        <v>28</v>
      </c>
      <c r="R991" t="s">
        <v>26</v>
      </c>
    </row>
    <row r="992" spans="1:18" x14ac:dyDescent="0.25">
      <c r="A992" t="s">
        <v>1020</v>
      </c>
      <c r="B992">
        <v>84.2</v>
      </c>
      <c r="C992">
        <v>82.9</v>
      </c>
      <c r="D992">
        <v>89</v>
      </c>
      <c r="E992">
        <v>84</v>
      </c>
      <c r="F992">
        <v>89.4</v>
      </c>
      <c r="G992">
        <v>86.7</v>
      </c>
      <c r="H992" t="s">
        <v>19</v>
      </c>
      <c r="I992">
        <v>4</v>
      </c>
      <c r="J992" t="s">
        <v>38</v>
      </c>
      <c r="K992">
        <v>81.400000000000006</v>
      </c>
      <c r="L992">
        <v>195</v>
      </c>
      <c r="M992">
        <v>86.5</v>
      </c>
      <c r="N992">
        <v>6.5</v>
      </c>
      <c r="O992">
        <v>2.7</v>
      </c>
      <c r="P992">
        <v>2</v>
      </c>
      <c r="Q992" t="s">
        <v>25</v>
      </c>
      <c r="R992" t="s">
        <v>26</v>
      </c>
    </row>
    <row r="993" spans="1:18" x14ac:dyDescent="0.25">
      <c r="A993" t="s">
        <v>1021</v>
      </c>
      <c r="B993">
        <v>86.7</v>
      </c>
      <c r="C993">
        <v>74.5</v>
      </c>
      <c r="D993">
        <v>75.7</v>
      </c>
      <c r="E993">
        <v>78.2</v>
      </c>
      <c r="F993">
        <v>71.7</v>
      </c>
      <c r="G993">
        <v>74.95</v>
      </c>
      <c r="H993" t="s">
        <v>19</v>
      </c>
      <c r="I993">
        <v>3</v>
      </c>
      <c r="J993" t="s">
        <v>20</v>
      </c>
      <c r="K993">
        <v>84.7</v>
      </c>
      <c r="L993">
        <v>203</v>
      </c>
      <c r="M993">
        <v>81.5</v>
      </c>
      <c r="N993">
        <v>6.3</v>
      </c>
      <c r="O993">
        <v>5</v>
      </c>
      <c r="P993">
        <v>5</v>
      </c>
      <c r="Q993" t="s">
        <v>28</v>
      </c>
      <c r="R993" t="s">
        <v>33</v>
      </c>
    </row>
    <row r="994" spans="1:18" x14ac:dyDescent="0.25">
      <c r="A994" t="s">
        <v>1022</v>
      </c>
      <c r="B994">
        <v>51.9</v>
      </c>
      <c r="C994">
        <v>54.1</v>
      </c>
      <c r="D994">
        <v>51.1</v>
      </c>
      <c r="E994">
        <v>55</v>
      </c>
      <c r="F994">
        <v>61.3</v>
      </c>
      <c r="G994">
        <v>58.15</v>
      </c>
      <c r="H994" t="s">
        <v>19</v>
      </c>
      <c r="I994">
        <v>3</v>
      </c>
      <c r="J994" t="s">
        <v>38</v>
      </c>
      <c r="K994">
        <v>70.900000000000006</v>
      </c>
      <c r="L994">
        <v>170</v>
      </c>
      <c r="M994">
        <v>83.7</v>
      </c>
      <c r="N994">
        <v>7.1</v>
      </c>
      <c r="O994">
        <v>4.5</v>
      </c>
      <c r="P994">
        <v>2</v>
      </c>
      <c r="Q994" t="s">
        <v>25</v>
      </c>
      <c r="R994" t="s">
        <v>26</v>
      </c>
    </row>
    <row r="995" spans="1:18" x14ac:dyDescent="0.25">
      <c r="A995" t="s">
        <v>1023</v>
      </c>
      <c r="B995">
        <v>73.400000000000006</v>
      </c>
      <c r="C995">
        <v>64.7</v>
      </c>
      <c r="D995">
        <v>68.7</v>
      </c>
      <c r="E995">
        <v>72.5</v>
      </c>
      <c r="F995">
        <v>71.7</v>
      </c>
      <c r="G995">
        <v>72.099999999999994</v>
      </c>
      <c r="H995" t="s">
        <v>19</v>
      </c>
      <c r="I995">
        <v>1</v>
      </c>
      <c r="J995" t="s">
        <v>20</v>
      </c>
      <c r="K995">
        <v>83.2</v>
      </c>
      <c r="L995">
        <v>200</v>
      </c>
      <c r="M995">
        <v>68.2</v>
      </c>
      <c r="N995">
        <v>6.7</v>
      </c>
      <c r="O995">
        <v>4.8</v>
      </c>
      <c r="P995">
        <v>1</v>
      </c>
      <c r="Q995" t="s">
        <v>25</v>
      </c>
      <c r="R995" t="s">
        <v>22</v>
      </c>
    </row>
    <row r="996" spans="1:18" x14ac:dyDescent="0.25">
      <c r="A996" t="s">
        <v>1024</v>
      </c>
      <c r="B996">
        <v>56.1</v>
      </c>
      <c r="C996">
        <v>57.4</v>
      </c>
      <c r="D996">
        <v>51</v>
      </c>
      <c r="E996">
        <v>59.9</v>
      </c>
      <c r="F996">
        <v>51.6</v>
      </c>
      <c r="G996">
        <v>55.75</v>
      </c>
      <c r="H996" t="s">
        <v>19</v>
      </c>
      <c r="I996">
        <v>1</v>
      </c>
      <c r="J996" t="s">
        <v>20</v>
      </c>
      <c r="K996">
        <v>68.400000000000006</v>
      </c>
      <c r="L996">
        <v>164</v>
      </c>
      <c r="M996">
        <v>55.4</v>
      </c>
      <c r="N996">
        <v>7.3</v>
      </c>
      <c r="O996">
        <v>3.2</v>
      </c>
      <c r="P996">
        <v>1</v>
      </c>
      <c r="Q996" t="s">
        <v>25</v>
      </c>
      <c r="R996" t="s">
        <v>26</v>
      </c>
    </row>
    <row r="997" spans="1:18" x14ac:dyDescent="0.25">
      <c r="A997" t="s">
        <v>1025</v>
      </c>
      <c r="B997">
        <v>38.4</v>
      </c>
      <c r="C997">
        <v>43.6</v>
      </c>
      <c r="D997">
        <v>47.4</v>
      </c>
      <c r="E997">
        <v>45</v>
      </c>
      <c r="F997">
        <v>59.2</v>
      </c>
      <c r="G997">
        <v>52.1</v>
      </c>
      <c r="H997" t="s">
        <v>19</v>
      </c>
      <c r="I997">
        <v>5</v>
      </c>
      <c r="J997" t="s">
        <v>24</v>
      </c>
      <c r="K997">
        <v>69.2</v>
      </c>
      <c r="L997">
        <v>166</v>
      </c>
      <c r="M997">
        <v>96.3</v>
      </c>
      <c r="N997">
        <v>6.8</v>
      </c>
      <c r="O997">
        <v>4.5999999999999996</v>
      </c>
      <c r="P997">
        <v>3</v>
      </c>
      <c r="Q997" t="s">
        <v>25</v>
      </c>
      <c r="R997" t="s">
        <v>33</v>
      </c>
    </row>
    <row r="998" spans="1:18" x14ac:dyDescent="0.25">
      <c r="A998" t="s">
        <v>1026</v>
      </c>
      <c r="B998">
        <v>87.4</v>
      </c>
      <c r="C998">
        <v>89.2</v>
      </c>
      <c r="D998">
        <v>81.3</v>
      </c>
      <c r="E998">
        <v>90.5</v>
      </c>
      <c r="F998">
        <v>79.099999999999994</v>
      </c>
      <c r="G998">
        <v>84.8</v>
      </c>
      <c r="H998" t="s">
        <v>19</v>
      </c>
      <c r="I998">
        <v>2</v>
      </c>
      <c r="J998" t="s">
        <v>20</v>
      </c>
      <c r="K998">
        <v>84.3</v>
      </c>
      <c r="L998">
        <v>202</v>
      </c>
      <c r="M998">
        <v>67.7</v>
      </c>
      <c r="N998">
        <v>7.9</v>
      </c>
      <c r="O998">
        <v>2.9</v>
      </c>
      <c r="P998">
        <v>4</v>
      </c>
      <c r="Q998" t="s">
        <v>28</v>
      </c>
      <c r="R998" t="s">
        <v>22</v>
      </c>
    </row>
    <row r="999" spans="1:18" x14ac:dyDescent="0.25">
      <c r="A999" t="s">
        <v>1027</v>
      </c>
      <c r="B999">
        <v>47.3</v>
      </c>
      <c r="C999">
        <v>46.3</v>
      </c>
      <c r="D999">
        <v>41.4</v>
      </c>
      <c r="E999">
        <v>47.5</v>
      </c>
      <c r="F999">
        <v>50.6</v>
      </c>
      <c r="G999">
        <v>49.05</v>
      </c>
      <c r="H999" t="s">
        <v>32</v>
      </c>
      <c r="I999">
        <v>4</v>
      </c>
      <c r="J999" t="s">
        <v>24</v>
      </c>
      <c r="K999">
        <v>71.099999999999994</v>
      </c>
      <c r="L999">
        <v>171</v>
      </c>
      <c r="M999">
        <v>96.5</v>
      </c>
      <c r="N999">
        <v>7.5</v>
      </c>
      <c r="O999">
        <v>2.1</v>
      </c>
      <c r="P999">
        <v>7</v>
      </c>
      <c r="Q999" t="s">
        <v>21</v>
      </c>
      <c r="R999" t="s">
        <v>22</v>
      </c>
    </row>
    <row r="1000" spans="1:18" x14ac:dyDescent="0.25">
      <c r="A1000" t="s">
        <v>1028</v>
      </c>
      <c r="B1000">
        <v>90.1</v>
      </c>
      <c r="C1000">
        <v>92</v>
      </c>
      <c r="D1000">
        <v>81.900000000000006</v>
      </c>
      <c r="E1000">
        <v>92.3</v>
      </c>
      <c r="F1000">
        <v>89.3</v>
      </c>
      <c r="G1000">
        <v>90.8</v>
      </c>
      <c r="H1000" t="s">
        <v>19</v>
      </c>
      <c r="I1000">
        <v>5</v>
      </c>
      <c r="J1000" t="s">
        <v>24</v>
      </c>
      <c r="K1000">
        <v>86</v>
      </c>
      <c r="L1000">
        <v>206</v>
      </c>
      <c r="M1000">
        <v>100.1</v>
      </c>
      <c r="N1000">
        <v>6.6</v>
      </c>
      <c r="O1000">
        <v>4.2</v>
      </c>
      <c r="P1000">
        <v>5</v>
      </c>
      <c r="Q1000" t="s">
        <v>28</v>
      </c>
      <c r="R1000" t="s">
        <v>26</v>
      </c>
    </row>
    <row r="1001" spans="1:18" x14ac:dyDescent="0.25">
      <c r="A1001" t="s">
        <v>1029</v>
      </c>
      <c r="B1001">
        <v>61.1</v>
      </c>
      <c r="C1001">
        <v>66.900000000000006</v>
      </c>
      <c r="D1001">
        <v>64.099999999999994</v>
      </c>
      <c r="E1001">
        <v>64.5</v>
      </c>
      <c r="F1001">
        <v>64.400000000000006</v>
      </c>
      <c r="G1001">
        <v>64.45</v>
      </c>
      <c r="H1001" t="s">
        <v>19</v>
      </c>
      <c r="I1001">
        <v>2</v>
      </c>
      <c r="J1001" t="s">
        <v>20</v>
      </c>
      <c r="K1001">
        <v>75.8</v>
      </c>
      <c r="L1001">
        <v>182</v>
      </c>
      <c r="M1001">
        <v>71.900000000000006</v>
      </c>
      <c r="N1001">
        <v>5.8</v>
      </c>
      <c r="O1001">
        <v>5.9</v>
      </c>
      <c r="P1001">
        <v>5</v>
      </c>
      <c r="Q1001" t="s">
        <v>28</v>
      </c>
      <c r="R10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K6" sqref="K6"/>
    </sheetView>
  </sheetViews>
  <sheetFormatPr defaultRowHeight="15" x14ac:dyDescent="0.25"/>
  <cols>
    <col min="1" max="1" width="12.85546875" customWidth="1"/>
    <col min="2" max="2" width="11.28515625" bestFit="1" customWidth="1"/>
    <col min="3" max="3" width="12.28515625" bestFit="1" customWidth="1"/>
    <col min="4" max="4" width="15.42578125" customWidth="1"/>
    <col min="5" max="5" width="10.28515625" bestFit="1" customWidth="1"/>
    <col min="8" max="8" width="11.28515625" bestFit="1" customWidth="1"/>
  </cols>
  <sheetData>
    <row r="1" spans="1:8" x14ac:dyDescent="0.25">
      <c r="A1" t="s">
        <v>0</v>
      </c>
      <c r="B1" t="s">
        <v>1030</v>
      </c>
      <c r="C1" t="s">
        <v>1031</v>
      </c>
      <c r="D1" t="s">
        <v>1032</v>
      </c>
      <c r="E1" t="s">
        <v>1033</v>
      </c>
      <c r="F1" t="s">
        <v>6</v>
      </c>
      <c r="G1" t="s">
        <v>1034</v>
      </c>
      <c r="H1" t="s">
        <v>1042</v>
      </c>
    </row>
    <row r="2" spans="1:8" x14ac:dyDescent="0.25">
      <c r="A2" t="s">
        <v>18</v>
      </c>
      <c r="B2">
        <f>VLOOKUP(A2,'Subbu- Mini Project EXcel Clean'!A1:R1001,2,FALSE)</f>
        <v>61.5</v>
      </c>
      <c r="C2">
        <f>VLOOKUP(A2,'Subbu- Mini Project EXcel Clean'!A1:R1001,3,FALSE)</f>
        <v>53.6</v>
      </c>
      <c r="D2">
        <f>_xlfn.XLOOKUP(A2,'Subbu- Mini Project EXcel Clean'!A2:A1001,'Subbu- Mini Project EXcel Clean'!D2:D1001,"Entry Level",0)</f>
        <v>65</v>
      </c>
      <c r="E2">
        <f>_xlfn.XLOOKUP(A2,'Subbu- Mini Project EXcel Clean'!A2:A1001,'Subbu- Mini Project EXcel Clean'!F2:F1001,"Entry Level",0)</f>
        <v>60.1</v>
      </c>
      <c r="F2">
        <f>_xlfn.XLOOKUP(A2,'Subbu- Mini Project EXcel Clean'!A2:A1001,'Subbu- Mini Project EXcel Clean'!G2:G1001," ",0)</f>
        <v>60.35</v>
      </c>
      <c r="G2" t="str">
        <f>_xlfn.XLOOKUP(A2,'Subbu- Mini Project EXcel Clean'!A2:A1001,'Subbu- Mini Project EXcel Clean'!H2:H1001," ",0)</f>
        <v>Pass</v>
      </c>
      <c r="H2" t="str">
        <f>VLOOKUP(A2,'Subbu- Mini Project EXcel Clean'!A1:R1001,18,)</f>
        <v>Master</v>
      </c>
    </row>
    <row r="3" spans="1:8" x14ac:dyDescent="0.25">
      <c r="A3" t="s">
        <v>23</v>
      </c>
      <c r="B3">
        <f>VLOOKUP(A3,'Subbu- Mini Project EXcel Clean'!A2:R1002,2,FALSE)</f>
        <v>85.6</v>
      </c>
      <c r="C3">
        <f>VLOOKUP(A3,'Subbu- Mini Project EXcel Clean'!A2:R1002,3,FALSE)</f>
        <v>91.9</v>
      </c>
      <c r="D3">
        <f>_xlfn.XLOOKUP(A3,'Subbu- Mini Project EXcel Clean'!A3:A1002,'Subbu- Mini Project EXcel Clean'!D3:D1002,"Entry Level",0)</f>
        <v>89</v>
      </c>
      <c r="E3">
        <f>_xlfn.XLOOKUP(A3,'Subbu- Mini Project EXcel Clean'!A3:A1002,'Subbu- Mini Project EXcel Clean'!F3:F1002,"Entry Level",0)</f>
        <v>99</v>
      </c>
      <c r="F3">
        <f>_xlfn.XLOOKUP(A3,'Subbu- Mini Project EXcel Clean'!A3:A1002,'Subbu- Mini Project EXcel Clean'!G3:G1002," ",0)</f>
        <v>95.65</v>
      </c>
      <c r="G3" t="str">
        <f>_xlfn.XLOOKUP(A3,'Subbu- Mini Project EXcel Clean'!A3:A1002,'Subbu- Mini Project EXcel Clean'!H3:H1002," ",0)</f>
        <v>Pass</v>
      </c>
      <c r="H3" t="str">
        <f>VLOOKUP(A3,'Subbu- Mini Project EXcel Clean'!A2:R1002,18,)</f>
        <v>High School</v>
      </c>
    </row>
    <row r="4" spans="1:8" x14ac:dyDescent="0.25">
      <c r="A4" t="s">
        <v>27</v>
      </c>
      <c r="B4">
        <f>VLOOKUP(A4,'Subbu- Mini Project EXcel Clean'!A3:R1003,2,FALSE)</f>
        <v>82.2</v>
      </c>
      <c r="C4">
        <f>VLOOKUP(A4,'Subbu- Mini Project EXcel Clean'!A3:R1003,3,FALSE)</f>
        <v>72.7</v>
      </c>
      <c r="D4">
        <f>_xlfn.XLOOKUP(A4,'Subbu- Mini Project EXcel Clean'!A4:A1003,'Subbu- Mini Project EXcel Clean'!D4:D1003,"Entry Level",0)</f>
        <v>74.2</v>
      </c>
      <c r="E4">
        <f>_xlfn.XLOOKUP(A4,'Subbu- Mini Project EXcel Clean'!A4:A1003,'Subbu- Mini Project EXcel Clean'!F4:F1003,"Entry Level",0)</f>
        <v>70.5</v>
      </c>
      <c r="F4">
        <f>_xlfn.XLOOKUP(A4,'Subbu- Mini Project EXcel Clean'!A4:A1003,'Subbu- Mini Project EXcel Clean'!G4:G1003," ",0)</f>
        <v>75.400000000000006</v>
      </c>
      <c r="G4" t="str">
        <f>_xlfn.XLOOKUP(A4,'Subbu- Mini Project EXcel Clean'!A4:A1003,'Subbu- Mini Project EXcel Clean'!H4:H1003," ",0)</f>
        <v>Pass</v>
      </c>
      <c r="H4" t="str">
        <f>VLOOKUP(A4,'Subbu- Mini Project EXcel Clean'!A3:R1003,18,)</f>
        <v>High School</v>
      </c>
    </row>
    <row r="5" spans="1:8" x14ac:dyDescent="0.25">
      <c r="A5" t="s">
        <v>29</v>
      </c>
      <c r="B5">
        <f>VLOOKUP(A5,'Subbu- Mini Project EXcel Clean'!A4:R1004,2,FALSE)</f>
        <v>76</v>
      </c>
      <c r="C5">
        <f>VLOOKUP(A5,'Subbu- Mini Project EXcel Clean'!A4:R1004,3,FALSE)</f>
        <v>76.7</v>
      </c>
      <c r="D5">
        <f>_xlfn.XLOOKUP(A5,'Subbu- Mini Project EXcel Clean'!A5:A1004,'Subbu- Mini Project EXcel Clean'!D5:D1004,"Entry Level",0)</f>
        <v>67.7</v>
      </c>
      <c r="E5">
        <f>_xlfn.XLOOKUP(A5,'Subbu- Mini Project EXcel Clean'!A5:A1004,'Subbu- Mini Project EXcel Clean'!F5:F1004,"Entry Level",0)</f>
        <v>63.4</v>
      </c>
      <c r="F5">
        <f>_xlfn.XLOOKUP(A5,'Subbu- Mini Project EXcel Clean'!A5:A1004,'Subbu- Mini Project EXcel Clean'!G5:G1004," ",0)</f>
        <v>68.150000000000006</v>
      </c>
      <c r="G5" t="str">
        <f>_xlfn.XLOOKUP(A5,'Subbu- Mini Project EXcel Clean'!A5:A1004,'Subbu- Mini Project EXcel Clean'!H5:H1004," ",0)</f>
        <v>Pass</v>
      </c>
      <c r="H5" t="str">
        <f>VLOOKUP(A5,'Subbu- Mini Project EXcel Clean'!A4:R1004,18,)</f>
        <v>High School</v>
      </c>
    </row>
    <row r="6" spans="1:8" x14ac:dyDescent="0.25">
      <c r="A6" t="s">
        <v>30</v>
      </c>
      <c r="B6">
        <f>VLOOKUP(A6,'Subbu- Mini Project EXcel Clean'!A5:R1005,2,FALSE)</f>
        <v>51.4</v>
      </c>
      <c r="C6">
        <f>VLOOKUP(A6,'Subbu- Mini Project EXcel Clean'!A5:R1005,3,FALSE)</f>
        <v>49</v>
      </c>
      <c r="D6">
        <f>_xlfn.XLOOKUP(A6,'Subbu- Mini Project EXcel Clean'!A6:A1005,'Subbu- Mini Project EXcel Clean'!D6:D1005,"Entry Level",0)</f>
        <v>46.1</v>
      </c>
      <c r="E6">
        <f>_xlfn.XLOOKUP(A6,'Subbu- Mini Project EXcel Clean'!A6:A1005,'Subbu- Mini Project EXcel Clean'!F6:F1005,"Entry Level",0)</f>
        <v>66.5</v>
      </c>
      <c r="F6">
        <f>_xlfn.XLOOKUP(A6,'Subbu- Mini Project EXcel Clean'!A6:A1005,'Subbu- Mini Project EXcel Clean'!G6:G1005," ",0)</f>
        <v>57.55</v>
      </c>
      <c r="G6" t="str">
        <f>_xlfn.XLOOKUP(A6,'Subbu- Mini Project EXcel Clean'!A6:A1005,'Subbu- Mini Project EXcel Clean'!H6:H1005," ",0)</f>
        <v>Pass</v>
      </c>
      <c r="H6" t="str">
        <f>VLOOKUP(A6,'Subbu- Mini Project EXcel Clean'!A5:R1005,18,)</f>
        <v>Master</v>
      </c>
    </row>
    <row r="7" spans="1:8" x14ac:dyDescent="0.25">
      <c r="A7" t="s">
        <v>31</v>
      </c>
      <c r="B7">
        <f>VLOOKUP(A7,'Subbu- Mini Project EXcel Clean'!A6:R1006,2,FALSE)</f>
        <v>54</v>
      </c>
      <c r="C7">
        <f>VLOOKUP(A7,'Subbu- Mini Project EXcel Clean'!A6:R1006,3,FALSE)</f>
        <v>41.3</v>
      </c>
      <c r="D7">
        <f>_xlfn.XLOOKUP(A7,'Subbu- Mini Project EXcel Clean'!A7:A1006,'Subbu- Mini Project EXcel Clean'!D7:D1006,"Entry Level",0)</f>
        <v>46.8</v>
      </c>
      <c r="E7">
        <f>_xlfn.XLOOKUP(A7,'Subbu- Mini Project EXcel Clean'!A7:A1006,'Subbu- Mini Project EXcel Clean'!F7:F1006,"Entry Level",0)</f>
        <v>49.1</v>
      </c>
      <c r="F7">
        <f>_xlfn.XLOOKUP(A7,'Subbu- Mini Project EXcel Clean'!A7:A1006,'Subbu- Mini Project EXcel Clean'!G7:G1006," ",0)</f>
        <v>48.85</v>
      </c>
      <c r="G7" t="str">
        <f>_xlfn.XLOOKUP(A7,'Subbu- Mini Project EXcel Clean'!A7:A1006,'Subbu- Mini Project EXcel Clean'!H7:H1006," ",0)</f>
        <v>Fail</v>
      </c>
      <c r="H7" t="str">
        <f>VLOOKUP(A7,'Subbu- Mini Project EXcel Clean'!A6:R1006,18,)</f>
        <v>Bachelor</v>
      </c>
    </row>
    <row r="8" spans="1:8" x14ac:dyDescent="0.25">
      <c r="A8" t="s">
        <v>34</v>
      </c>
      <c r="B8">
        <f>VLOOKUP(A8,'Subbu- Mini Project EXcel Clean'!A7:R1007,2,FALSE)</f>
        <v>47.4</v>
      </c>
      <c r="C8">
        <f>VLOOKUP(A8,'Subbu- Mini Project EXcel Clean'!A7:R1007,3,FALSE)</f>
        <v>41.6</v>
      </c>
      <c r="D8">
        <f>_xlfn.XLOOKUP(A8,'Subbu- Mini Project EXcel Clean'!A8:A1007,'Subbu- Mini Project EXcel Clean'!D8:D1007,"Entry Level",0)</f>
        <v>39.299999999999997</v>
      </c>
      <c r="E8">
        <f>_xlfn.XLOOKUP(A8,'Subbu- Mini Project EXcel Clean'!A8:A1007,'Subbu- Mini Project EXcel Clean'!F8:F1007,"Entry Level",0)</f>
        <v>48.5</v>
      </c>
      <c r="F8">
        <f>_xlfn.XLOOKUP(A8,'Subbu- Mini Project EXcel Clean'!A8:A1007,'Subbu- Mini Project EXcel Clean'!G8:G1007," ",0)</f>
        <v>45.85</v>
      </c>
      <c r="G8" t="str">
        <f>_xlfn.XLOOKUP(A8,'Subbu- Mini Project EXcel Clean'!A8:A1007,'Subbu- Mini Project EXcel Clean'!H8:H1007," ",0)</f>
        <v>Fail</v>
      </c>
      <c r="H8" t="str">
        <f>VLOOKUP(A8,'Subbu- Mini Project EXcel Clean'!A7:R1007,18,)</f>
        <v>Master</v>
      </c>
    </row>
    <row r="9" spans="1:8" x14ac:dyDescent="0.25">
      <c r="A9" t="s">
        <v>35</v>
      </c>
      <c r="B9">
        <f>VLOOKUP(A9,'Subbu- Mini Project EXcel Clean'!A8:R1008,2,FALSE)</f>
        <v>89.9</v>
      </c>
      <c r="C9">
        <f>VLOOKUP(A9,'Subbu- Mini Project EXcel Clean'!A8:R1008,3,FALSE)</f>
        <v>83.9</v>
      </c>
      <c r="D9">
        <f>_xlfn.XLOOKUP(A9,'Subbu- Mini Project EXcel Clean'!A9:A1008,'Subbu- Mini Project EXcel Clean'!D9:D1008,"Entry Level",0)</f>
        <v>81.2</v>
      </c>
      <c r="E9">
        <f>_xlfn.XLOOKUP(A9,'Subbu- Mini Project EXcel Clean'!A9:A1008,'Subbu- Mini Project EXcel Clean'!F9:F1008,"Entry Level",0)</f>
        <v>84.6</v>
      </c>
      <c r="F9">
        <f>_xlfn.XLOOKUP(A9,'Subbu- Mini Project EXcel Clean'!A9:A1008,'Subbu- Mini Project EXcel Clean'!G9:G1008," ",0)</f>
        <v>86.1</v>
      </c>
      <c r="G9" t="str">
        <f>_xlfn.XLOOKUP(A9,'Subbu- Mini Project EXcel Clean'!A9:A1008,'Subbu- Mini Project EXcel Clean'!H9:H1008," ",0)</f>
        <v>Pass</v>
      </c>
      <c r="H9" t="str">
        <f>VLOOKUP(A9,'Subbu- Mini Project EXcel Clean'!A8:R1008,18,)</f>
        <v>Bachelor</v>
      </c>
    </row>
    <row r="10" spans="1:8" x14ac:dyDescent="0.25">
      <c r="A10" t="s">
        <v>36</v>
      </c>
      <c r="B10">
        <f>VLOOKUP(A10,'Subbu- Mini Project EXcel Clean'!A9:R1009,2,FALSE)</f>
        <v>72.7</v>
      </c>
      <c r="C10">
        <f>VLOOKUP(A10,'Subbu- Mini Project EXcel Clean'!A9:R1009,3,FALSE)</f>
        <v>74.7</v>
      </c>
      <c r="D10">
        <f>_xlfn.XLOOKUP(A10,'Subbu- Mini Project EXcel Clean'!A10:A1009,'Subbu- Mini Project EXcel Clean'!D10:D1009,"Entry Level",0)</f>
        <v>70.8</v>
      </c>
      <c r="E10">
        <f>_xlfn.XLOOKUP(A10,'Subbu- Mini Project EXcel Clean'!A10:A1009,'Subbu- Mini Project EXcel Clean'!F10:F1009,"Entry Level",0)</f>
        <v>66.5</v>
      </c>
      <c r="F10">
        <f>_xlfn.XLOOKUP(A10,'Subbu- Mini Project EXcel Clean'!A10:A1009,'Subbu- Mini Project EXcel Clean'!G10:G1009," ",0)</f>
        <v>69.8</v>
      </c>
      <c r="G10" t="str">
        <f>_xlfn.XLOOKUP(A10,'Subbu- Mini Project EXcel Clean'!A10:A1009,'Subbu- Mini Project EXcel Clean'!H10:H1009," ",0)</f>
        <v>Pass</v>
      </c>
      <c r="H10" t="str">
        <f>VLOOKUP(A10,'Subbu- Mini Project EXcel Clean'!A9:R1009,18,)</f>
        <v>Master</v>
      </c>
    </row>
    <row r="11" spans="1:8" x14ac:dyDescent="0.25">
      <c r="A11" t="s">
        <v>37</v>
      </c>
      <c r="B11">
        <f>VLOOKUP(A11,'Subbu- Mini Project EXcel Clean'!A10:R1010,2,FALSE)</f>
        <v>70.599999999999994</v>
      </c>
      <c r="C11">
        <f>VLOOKUP(A11,'Subbu- Mini Project EXcel Clean'!A10:R1010,3,FALSE)</f>
        <v>85.6</v>
      </c>
      <c r="D11">
        <f>_xlfn.XLOOKUP(A11,'Subbu- Mini Project EXcel Clean'!A11:A1010,'Subbu- Mini Project EXcel Clean'!D11:D1010,"Entry Level",0)</f>
        <v>79.900000000000006</v>
      </c>
      <c r="E11">
        <f>_xlfn.XLOOKUP(A11,'Subbu- Mini Project EXcel Clean'!A11:A1010,'Subbu- Mini Project EXcel Clean'!F11:F1010,"Entry Level",0)</f>
        <v>74.2</v>
      </c>
      <c r="F11">
        <f>_xlfn.XLOOKUP(A11,'Subbu- Mini Project EXcel Clean'!A11:A1010,'Subbu- Mini Project EXcel Clean'!G11:G1010," ",0)</f>
        <v>76.55</v>
      </c>
      <c r="G11" t="str">
        <f>_xlfn.XLOOKUP(A11,'Subbu- Mini Project EXcel Clean'!A11:A1010,'Subbu- Mini Project EXcel Clean'!H11:H1010," ",0)</f>
        <v>Pass</v>
      </c>
      <c r="H11" t="str">
        <f>VLOOKUP(A11,'Subbu- Mini Project EXcel Clean'!A10:R1010,18,)</f>
        <v>Master</v>
      </c>
    </row>
    <row r="12" spans="1:8" x14ac:dyDescent="0.25">
      <c r="A12" t="s">
        <v>39</v>
      </c>
      <c r="B12">
        <f>VLOOKUP(A12,'Subbu- Mini Project EXcel Clean'!A11:R1011,2,FALSE)</f>
        <v>43.3</v>
      </c>
      <c r="C12">
        <f>VLOOKUP(A12,'Subbu- Mini Project EXcel Clean'!A11:R1011,3,FALSE)</f>
        <v>31.8</v>
      </c>
      <c r="D12">
        <f>_xlfn.XLOOKUP(A12,'Subbu- Mini Project EXcel Clean'!A12:A1011,'Subbu- Mini Project EXcel Clean'!D12:D1011,"Entry Level",0)</f>
        <v>44.1</v>
      </c>
      <c r="E12">
        <f>_xlfn.XLOOKUP(A12,'Subbu- Mini Project EXcel Clean'!A12:A1011,'Subbu- Mini Project EXcel Clean'!F12:F1011,"Entry Level",0)</f>
        <v>42.7</v>
      </c>
      <c r="F12">
        <f>_xlfn.XLOOKUP(A12,'Subbu- Mini Project EXcel Clean'!A12:A1011,'Subbu- Mini Project EXcel Clean'!G12:G1011," ",0)</f>
        <v>41.9</v>
      </c>
      <c r="G12" t="str">
        <f>_xlfn.XLOOKUP(A12,'Subbu- Mini Project EXcel Clean'!A12:A1011,'Subbu- Mini Project EXcel Clean'!H12:H1011," ",0)</f>
        <v>Fail</v>
      </c>
      <c r="H12" t="str">
        <f>VLOOKUP(A12,'Subbu- Mini Project EXcel Clean'!A11:R1011,18,)</f>
        <v>Bachelor</v>
      </c>
    </row>
    <row r="13" spans="1:8" x14ac:dyDescent="0.25">
      <c r="A13" t="s">
        <v>40</v>
      </c>
      <c r="B13">
        <f>VLOOKUP(A13,'Subbu- Mini Project EXcel Clean'!A12:R1012,2,FALSE)</f>
        <v>94.4</v>
      </c>
      <c r="C13">
        <f>VLOOKUP(A13,'Subbu- Mini Project EXcel Clean'!A12:R1012,3,FALSE)</f>
        <v>93.9</v>
      </c>
      <c r="D13">
        <f>_xlfn.XLOOKUP(A13,'Subbu- Mini Project EXcel Clean'!A13:A1012,'Subbu- Mini Project EXcel Clean'!D13:D1012,"Entry Level",0)</f>
        <v>90.6</v>
      </c>
      <c r="E13">
        <f>_xlfn.XLOOKUP(A13,'Subbu- Mini Project EXcel Clean'!A13:A1012,'Subbu- Mini Project EXcel Clean'!F13:F1012,"Entry Level",0)</f>
        <v>76.5</v>
      </c>
      <c r="F13">
        <f>_xlfn.XLOOKUP(A13,'Subbu- Mini Project EXcel Clean'!A13:A1012,'Subbu- Mini Project EXcel Clean'!G13:G1012," ",0)</f>
        <v>84.9</v>
      </c>
      <c r="G13" t="str">
        <f>_xlfn.XLOOKUP(A13,'Subbu- Mini Project EXcel Clean'!A13:A1012,'Subbu- Mini Project EXcel Clean'!H13:H1012," ",0)</f>
        <v>Pass</v>
      </c>
      <c r="H13" t="str">
        <f>VLOOKUP(A13,'Subbu- Mini Project EXcel Clean'!A12:R1012,18,)</f>
        <v>Master</v>
      </c>
    </row>
    <row r="14" spans="1:8" x14ac:dyDescent="0.25">
      <c r="A14" t="s">
        <v>41</v>
      </c>
      <c r="B14">
        <f>VLOOKUP(A14,'Subbu- Mini Project EXcel Clean'!A13:R1013,2,FALSE)</f>
        <v>87.1</v>
      </c>
      <c r="C14">
        <f>VLOOKUP(A14,'Subbu- Mini Project EXcel Clean'!A13:R1013,3,FALSE)</f>
        <v>85</v>
      </c>
      <c r="D14">
        <f>_xlfn.XLOOKUP(A14,'Subbu- Mini Project EXcel Clean'!A14:A1013,'Subbu- Mini Project EXcel Clean'!D14:D1013,"Entry Level",0)</f>
        <v>83.7</v>
      </c>
      <c r="E14">
        <f>_xlfn.XLOOKUP(A14,'Subbu- Mini Project EXcel Clean'!A14:A1013,'Subbu- Mini Project EXcel Clean'!F14:F1013,"Entry Level",0)</f>
        <v>97.9</v>
      </c>
      <c r="F14">
        <f>_xlfn.XLOOKUP(A14,'Subbu- Mini Project EXcel Clean'!A14:A1013,'Subbu- Mini Project EXcel Clean'!G14:G1013," ",0)</f>
        <v>91.85</v>
      </c>
      <c r="G14" t="str">
        <f>_xlfn.XLOOKUP(A14,'Subbu- Mini Project EXcel Clean'!A14:A1013,'Subbu- Mini Project EXcel Clean'!H14:H1013," ",0)</f>
        <v>Pass</v>
      </c>
      <c r="H14" t="str">
        <f>VLOOKUP(A14,'Subbu- Mini Project EXcel Clean'!A13:R1013,18,)</f>
        <v>Master</v>
      </c>
    </row>
    <row r="15" spans="1:8" x14ac:dyDescent="0.25">
      <c r="A15" t="s">
        <v>42</v>
      </c>
      <c r="B15">
        <f>VLOOKUP(A15,'Subbu- Mini Project EXcel Clean'!A14:R1014,2,FALSE)</f>
        <v>45.3</v>
      </c>
      <c r="C15">
        <f>VLOOKUP(A15,'Subbu- Mini Project EXcel Clean'!A14:R1014,3,FALSE)</f>
        <v>55</v>
      </c>
      <c r="D15">
        <f>_xlfn.XLOOKUP(A15,'Subbu- Mini Project EXcel Clean'!A15:A1014,'Subbu- Mini Project EXcel Clean'!D15:D1014,"Entry Level",0)</f>
        <v>47</v>
      </c>
      <c r="E15">
        <f>_xlfn.XLOOKUP(A15,'Subbu- Mini Project EXcel Clean'!A15:A1014,'Subbu- Mini Project EXcel Clean'!F15:F1014,"Entry Level",0)</f>
        <v>56.7</v>
      </c>
      <c r="F15">
        <f>_xlfn.XLOOKUP(A15,'Subbu- Mini Project EXcel Clean'!A15:A1014,'Subbu- Mini Project EXcel Clean'!G15:G1014," ",0)</f>
        <v>54.2</v>
      </c>
      <c r="G15" t="str">
        <f>_xlfn.XLOOKUP(A15,'Subbu- Mini Project EXcel Clean'!A15:A1014,'Subbu- Mini Project EXcel Clean'!H15:H1014," ",0)</f>
        <v>Pass</v>
      </c>
      <c r="H15" t="str">
        <f>VLOOKUP(A15,'Subbu- Mini Project EXcel Clean'!A14:R1014,18,)</f>
        <v>High School</v>
      </c>
    </row>
    <row r="16" spans="1:8" x14ac:dyDescent="0.25">
      <c r="A16" t="s">
        <v>43</v>
      </c>
      <c r="B16">
        <f>VLOOKUP(A16,'Subbu- Mini Project EXcel Clean'!A15:R1015,2,FALSE)</f>
        <v>44.6</v>
      </c>
      <c r="C16">
        <f>VLOOKUP(A16,'Subbu- Mini Project EXcel Clean'!A15:R1015,3,FALSE)</f>
        <v>51.1</v>
      </c>
      <c r="D16">
        <f>_xlfn.XLOOKUP(A16,'Subbu- Mini Project EXcel Clean'!A16:A1015,'Subbu- Mini Project EXcel Clean'!D16:D1015,"Entry Level",0)</f>
        <v>49.8</v>
      </c>
      <c r="E16">
        <f>_xlfn.XLOOKUP(A16,'Subbu- Mini Project EXcel Clean'!A16:A1015,'Subbu- Mini Project EXcel Clean'!F16:F1015,"Entry Level",0)</f>
        <v>55.3</v>
      </c>
      <c r="F16">
        <f>_xlfn.XLOOKUP(A16,'Subbu- Mini Project EXcel Clean'!A16:A1015,'Subbu- Mini Project EXcel Clean'!G16:G1015," ",0)</f>
        <v>52.65</v>
      </c>
      <c r="G16" t="str">
        <f>_xlfn.XLOOKUP(A16,'Subbu- Mini Project EXcel Clean'!A16:A1015,'Subbu- Mini Project EXcel Clean'!H16:H1015," ",0)</f>
        <v>Pass</v>
      </c>
      <c r="H16" t="str">
        <f>VLOOKUP(A16,'Subbu- Mini Project EXcel Clean'!A15:R1015,18,)</f>
        <v>Bachelor</v>
      </c>
    </row>
    <row r="17" spans="1:8" x14ac:dyDescent="0.25">
      <c r="A17" t="s">
        <v>44</v>
      </c>
      <c r="B17">
        <f>VLOOKUP(A17,'Subbu- Mini Project EXcel Clean'!A16:R1016,2,FALSE)</f>
        <v>55.4</v>
      </c>
      <c r="C17">
        <f>VLOOKUP(A17,'Subbu- Mini Project EXcel Clean'!A16:R1016,3,FALSE)</f>
        <v>46.3</v>
      </c>
      <c r="D17">
        <f>_xlfn.XLOOKUP(A17,'Subbu- Mini Project EXcel Clean'!A17:A1016,'Subbu- Mini Project EXcel Clean'!D17:D1016,"Entry Level",0)</f>
        <v>45.8</v>
      </c>
      <c r="E17">
        <f>_xlfn.XLOOKUP(A17,'Subbu- Mini Project EXcel Clean'!A17:A1016,'Subbu- Mini Project EXcel Clean'!F17:F1016,"Entry Level",0)</f>
        <v>58.4</v>
      </c>
      <c r="F17">
        <f>_xlfn.XLOOKUP(A17,'Subbu- Mini Project EXcel Clean'!A17:A1016,'Subbu- Mini Project EXcel Clean'!G17:G1016," ",0)</f>
        <v>54.25</v>
      </c>
      <c r="G17" t="str">
        <f>_xlfn.XLOOKUP(A17,'Subbu- Mini Project EXcel Clean'!A17:A1016,'Subbu- Mini Project EXcel Clean'!H17:H1016," ",0)</f>
        <v>Pass</v>
      </c>
      <c r="H17" t="str">
        <f>VLOOKUP(A17,'Subbu- Mini Project EXcel Clean'!A16:R1016,18,)</f>
        <v>Bachelor</v>
      </c>
    </row>
    <row r="18" spans="1:8" x14ac:dyDescent="0.25">
      <c r="A18" t="s">
        <v>45</v>
      </c>
      <c r="B18">
        <f>VLOOKUP(A18,'Subbu- Mini Project EXcel Clean'!A17:R1017,2,FALSE)</f>
        <v>56.5</v>
      </c>
      <c r="C18">
        <f>VLOOKUP(A18,'Subbu- Mini Project EXcel Clean'!A17:R1017,3,FALSE)</f>
        <v>55.1</v>
      </c>
      <c r="D18">
        <f>_xlfn.XLOOKUP(A18,'Subbu- Mini Project EXcel Clean'!A18:A1017,'Subbu- Mini Project EXcel Clean'!D18:D1017,"Entry Level",0)</f>
        <v>59.6</v>
      </c>
      <c r="E18">
        <f>_xlfn.XLOOKUP(A18,'Subbu- Mini Project EXcel Clean'!A18:A1017,'Subbu- Mini Project EXcel Clean'!F18:F1017,"Entry Level",0)</f>
        <v>53.5</v>
      </c>
      <c r="F18">
        <f>_xlfn.XLOOKUP(A18,'Subbu- Mini Project EXcel Clean'!A18:A1017,'Subbu- Mini Project EXcel Clean'!G18:G1017," ",0)</f>
        <v>55.1</v>
      </c>
      <c r="G18" t="str">
        <f>_xlfn.XLOOKUP(A18,'Subbu- Mini Project EXcel Clean'!A18:A1017,'Subbu- Mini Project EXcel Clean'!H18:H1017," ",0)</f>
        <v>Pass</v>
      </c>
      <c r="H18" t="str">
        <f>VLOOKUP(A18,'Subbu- Mini Project EXcel Clean'!A17:R1017,18,)</f>
        <v>High School</v>
      </c>
    </row>
    <row r="19" spans="1:8" x14ac:dyDescent="0.25">
      <c r="A19" t="s">
        <v>46</v>
      </c>
      <c r="B19">
        <f>VLOOKUP(A19,'Subbu- Mini Project EXcel Clean'!A18:R1018,2,FALSE)</f>
        <v>72.3</v>
      </c>
      <c r="C19">
        <f>VLOOKUP(A19,'Subbu- Mini Project EXcel Clean'!A18:R1018,3,FALSE)</f>
        <v>64.900000000000006</v>
      </c>
      <c r="D19">
        <f>_xlfn.XLOOKUP(A19,'Subbu- Mini Project EXcel Clean'!A19:A1018,'Subbu- Mini Project EXcel Clean'!D19:D1018,"Entry Level",0)</f>
        <v>59.9</v>
      </c>
      <c r="E19">
        <f>_xlfn.XLOOKUP(A19,'Subbu- Mini Project EXcel Clean'!A19:A1018,'Subbu- Mini Project EXcel Clean'!F19:F1018,"Entry Level",0)</f>
        <v>81.7</v>
      </c>
      <c r="F19">
        <f>_xlfn.XLOOKUP(A19,'Subbu- Mini Project EXcel Clean'!A19:A1018,'Subbu- Mini Project EXcel Clean'!G19:G1018," ",0)</f>
        <v>75.3</v>
      </c>
      <c r="G19" t="str">
        <f>_xlfn.XLOOKUP(A19,'Subbu- Mini Project EXcel Clean'!A19:A1018,'Subbu- Mini Project EXcel Clean'!H19:H1018," ",0)</f>
        <v>Pass</v>
      </c>
      <c r="H19" t="str">
        <f>VLOOKUP(A19,'Subbu- Mini Project EXcel Clean'!A18:R1018,18,)</f>
        <v>Bachelor</v>
      </c>
    </row>
    <row r="20" spans="1:8" x14ac:dyDescent="0.25">
      <c r="A20" t="s">
        <v>47</v>
      </c>
      <c r="B20">
        <f>VLOOKUP(A20,'Subbu- Mini Project EXcel Clean'!A19:R1019,2,FALSE)</f>
        <v>63.9</v>
      </c>
      <c r="C20">
        <f>VLOOKUP(A20,'Subbu- Mini Project EXcel Clean'!A19:R1019,3,FALSE)</f>
        <v>69.099999999999994</v>
      </c>
      <c r="D20">
        <f>_xlfn.XLOOKUP(A20,'Subbu- Mini Project EXcel Clean'!A20:A1019,'Subbu- Mini Project EXcel Clean'!D20:D1019,"Entry Level",0)</f>
        <v>62</v>
      </c>
      <c r="E20">
        <f>_xlfn.XLOOKUP(A20,'Subbu- Mini Project EXcel Clean'!A20:A1019,'Subbu- Mini Project EXcel Clean'!F20:F1019,"Entry Level",0)</f>
        <v>61</v>
      </c>
      <c r="F20">
        <f>_xlfn.XLOOKUP(A20,'Subbu- Mini Project EXcel Clean'!A20:A1019,'Subbu- Mini Project EXcel Clean'!G20:G1019," ",0)</f>
        <v>62.4</v>
      </c>
      <c r="G20" t="str">
        <f>_xlfn.XLOOKUP(A20,'Subbu- Mini Project EXcel Clean'!A20:A1019,'Subbu- Mini Project EXcel Clean'!H20:H1019," ",0)</f>
        <v>Pass</v>
      </c>
      <c r="H20" t="str">
        <f>VLOOKUP(A20,'Subbu- Mini Project EXcel Clean'!A19:R1019,18,)</f>
        <v>High School</v>
      </c>
    </row>
    <row r="21" spans="1:8" x14ac:dyDescent="0.25">
      <c r="A21" t="s">
        <v>48</v>
      </c>
      <c r="B21">
        <f>VLOOKUP(A21,'Subbu- Mini Project EXcel Clean'!A20:R1020,2,FALSE)</f>
        <v>56.2</v>
      </c>
      <c r="C21">
        <f>VLOOKUP(A21,'Subbu- Mini Project EXcel Clean'!A20:R1020,3,FALSE)</f>
        <v>56.1</v>
      </c>
      <c r="D21">
        <f>_xlfn.XLOOKUP(A21,'Subbu- Mini Project EXcel Clean'!A21:A1020,'Subbu- Mini Project EXcel Clean'!D21:D1020,"Entry Level",0)</f>
        <v>57.5</v>
      </c>
      <c r="E21">
        <f>_xlfn.XLOOKUP(A21,'Subbu- Mini Project EXcel Clean'!A21:A1020,'Subbu- Mini Project EXcel Clean'!F21:F1020,"Entry Level",0)</f>
        <v>84.1</v>
      </c>
      <c r="F21">
        <f>_xlfn.XLOOKUP(A21,'Subbu- Mini Project EXcel Clean'!A21:A1020,'Subbu- Mini Project EXcel Clean'!G21:G1020," ",0)</f>
        <v>70.05</v>
      </c>
      <c r="G21" t="str">
        <f>_xlfn.XLOOKUP(A21,'Subbu- Mini Project EXcel Clean'!A21:A1020,'Subbu- Mini Project EXcel Clean'!H21:H1020," ",0)</f>
        <v>Pass</v>
      </c>
      <c r="H21" t="str">
        <f>VLOOKUP(A21,'Subbu- Mini Project EXcel Clean'!A20:R1020,18,)</f>
        <v>Bachelor</v>
      </c>
    </row>
    <row r="22" spans="1:8" x14ac:dyDescent="0.25">
      <c r="A22" t="s">
        <v>49</v>
      </c>
      <c r="B22">
        <f>VLOOKUP(A22,'Subbu- Mini Project EXcel Clean'!A21:R1021,2,FALSE)</f>
        <v>78.3</v>
      </c>
      <c r="C22">
        <f>VLOOKUP(A22,'Subbu- Mini Project EXcel Clean'!A21:R1021,3,FALSE)</f>
        <v>83.2</v>
      </c>
      <c r="D22">
        <f>_xlfn.XLOOKUP(A22,'Subbu- Mini Project EXcel Clean'!A22:A1021,'Subbu- Mini Project EXcel Clean'!D22:D1021,"Entry Level",0)</f>
        <v>74.599999999999994</v>
      </c>
      <c r="E22">
        <f>_xlfn.XLOOKUP(A22,'Subbu- Mini Project EXcel Clean'!A22:A1021,'Subbu- Mini Project EXcel Clean'!F22:F1021,"Entry Level",0)</f>
        <v>63.4</v>
      </c>
      <c r="F22">
        <f>_xlfn.XLOOKUP(A22,'Subbu- Mini Project EXcel Clean'!A22:A1021,'Subbu- Mini Project EXcel Clean'!G22:G1021," ",0)</f>
        <v>68.55</v>
      </c>
      <c r="G22" t="str">
        <f>_xlfn.XLOOKUP(A22,'Subbu- Mini Project EXcel Clean'!A22:A1021,'Subbu- Mini Project EXcel Clean'!H22:H1021," ",0)</f>
        <v>Pass</v>
      </c>
      <c r="H22" t="str">
        <f>VLOOKUP(A22,'Subbu- Mini Project EXcel Clean'!A21:R1021,18,)</f>
        <v>Bachelor</v>
      </c>
    </row>
    <row r="23" spans="1:8" x14ac:dyDescent="0.25">
      <c r="A23" t="s">
        <v>50</v>
      </c>
      <c r="B23">
        <f>VLOOKUP(A23,'Subbu- Mini Project EXcel Clean'!A22:R1022,2,FALSE)</f>
        <v>45.1</v>
      </c>
      <c r="C23">
        <f>VLOOKUP(A23,'Subbu- Mini Project EXcel Clean'!A22:R1022,3,FALSE)</f>
        <v>47.4</v>
      </c>
      <c r="D23">
        <f>_xlfn.XLOOKUP(A23,'Subbu- Mini Project EXcel Clean'!A23:A1022,'Subbu- Mini Project EXcel Clean'!D23:D1022,"Entry Level",0)</f>
        <v>61.1</v>
      </c>
      <c r="E23">
        <f>_xlfn.XLOOKUP(A23,'Subbu- Mini Project EXcel Clean'!A23:A1022,'Subbu- Mini Project EXcel Clean'!F23:F1022,"Entry Level",0)</f>
        <v>74.8</v>
      </c>
      <c r="F23">
        <f>_xlfn.XLOOKUP(A23,'Subbu- Mini Project EXcel Clean'!A23:A1022,'Subbu- Mini Project EXcel Clean'!G23:G1022," ",0)</f>
        <v>61.25</v>
      </c>
      <c r="G23" t="str">
        <f>_xlfn.XLOOKUP(A23,'Subbu- Mini Project EXcel Clean'!A23:A1022,'Subbu- Mini Project EXcel Clean'!H23:H1022," ",0)</f>
        <v>Pass</v>
      </c>
      <c r="H23" t="str">
        <f>VLOOKUP(A23,'Subbu- Mini Project EXcel Clean'!A22:R1022,18,)</f>
        <v>Bachelor</v>
      </c>
    </row>
    <row r="24" spans="1:8" x14ac:dyDescent="0.25">
      <c r="A24" t="s">
        <v>51</v>
      </c>
      <c r="B24">
        <f>VLOOKUP(A24,'Subbu- Mini Project EXcel Clean'!A23:R1023,2,FALSE)</f>
        <v>56.5</v>
      </c>
      <c r="C24">
        <f>VLOOKUP(A24,'Subbu- Mini Project EXcel Clean'!A23:R1023,3,FALSE)</f>
        <v>52.5</v>
      </c>
      <c r="D24">
        <f>_xlfn.XLOOKUP(A24,'Subbu- Mini Project EXcel Clean'!A24:A1023,'Subbu- Mini Project EXcel Clean'!D24:D1023,"Entry Level",0)</f>
        <v>57.8</v>
      </c>
      <c r="E24">
        <f>_xlfn.XLOOKUP(A24,'Subbu- Mini Project EXcel Clean'!A24:A1023,'Subbu- Mini Project EXcel Clean'!F24:F1023,"Entry Level",0)</f>
        <v>57.3</v>
      </c>
      <c r="F24">
        <f>_xlfn.XLOOKUP(A24,'Subbu- Mini Project EXcel Clean'!A24:A1023,'Subbu- Mini Project EXcel Clean'!G24:G1023," ",0)</f>
        <v>56.7</v>
      </c>
      <c r="G24" t="str">
        <f>_xlfn.XLOOKUP(A24,'Subbu- Mini Project EXcel Clean'!A24:A1023,'Subbu- Mini Project EXcel Clean'!H24:H1023," ",0)</f>
        <v>Pass</v>
      </c>
      <c r="H24" t="str">
        <f>VLOOKUP(A24,'Subbu- Mini Project EXcel Clean'!A23:R1023,18,)</f>
        <v>Bachelor</v>
      </c>
    </row>
    <row r="25" spans="1:8" x14ac:dyDescent="0.25">
      <c r="A25" t="s">
        <v>52</v>
      </c>
      <c r="B25">
        <f>VLOOKUP(A25,'Subbu- Mini Project EXcel Clean'!A24:R1024,2,FALSE)</f>
        <v>57.8</v>
      </c>
      <c r="C25">
        <f>VLOOKUP(A25,'Subbu- Mini Project EXcel Clean'!A24:R1024,3,FALSE)</f>
        <v>52.6</v>
      </c>
      <c r="D25">
        <f>_xlfn.XLOOKUP(A25,'Subbu- Mini Project EXcel Clean'!A25:A1024,'Subbu- Mini Project EXcel Clean'!D25:D1024,"Entry Level",0)</f>
        <v>55.1</v>
      </c>
      <c r="E25">
        <f>_xlfn.XLOOKUP(A25,'Subbu- Mini Project EXcel Clean'!A25:A1024,'Subbu- Mini Project EXcel Clean'!F25:F1024,"Entry Level",0)</f>
        <v>66.2</v>
      </c>
      <c r="F25">
        <f>_xlfn.XLOOKUP(A25,'Subbu- Mini Project EXcel Clean'!A25:A1024,'Subbu- Mini Project EXcel Clean'!G25:G1024," ",0)</f>
        <v>63.15</v>
      </c>
      <c r="G25" t="str">
        <f>_xlfn.XLOOKUP(A25,'Subbu- Mini Project EXcel Clean'!A25:A1024,'Subbu- Mini Project EXcel Clean'!H25:H1024," ",0)</f>
        <v>Pass</v>
      </c>
      <c r="H25" t="str">
        <f>VLOOKUP(A25,'Subbu- Mini Project EXcel Clean'!A24:R1024,18,)</f>
        <v>High School</v>
      </c>
    </row>
    <row r="26" spans="1:8" x14ac:dyDescent="0.25">
      <c r="A26" t="s">
        <v>53</v>
      </c>
      <c r="B26">
        <f>VLOOKUP(A26,'Subbu- Mini Project EXcel Clean'!A25:R1025,2,FALSE)</f>
        <v>62.9</v>
      </c>
      <c r="C26">
        <f>VLOOKUP(A26,'Subbu- Mini Project EXcel Clean'!A25:R1025,3,FALSE)</f>
        <v>56.1</v>
      </c>
      <c r="D26">
        <f>_xlfn.XLOOKUP(A26,'Subbu- Mini Project EXcel Clean'!A26:A1025,'Subbu- Mini Project EXcel Clean'!D26:D1025,"Entry Level",0)</f>
        <v>64.599999999999994</v>
      </c>
      <c r="E26">
        <f>_xlfn.XLOOKUP(A26,'Subbu- Mini Project EXcel Clean'!A26:A1025,'Subbu- Mini Project EXcel Clean'!F26:F1025,"Entry Level",0)</f>
        <v>77.099999999999994</v>
      </c>
      <c r="F26">
        <f>_xlfn.XLOOKUP(A26,'Subbu- Mini Project EXcel Clean'!A26:A1025,'Subbu- Mini Project EXcel Clean'!G26:G1025," ",0)</f>
        <v>71.099999999999994</v>
      </c>
      <c r="G26" t="str">
        <f>_xlfn.XLOOKUP(A26,'Subbu- Mini Project EXcel Clean'!A26:A1025,'Subbu- Mini Project EXcel Clean'!H26:H1025," ",0)</f>
        <v>Pass</v>
      </c>
      <c r="H26" t="str">
        <f>VLOOKUP(A26,'Subbu- Mini Project EXcel Clean'!A25:R1025,18,)</f>
        <v>High School</v>
      </c>
    </row>
    <row r="27" spans="1:8" x14ac:dyDescent="0.25">
      <c r="A27" t="s">
        <v>54</v>
      </c>
      <c r="B27">
        <f>VLOOKUP(A27,'Subbu- Mini Project EXcel Clean'!A26:R1026,2,FALSE)</f>
        <v>81.599999999999994</v>
      </c>
      <c r="C27">
        <f>VLOOKUP(A27,'Subbu- Mini Project EXcel Clean'!A26:R1026,3,FALSE)</f>
        <v>75.3</v>
      </c>
      <c r="D27">
        <f>_xlfn.XLOOKUP(A27,'Subbu- Mini Project EXcel Clean'!A27:A1026,'Subbu- Mini Project EXcel Clean'!D27:D1026,"Entry Level",0)</f>
        <v>74.3</v>
      </c>
      <c r="E27">
        <f>_xlfn.XLOOKUP(A27,'Subbu- Mini Project EXcel Clean'!A27:A1026,'Subbu- Mini Project EXcel Clean'!F27:F1026,"Entry Level",0)</f>
        <v>84.9</v>
      </c>
      <c r="F27">
        <f>_xlfn.XLOOKUP(A27,'Subbu- Mini Project EXcel Clean'!A27:A1026,'Subbu- Mini Project EXcel Clean'!G27:G1026," ",0)</f>
        <v>84.05</v>
      </c>
      <c r="G27" t="str">
        <f>_xlfn.XLOOKUP(A27,'Subbu- Mini Project EXcel Clean'!A27:A1026,'Subbu- Mini Project EXcel Clean'!H27:H1026," ",0)</f>
        <v>Pass</v>
      </c>
      <c r="H27" t="str">
        <f>VLOOKUP(A27,'Subbu- Mini Project EXcel Clean'!A26:R1026,18,)</f>
        <v>Bachelor</v>
      </c>
    </row>
    <row r="28" spans="1:8" x14ac:dyDescent="0.25">
      <c r="A28" t="s">
        <v>55</v>
      </c>
      <c r="B28">
        <f>VLOOKUP(A28,'Subbu- Mini Project EXcel Clean'!A27:R1027,2,FALSE)</f>
        <v>52.1</v>
      </c>
      <c r="C28">
        <f>VLOOKUP(A28,'Subbu- Mini Project EXcel Clean'!A27:R1027,3,FALSE)</f>
        <v>52.3</v>
      </c>
      <c r="D28">
        <f>_xlfn.XLOOKUP(A28,'Subbu- Mini Project EXcel Clean'!A28:A1027,'Subbu- Mini Project EXcel Clean'!D28:D1027,"Entry Level",0)</f>
        <v>50.6</v>
      </c>
      <c r="E28">
        <f>_xlfn.XLOOKUP(A28,'Subbu- Mini Project EXcel Clean'!A28:A1027,'Subbu- Mini Project EXcel Clean'!F28:F1027,"Entry Level",0)</f>
        <v>65.099999999999994</v>
      </c>
      <c r="F28">
        <f>_xlfn.XLOOKUP(A28,'Subbu- Mini Project EXcel Clean'!A28:A1027,'Subbu- Mini Project EXcel Clean'!G28:G1027," ",0)</f>
        <v>58.05</v>
      </c>
      <c r="G28" t="str">
        <f>_xlfn.XLOOKUP(A28,'Subbu- Mini Project EXcel Clean'!A28:A1027,'Subbu- Mini Project EXcel Clean'!H28:H1027," ",0)</f>
        <v>Pass</v>
      </c>
      <c r="H28" t="str">
        <f>VLOOKUP(A28,'Subbu- Mini Project EXcel Clean'!A27:R1027,18,)</f>
        <v>Master</v>
      </c>
    </row>
    <row r="29" spans="1:8" x14ac:dyDescent="0.25">
      <c r="A29" t="s">
        <v>56</v>
      </c>
      <c r="B29">
        <f>VLOOKUP(A29,'Subbu- Mini Project EXcel Clean'!A28:R1028,2,FALSE)</f>
        <v>65.900000000000006</v>
      </c>
      <c r="C29">
        <f>VLOOKUP(A29,'Subbu- Mini Project EXcel Clean'!A28:R1028,3,FALSE)</f>
        <v>70.8</v>
      </c>
      <c r="D29">
        <f>_xlfn.XLOOKUP(A29,'Subbu- Mini Project EXcel Clean'!A29:A1028,'Subbu- Mini Project EXcel Clean'!D29:D1028,"Entry Level",0)</f>
        <v>64.099999999999994</v>
      </c>
      <c r="E29">
        <f>_xlfn.XLOOKUP(A29,'Subbu- Mini Project EXcel Clean'!A29:A1028,'Subbu- Mini Project EXcel Clean'!F29:F1028,"Entry Level",0)</f>
        <v>80.099999999999994</v>
      </c>
      <c r="F29">
        <f>_xlfn.XLOOKUP(A29,'Subbu- Mini Project EXcel Clean'!A29:A1028,'Subbu- Mini Project EXcel Clean'!G29:G1028," ",0)</f>
        <v>74.2</v>
      </c>
      <c r="G29" t="str">
        <f>_xlfn.XLOOKUP(A29,'Subbu- Mini Project EXcel Clean'!A29:A1028,'Subbu- Mini Project EXcel Clean'!H29:H1028," ",0)</f>
        <v>Pass</v>
      </c>
      <c r="H29" t="str">
        <f>VLOOKUP(A29,'Subbu- Mini Project EXcel Clean'!A28:R1028,18,)</f>
        <v>High School</v>
      </c>
    </row>
    <row r="30" spans="1:8" x14ac:dyDescent="0.25">
      <c r="A30" t="s">
        <v>57</v>
      </c>
      <c r="B30">
        <f>VLOOKUP(A30,'Subbu- Mini Project EXcel Clean'!A29:R1029,2,FALSE)</f>
        <v>78.900000000000006</v>
      </c>
      <c r="C30">
        <f>VLOOKUP(A30,'Subbu- Mini Project EXcel Clean'!A29:R1029,3,FALSE)</f>
        <v>64.7</v>
      </c>
      <c r="D30">
        <f>_xlfn.XLOOKUP(A30,'Subbu- Mini Project EXcel Clean'!A30:A1029,'Subbu- Mini Project EXcel Clean'!D30:D1029,"Entry Level",0)</f>
        <v>77.2</v>
      </c>
      <c r="E30">
        <f>_xlfn.XLOOKUP(A30,'Subbu- Mini Project EXcel Clean'!A30:A1029,'Subbu- Mini Project EXcel Clean'!F30:F1029,"Entry Level",0)</f>
        <v>84.4</v>
      </c>
      <c r="F30">
        <f>_xlfn.XLOOKUP(A30,'Subbu- Mini Project EXcel Clean'!A30:A1029,'Subbu- Mini Project EXcel Clean'!G30:G1029," ",0)</f>
        <v>78.5</v>
      </c>
      <c r="G30" t="str">
        <f>_xlfn.XLOOKUP(A30,'Subbu- Mini Project EXcel Clean'!A30:A1029,'Subbu- Mini Project EXcel Clean'!H30:H1029," ",0)</f>
        <v>Pass</v>
      </c>
      <c r="H30" t="str">
        <f>VLOOKUP(A30,'Subbu- Mini Project EXcel Clean'!A29:R1029,18,)</f>
        <v>Bachelor</v>
      </c>
    </row>
    <row r="31" spans="1:8" x14ac:dyDescent="0.25">
      <c r="A31" t="s">
        <v>58</v>
      </c>
      <c r="B31">
        <f>VLOOKUP(A31,'Subbu- Mini Project EXcel Clean'!A30:R1030,2,FALSE)</f>
        <v>38.1</v>
      </c>
      <c r="C31">
        <f>VLOOKUP(A31,'Subbu- Mini Project EXcel Clean'!A30:R1030,3,FALSE)</f>
        <v>47</v>
      </c>
      <c r="D31">
        <f>_xlfn.XLOOKUP(A31,'Subbu- Mini Project EXcel Clean'!A31:A1030,'Subbu- Mini Project EXcel Clean'!D31:D1030,"Entry Level",0)</f>
        <v>39.799999999999997</v>
      </c>
      <c r="E31">
        <f>_xlfn.XLOOKUP(A31,'Subbu- Mini Project EXcel Clean'!A31:A1030,'Subbu- Mini Project EXcel Clean'!F31:F1030,"Entry Level",0)</f>
        <v>55.7</v>
      </c>
      <c r="F31">
        <f>_xlfn.XLOOKUP(A31,'Subbu- Mini Project EXcel Clean'!A31:A1030,'Subbu- Mini Project EXcel Clean'!G31:G1030," ",0)</f>
        <v>49.15</v>
      </c>
      <c r="G31" t="str">
        <f>_xlfn.XLOOKUP(A31,'Subbu- Mini Project EXcel Clean'!A31:A1030,'Subbu- Mini Project EXcel Clean'!H31:H1030," ",0)</f>
        <v>Fail</v>
      </c>
      <c r="H31" t="str">
        <f>VLOOKUP(A31,'Subbu- Mini Project EXcel Clean'!A30:R1030,18,)</f>
        <v>High School</v>
      </c>
    </row>
    <row r="32" spans="1:8" x14ac:dyDescent="0.25">
      <c r="A32" t="s">
        <v>59</v>
      </c>
      <c r="B32">
        <f>VLOOKUP(A32,'Subbu- Mini Project EXcel Clean'!A31:R1031,2,FALSE)</f>
        <v>72.5</v>
      </c>
      <c r="C32">
        <f>VLOOKUP(A32,'Subbu- Mini Project EXcel Clean'!A31:R1031,3,FALSE)</f>
        <v>71</v>
      </c>
      <c r="D32">
        <f>_xlfn.XLOOKUP(A32,'Subbu- Mini Project EXcel Clean'!A32:A1031,'Subbu- Mini Project EXcel Clean'!D32:D1031,"Entry Level",0)</f>
        <v>72.8</v>
      </c>
      <c r="E32">
        <f>_xlfn.XLOOKUP(A32,'Subbu- Mini Project EXcel Clean'!A32:A1031,'Subbu- Mini Project EXcel Clean'!F32:F1031,"Entry Level",0)</f>
        <v>72.7</v>
      </c>
      <c r="F32">
        <f>_xlfn.XLOOKUP(A32,'Subbu- Mini Project EXcel Clean'!A32:A1031,'Subbu- Mini Project EXcel Clean'!G32:G1031," ",0)</f>
        <v>73.05</v>
      </c>
      <c r="G32" t="str">
        <f>_xlfn.XLOOKUP(A32,'Subbu- Mini Project EXcel Clean'!A32:A1031,'Subbu- Mini Project EXcel Clean'!H32:H1031," ",0)</f>
        <v>Pass</v>
      </c>
      <c r="H32" t="str">
        <f>VLOOKUP(A32,'Subbu- Mini Project EXcel Clean'!A31:R1031,18,)</f>
        <v>Master</v>
      </c>
    </row>
    <row r="33" spans="1:8" x14ac:dyDescent="0.25">
      <c r="A33" t="s">
        <v>60</v>
      </c>
      <c r="B33">
        <f>VLOOKUP(A33,'Subbu- Mini Project EXcel Clean'!A32:R1032,2,FALSE)</f>
        <v>47.2</v>
      </c>
      <c r="C33">
        <f>VLOOKUP(A33,'Subbu- Mini Project EXcel Clean'!A32:R1032,3,FALSE)</f>
        <v>50.1</v>
      </c>
      <c r="D33">
        <f>_xlfn.XLOOKUP(A33,'Subbu- Mini Project EXcel Clean'!A33:A1032,'Subbu- Mini Project EXcel Clean'!D33:D1032,"Entry Level",0)</f>
        <v>46.2</v>
      </c>
      <c r="E33">
        <f>_xlfn.XLOOKUP(A33,'Subbu- Mini Project EXcel Clean'!A33:A1032,'Subbu- Mini Project EXcel Clean'!F33:F1032,"Entry Level",0)</f>
        <v>48.1</v>
      </c>
      <c r="F33">
        <f>_xlfn.XLOOKUP(A33,'Subbu- Mini Project EXcel Clean'!A33:A1032,'Subbu- Mini Project EXcel Clean'!G33:G1032," ",0)</f>
        <v>48.75</v>
      </c>
      <c r="G33" t="str">
        <f>_xlfn.XLOOKUP(A33,'Subbu- Mini Project EXcel Clean'!A33:A1032,'Subbu- Mini Project EXcel Clean'!H33:H1032," ",0)</f>
        <v>Fail</v>
      </c>
      <c r="H33" t="str">
        <f>VLOOKUP(A33,'Subbu- Mini Project EXcel Clean'!A32:R1032,18,)</f>
        <v>Master</v>
      </c>
    </row>
    <row r="34" spans="1:8" x14ac:dyDescent="0.25">
      <c r="A34" t="s">
        <v>61</v>
      </c>
      <c r="B34">
        <f>VLOOKUP(A34,'Subbu- Mini Project EXcel Clean'!A33:R1033,2,FALSE)</f>
        <v>50.8</v>
      </c>
      <c r="C34">
        <f>VLOOKUP(A34,'Subbu- Mini Project EXcel Clean'!A33:R1033,3,FALSE)</f>
        <v>51.6</v>
      </c>
      <c r="D34">
        <f>_xlfn.XLOOKUP(A34,'Subbu- Mini Project EXcel Clean'!A34:A1033,'Subbu- Mini Project EXcel Clean'!D34:D1033,"Entry Level",0)</f>
        <v>52.3</v>
      </c>
      <c r="E34">
        <f>_xlfn.XLOOKUP(A34,'Subbu- Mini Project EXcel Clean'!A34:A1033,'Subbu- Mini Project EXcel Clean'!F34:F1033,"Entry Level",0)</f>
        <v>62.1</v>
      </c>
      <c r="F34">
        <f>_xlfn.XLOOKUP(A34,'Subbu- Mini Project EXcel Clean'!A34:A1033,'Subbu- Mini Project EXcel Clean'!G34:G1033," ",0)</f>
        <v>52.85</v>
      </c>
      <c r="G34" t="str">
        <f>_xlfn.XLOOKUP(A34,'Subbu- Mini Project EXcel Clean'!A34:A1033,'Subbu- Mini Project EXcel Clean'!H34:H1033," ",0)</f>
        <v>Pass</v>
      </c>
      <c r="H34" t="str">
        <f>VLOOKUP(A34,'Subbu- Mini Project EXcel Clean'!A33:R1033,18,)</f>
        <v>Master</v>
      </c>
    </row>
    <row r="35" spans="1:8" x14ac:dyDescent="0.25">
      <c r="A35" t="s">
        <v>62</v>
      </c>
      <c r="B35">
        <f>VLOOKUP(A35,'Subbu- Mini Project EXcel Clean'!A34:R1034,2,FALSE)</f>
        <v>93.2</v>
      </c>
      <c r="C35">
        <f>VLOOKUP(A35,'Subbu- Mini Project EXcel Clean'!A34:R1034,3,FALSE)</f>
        <v>96.7</v>
      </c>
      <c r="D35">
        <f>_xlfn.XLOOKUP(A35,'Subbu- Mini Project EXcel Clean'!A35:A1034,'Subbu- Mini Project EXcel Clean'!D35:D1034,"Entry Level",0)</f>
        <v>90.6</v>
      </c>
      <c r="E35">
        <f>_xlfn.XLOOKUP(A35,'Subbu- Mini Project EXcel Clean'!A35:A1034,'Subbu- Mini Project EXcel Clean'!F35:F1034,"Entry Level",0)</f>
        <v>96.7</v>
      </c>
      <c r="F35">
        <f>_xlfn.XLOOKUP(A35,'Subbu- Mini Project EXcel Clean'!A35:A1034,'Subbu- Mini Project EXcel Clean'!G35:G1034," ",0)</f>
        <v>94.45</v>
      </c>
      <c r="G35" t="str">
        <f>_xlfn.XLOOKUP(A35,'Subbu- Mini Project EXcel Clean'!A35:A1034,'Subbu- Mini Project EXcel Clean'!H35:H1034," ",0)</f>
        <v>Pass</v>
      </c>
      <c r="H35" t="str">
        <f>VLOOKUP(A35,'Subbu- Mini Project EXcel Clean'!A34:R1034,18,)</f>
        <v>Bachelor</v>
      </c>
    </row>
    <row r="36" spans="1:8" x14ac:dyDescent="0.25">
      <c r="A36" t="s">
        <v>63</v>
      </c>
      <c r="B36">
        <f>VLOOKUP(A36,'Subbu- Mini Project EXcel Clean'!A35:R1035,2,FALSE)</f>
        <v>98.3</v>
      </c>
      <c r="C36">
        <f>VLOOKUP(A36,'Subbu- Mini Project EXcel Clean'!A35:R1035,3,FALSE)</f>
        <v>91.8</v>
      </c>
      <c r="D36">
        <f>_xlfn.XLOOKUP(A36,'Subbu- Mini Project EXcel Clean'!A36:A1035,'Subbu- Mini Project EXcel Clean'!D36:D1035,"Entry Level",0)</f>
        <v>102.3</v>
      </c>
      <c r="E36">
        <f>_xlfn.XLOOKUP(A36,'Subbu- Mini Project EXcel Clean'!A36:A1035,'Subbu- Mini Project EXcel Clean'!F36:F1035,"Entry Level",0)</f>
        <v>88.7</v>
      </c>
      <c r="F36">
        <f>_xlfn.XLOOKUP(A36,'Subbu- Mini Project EXcel Clean'!A36:A1035,'Subbu- Mini Project EXcel Clean'!G36:G1035," ",0)</f>
        <v>90.9</v>
      </c>
      <c r="G36" t="str">
        <f>_xlfn.XLOOKUP(A36,'Subbu- Mini Project EXcel Clean'!A36:A1035,'Subbu- Mini Project EXcel Clean'!H36:H1035," ",0)</f>
        <v>Pass</v>
      </c>
      <c r="H36" t="str">
        <f>VLOOKUP(A36,'Subbu- Mini Project EXcel Clean'!A35:R1035,18,)</f>
        <v>Bachelor</v>
      </c>
    </row>
    <row r="37" spans="1:8" x14ac:dyDescent="0.25">
      <c r="A37" t="s">
        <v>64</v>
      </c>
      <c r="B37">
        <f>VLOOKUP(A37,'Subbu- Mini Project EXcel Clean'!A36:R1036,2,FALSE)</f>
        <v>77</v>
      </c>
      <c r="C37">
        <f>VLOOKUP(A37,'Subbu- Mini Project EXcel Clean'!A36:R1036,3,FALSE)</f>
        <v>80</v>
      </c>
      <c r="D37">
        <f>_xlfn.XLOOKUP(A37,'Subbu- Mini Project EXcel Clean'!A37:A1036,'Subbu- Mini Project EXcel Clean'!D37:D1036,"Entry Level",0)</f>
        <v>88.5</v>
      </c>
      <c r="E37">
        <f>_xlfn.XLOOKUP(A37,'Subbu- Mini Project EXcel Clean'!A37:A1036,'Subbu- Mini Project EXcel Clean'!F37:F1036,"Entry Level",0)</f>
        <v>87.9</v>
      </c>
      <c r="F37">
        <f>_xlfn.XLOOKUP(A37,'Subbu- Mini Project EXcel Clean'!A37:A1036,'Subbu- Mini Project EXcel Clean'!G37:G1036," ",0)</f>
        <v>86.2</v>
      </c>
      <c r="G37" t="str">
        <f>_xlfn.XLOOKUP(A37,'Subbu- Mini Project EXcel Clean'!A37:A1036,'Subbu- Mini Project EXcel Clean'!H37:H1036," ",0)</f>
        <v>Pass</v>
      </c>
      <c r="H37" t="str">
        <f>VLOOKUP(A37,'Subbu- Mini Project EXcel Clean'!A36:R1036,18,)</f>
        <v>Master</v>
      </c>
    </row>
    <row r="38" spans="1:8" x14ac:dyDescent="0.25">
      <c r="A38" t="s">
        <v>65</v>
      </c>
      <c r="B38">
        <f>VLOOKUP(A38,'Subbu- Mini Project EXcel Clean'!A37:R1037,2,FALSE)</f>
        <v>58.1</v>
      </c>
      <c r="C38">
        <f>VLOOKUP(A38,'Subbu- Mini Project EXcel Clean'!A37:R1037,3,FALSE)</f>
        <v>46</v>
      </c>
      <c r="D38">
        <f>_xlfn.XLOOKUP(A38,'Subbu- Mini Project EXcel Clean'!A38:A1037,'Subbu- Mini Project EXcel Clean'!D38:D1037,"Entry Level",0)</f>
        <v>59.2</v>
      </c>
      <c r="E38">
        <f>_xlfn.XLOOKUP(A38,'Subbu- Mini Project EXcel Clean'!A38:A1037,'Subbu- Mini Project EXcel Clean'!F38:F1037,"Entry Level",0)</f>
        <v>73.2</v>
      </c>
      <c r="F38">
        <f>_xlfn.XLOOKUP(A38,'Subbu- Mini Project EXcel Clean'!A38:A1037,'Subbu- Mini Project EXcel Clean'!G38:G1037," ",0)</f>
        <v>65</v>
      </c>
      <c r="G38" t="str">
        <f>_xlfn.XLOOKUP(A38,'Subbu- Mini Project EXcel Clean'!A38:A1037,'Subbu- Mini Project EXcel Clean'!H38:H1037," ",0)</f>
        <v>Pass</v>
      </c>
      <c r="H38" t="str">
        <f>VLOOKUP(A38,'Subbu- Mini Project EXcel Clean'!A37:R1037,18,)</f>
        <v>High School</v>
      </c>
    </row>
    <row r="39" spans="1:8" x14ac:dyDescent="0.25">
      <c r="A39" t="s">
        <v>66</v>
      </c>
      <c r="B39">
        <f>VLOOKUP(A39,'Subbu- Mini Project EXcel Clean'!A38:R1038,2,FALSE)</f>
        <v>49.8</v>
      </c>
      <c r="C39">
        <f>VLOOKUP(A39,'Subbu- Mini Project EXcel Clean'!A38:R1038,3,FALSE)</f>
        <v>41.8</v>
      </c>
      <c r="D39">
        <f>_xlfn.XLOOKUP(A39,'Subbu- Mini Project EXcel Clean'!A39:A1038,'Subbu- Mini Project EXcel Clean'!D39:D1038,"Entry Level",0)</f>
        <v>47.2</v>
      </c>
      <c r="E39">
        <f>_xlfn.XLOOKUP(A39,'Subbu- Mini Project EXcel Clean'!A39:A1038,'Subbu- Mini Project EXcel Clean'!F39:F1038,"Entry Level",0)</f>
        <v>50.2</v>
      </c>
      <c r="F39">
        <f>_xlfn.XLOOKUP(A39,'Subbu- Mini Project EXcel Clean'!A39:A1038,'Subbu- Mini Project EXcel Clean'!G39:G1038," ",0)</f>
        <v>47.8</v>
      </c>
      <c r="G39" t="str">
        <f>_xlfn.XLOOKUP(A39,'Subbu- Mini Project EXcel Clean'!A39:A1038,'Subbu- Mini Project EXcel Clean'!H39:H1038," ",0)</f>
        <v>Fail</v>
      </c>
      <c r="H39" t="str">
        <f>VLOOKUP(A39,'Subbu- Mini Project EXcel Clean'!A38:R1038,18,)</f>
        <v>High School</v>
      </c>
    </row>
    <row r="40" spans="1:8" x14ac:dyDescent="0.25">
      <c r="A40" t="s">
        <v>67</v>
      </c>
      <c r="B40">
        <f>VLOOKUP(A40,'Subbu- Mini Project EXcel Clean'!A39:R1039,2,FALSE)</f>
        <v>78</v>
      </c>
      <c r="C40">
        <f>VLOOKUP(A40,'Subbu- Mini Project EXcel Clean'!A39:R1039,3,FALSE)</f>
        <v>76.599999999999994</v>
      </c>
      <c r="D40">
        <f>_xlfn.XLOOKUP(A40,'Subbu- Mini Project EXcel Clean'!A40:A1039,'Subbu- Mini Project EXcel Clean'!D40:D1039,"Entry Level",0)</f>
        <v>79.599999999999994</v>
      </c>
      <c r="E40">
        <f>_xlfn.XLOOKUP(A40,'Subbu- Mini Project EXcel Clean'!A40:A1039,'Subbu- Mini Project EXcel Clean'!F40:F1039,"Entry Level",0)</f>
        <v>65.7</v>
      </c>
      <c r="F40">
        <f>_xlfn.XLOOKUP(A40,'Subbu- Mini Project EXcel Clean'!A40:A1039,'Subbu- Mini Project EXcel Clean'!G40:G1039," ",0)</f>
        <v>71.650000000000006</v>
      </c>
      <c r="G40" t="str">
        <f>_xlfn.XLOOKUP(A40,'Subbu- Mini Project EXcel Clean'!A40:A1039,'Subbu- Mini Project EXcel Clean'!H40:H1039," ",0)</f>
        <v>Pass</v>
      </c>
      <c r="H40" t="str">
        <f>VLOOKUP(A40,'Subbu- Mini Project EXcel Clean'!A39:R1039,18,)</f>
        <v>Master</v>
      </c>
    </row>
    <row r="41" spans="1:8" x14ac:dyDescent="0.25">
      <c r="A41" t="s">
        <v>68</v>
      </c>
      <c r="B41">
        <f>VLOOKUP(A41,'Subbu- Mini Project EXcel Clean'!A40:R1040,2,FALSE)</f>
        <v>69.5</v>
      </c>
      <c r="C41">
        <f>VLOOKUP(A41,'Subbu- Mini Project EXcel Clean'!A40:R1040,3,FALSE)</f>
        <v>59.3</v>
      </c>
      <c r="D41">
        <f>_xlfn.XLOOKUP(A41,'Subbu- Mini Project EXcel Clean'!A41:A1040,'Subbu- Mini Project EXcel Clean'!D41:D1040,"Entry Level",0)</f>
        <v>54.6</v>
      </c>
      <c r="E41">
        <f>_xlfn.XLOOKUP(A41,'Subbu- Mini Project EXcel Clean'!A41:A1040,'Subbu- Mini Project EXcel Clean'!F41:F1040,"Entry Level",0)</f>
        <v>63.5</v>
      </c>
      <c r="F41">
        <f>_xlfn.XLOOKUP(A41,'Subbu- Mini Project EXcel Clean'!A41:A1040,'Subbu- Mini Project EXcel Clean'!G41:G1040," ",0)</f>
        <v>63.85</v>
      </c>
      <c r="G41" t="str">
        <f>_xlfn.XLOOKUP(A41,'Subbu- Mini Project EXcel Clean'!A41:A1040,'Subbu- Mini Project EXcel Clean'!H41:H1040," ",0)</f>
        <v>Pass</v>
      </c>
      <c r="H41" t="str">
        <f>VLOOKUP(A41,'Subbu- Mini Project EXcel Clean'!A40:R1040,18,)</f>
        <v>Bachelor</v>
      </c>
    </row>
    <row r="42" spans="1:8" x14ac:dyDescent="0.25">
      <c r="A42" t="s">
        <v>69</v>
      </c>
      <c r="B42">
        <f>VLOOKUP(A42,'Subbu- Mini Project EXcel Clean'!A41:R1041,2,FALSE)</f>
        <v>44.1</v>
      </c>
      <c r="C42">
        <f>VLOOKUP(A42,'Subbu- Mini Project EXcel Clean'!A41:R1041,3,FALSE)</f>
        <v>46.1</v>
      </c>
      <c r="D42">
        <f>_xlfn.XLOOKUP(A42,'Subbu- Mini Project EXcel Clean'!A42:A1041,'Subbu- Mini Project EXcel Clean'!D42:D1041,"Entry Level",0)</f>
        <v>45.3</v>
      </c>
      <c r="E42">
        <f>_xlfn.XLOOKUP(A42,'Subbu- Mini Project EXcel Clean'!A42:A1041,'Subbu- Mini Project EXcel Clean'!F42:F1041,"Entry Level",0)</f>
        <v>56.7</v>
      </c>
      <c r="F42">
        <f>_xlfn.XLOOKUP(A42,'Subbu- Mini Project EXcel Clean'!A42:A1041,'Subbu- Mini Project EXcel Clean'!G42:G1041," ",0)</f>
        <v>51.7</v>
      </c>
      <c r="G42" t="str">
        <f>_xlfn.XLOOKUP(A42,'Subbu- Mini Project EXcel Clean'!A42:A1041,'Subbu- Mini Project EXcel Clean'!H42:H1041," ",0)</f>
        <v>Pass</v>
      </c>
      <c r="H42" t="str">
        <f>VLOOKUP(A42,'Subbu- Mini Project EXcel Clean'!A41:R1041,18,)</f>
        <v>High School</v>
      </c>
    </row>
    <row r="43" spans="1:8" x14ac:dyDescent="0.25">
      <c r="A43" t="s">
        <v>70</v>
      </c>
      <c r="B43">
        <f>VLOOKUP(A43,'Subbu- Mini Project EXcel Clean'!A42:R1042,2,FALSE)</f>
        <v>74.3</v>
      </c>
      <c r="C43">
        <f>VLOOKUP(A43,'Subbu- Mini Project EXcel Clean'!A42:R1042,3,FALSE)</f>
        <v>67.599999999999994</v>
      </c>
      <c r="D43">
        <f>_xlfn.XLOOKUP(A43,'Subbu- Mini Project EXcel Clean'!A43:A1042,'Subbu- Mini Project EXcel Clean'!D43:D1042,"Entry Level",0)</f>
        <v>71.5</v>
      </c>
      <c r="E43">
        <f>_xlfn.XLOOKUP(A43,'Subbu- Mini Project EXcel Clean'!A43:A1042,'Subbu- Mini Project EXcel Clean'!F43:F1042,"Entry Level",0)</f>
        <v>80.2</v>
      </c>
      <c r="F43">
        <f>_xlfn.XLOOKUP(A43,'Subbu- Mini Project EXcel Clean'!A43:A1042,'Subbu- Mini Project EXcel Clean'!G43:G1042," ",0)</f>
        <v>73.7</v>
      </c>
      <c r="G43" t="str">
        <f>_xlfn.XLOOKUP(A43,'Subbu- Mini Project EXcel Clean'!A43:A1042,'Subbu- Mini Project EXcel Clean'!H43:H1042," ",0)</f>
        <v>Pass</v>
      </c>
      <c r="H43" t="str">
        <f>VLOOKUP(A43,'Subbu- Mini Project EXcel Clean'!A42:R1042,18,)</f>
        <v>High School</v>
      </c>
    </row>
    <row r="44" spans="1:8" x14ac:dyDescent="0.25">
      <c r="A44" t="s">
        <v>71</v>
      </c>
      <c r="B44">
        <f>VLOOKUP(A44,'Subbu- Mini Project EXcel Clean'!A43:R1043,2,FALSE)</f>
        <v>53.4</v>
      </c>
      <c r="C44">
        <f>VLOOKUP(A44,'Subbu- Mini Project EXcel Clean'!A43:R1043,3,FALSE)</f>
        <v>40.799999999999997</v>
      </c>
      <c r="D44">
        <f>_xlfn.XLOOKUP(A44,'Subbu- Mini Project EXcel Clean'!A44:A1043,'Subbu- Mini Project EXcel Clean'!D44:D1043,"Entry Level",0)</f>
        <v>41.6</v>
      </c>
      <c r="E44">
        <f>_xlfn.XLOOKUP(A44,'Subbu- Mini Project EXcel Clean'!A44:A1043,'Subbu- Mini Project EXcel Clean'!F44:F1043,"Entry Level",0)</f>
        <v>55.1</v>
      </c>
      <c r="F44">
        <f>_xlfn.XLOOKUP(A44,'Subbu- Mini Project EXcel Clean'!A44:A1043,'Subbu- Mini Project EXcel Clean'!G44:G1043," ",0)</f>
        <v>48.5</v>
      </c>
      <c r="G44" t="str">
        <f>_xlfn.XLOOKUP(A44,'Subbu- Mini Project EXcel Clean'!A44:A1043,'Subbu- Mini Project EXcel Clean'!H44:H1043," ",0)</f>
        <v>Fail</v>
      </c>
      <c r="H44" t="str">
        <f>VLOOKUP(A44,'Subbu- Mini Project EXcel Clean'!A43:R1043,18,)</f>
        <v>High School</v>
      </c>
    </row>
    <row r="45" spans="1:8" x14ac:dyDescent="0.25">
      <c r="A45" t="s">
        <v>72</v>
      </c>
      <c r="B45">
        <f>VLOOKUP(A45,'Subbu- Mini Project EXcel Clean'!A44:R1044,2,FALSE)</f>
        <v>88.2</v>
      </c>
      <c r="C45">
        <f>VLOOKUP(A45,'Subbu- Mini Project EXcel Clean'!A44:R1044,3,FALSE)</f>
        <v>86.8</v>
      </c>
      <c r="D45">
        <f>_xlfn.XLOOKUP(A45,'Subbu- Mini Project EXcel Clean'!A45:A1044,'Subbu- Mini Project EXcel Clean'!D45:D1044,"Entry Level",0)</f>
        <v>83</v>
      </c>
      <c r="E45">
        <f>_xlfn.XLOOKUP(A45,'Subbu- Mini Project EXcel Clean'!A45:A1044,'Subbu- Mini Project EXcel Clean'!F45:F1044,"Entry Level",0)</f>
        <v>94.9</v>
      </c>
      <c r="F45">
        <f>_xlfn.XLOOKUP(A45,'Subbu- Mini Project EXcel Clean'!A45:A1044,'Subbu- Mini Project EXcel Clean'!G45:G1044," ",0)</f>
        <v>92.45</v>
      </c>
      <c r="G45" t="str">
        <f>_xlfn.XLOOKUP(A45,'Subbu- Mini Project EXcel Clean'!A45:A1044,'Subbu- Mini Project EXcel Clean'!H45:H1044," ",0)</f>
        <v>Pass</v>
      </c>
      <c r="H45" t="str">
        <f>VLOOKUP(A45,'Subbu- Mini Project EXcel Clean'!A44:R1044,18,)</f>
        <v>Bachelor</v>
      </c>
    </row>
    <row r="46" spans="1:8" x14ac:dyDescent="0.25">
      <c r="A46" t="s">
        <v>73</v>
      </c>
      <c r="B46">
        <f>VLOOKUP(A46,'Subbu- Mini Project EXcel Clean'!A45:R1045,2,FALSE)</f>
        <v>52</v>
      </c>
      <c r="C46">
        <f>VLOOKUP(A46,'Subbu- Mini Project EXcel Clean'!A45:R1045,3,FALSE)</f>
        <v>55.1</v>
      </c>
      <c r="D46">
        <f>_xlfn.XLOOKUP(A46,'Subbu- Mini Project EXcel Clean'!A46:A1045,'Subbu- Mini Project EXcel Clean'!D46:D1045,"Entry Level",0)</f>
        <v>54</v>
      </c>
      <c r="E46">
        <f>_xlfn.XLOOKUP(A46,'Subbu- Mini Project EXcel Clean'!A46:A1045,'Subbu- Mini Project EXcel Clean'!F46:F1045,"Entry Level",0)</f>
        <v>55.9</v>
      </c>
      <c r="F46">
        <f>_xlfn.XLOOKUP(A46,'Subbu- Mini Project EXcel Clean'!A46:A1045,'Subbu- Mini Project EXcel Clean'!G46:G1045," ",0)</f>
        <v>55.05</v>
      </c>
      <c r="G46" t="str">
        <f>_xlfn.XLOOKUP(A46,'Subbu- Mini Project EXcel Clean'!A46:A1045,'Subbu- Mini Project EXcel Clean'!H46:H1045," ",0)</f>
        <v>Pass</v>
      </c>
      <c r="H46" t="str">
        <f>VLOOKUP(A46,'Subbu- Mini Project EXcel Clean'!A45:R1045,18,)</f>
        <v>Master</v>
      </c>
    </row>
    <row r="47" spans="1:8" x14ac:dyDescent="0.25">
      <c r="A47" t="s">
        <v>74</v>
      </c>
      <c r="B47">
        <f>VLOOKUP(A47,'Subbu- Mini Project EXcel Clean'!A46:R1046,2,FALSE)</f>
        <v>83.7</v>
      </c>
      <c r="C47">
        <f>VLOOKUP(A47,'Subbu- Mini Project EXcel Clean'!A46:R1046,3,FALSE)</f>
        <v>78.599999999999994</v>
      </c>
      <c r="D47">
        <f>_xlfn.XLOOKUP(A47,'Subbu- Mini Project EXcel Clean'!A47:A1046,'Subbu- Mini Project EXcel Clean'!D47:D1046,"Entry Level",0)</f>
        <v>85</v>
      </c>
      <c r="E47">
        <f>_xlfn.XLOOKUP(A47,'Subbu- Mini Project EXcel Clean'!A47:A1046,'Subbu- Mini Project EXcel Clean'!F47:F1046,"Entry Level",0)</f>
        <v>77.3</v>
      </c>
      <c r="F47">
        <f>_xlfn.XLOOKUP(A47,'Subbu- Mini Project EXcel Clean'!A47:A1046,'Subbu- Mini Project EXcel Clean'!G47:G1046," ",0)</f>
        <v>76.849999999999994</v>
      </c>
      <c r="G47" t="str">
        <f>_xlfn.XLOOKUP(A47,'Subbu- Mini Project EXcel Clean'!A47:A1046,'Subbu- Mini Project EXcel Clean'!H47:H1046," ",0)</f>
        <v>Pass</v>
      </c>
      <c r="H47" t="str">
        <f>VLOOKUP(A47,'Subbu- Mini Project EXcel Clean'!A46:R1046,18,)</f>
        <v>Bachelor</v>
      </c>
    </row>
    <row r="48" spans="1:8" x14ac:dyDescent="0.25">
      <c r="A48" t="s">
        <v>75</v>
      </c>
      <c r="B48">
        <f>VLOOKUP(A48,'Subbu- Mini Project EXcel Clean'!A47:R1047,2,FALSE)</f>
        <v>65</v>
      </c>
      <c r="C48">
        <f>VLOOKUP(A48,'Subbu- Mini Project EXcel Clean'!A47:R1047,3,FALSE)</f>
        <v>51.7</v>
      </c>
      <c r="D48">
        <f>_xlfn.XLOOKUP(A48,'Subbu- Mini Project EXcel Clean'!A48:A1047,'Subbu- Mini Project EXcel Clean'!D48:D1047,"Entry Level",0)</f>
        <v>63.4</v>
      </c>
      <c r="E48">
        <f>_xlfn.XLOOKUP(A48,'Subbu- Mini Project EXcel Clean'!A48:A1047,'Subbu- Mini Project EXcel Clean'!F48:F1047,"Entry Level",0)</f>
        <v>57.8</v>
      </c>
      <c r="F48">
        <f>_xlfn.XLOOKUP(A48,'Subbu- Mini Project EXcel Clean'!A48:A1047,'Subbu- Mini Project EXcel Clean'!G48:G1047," ",0)</f>
        <v>57.45</v>
      </c>
      <c r="G48" t="str">
        <f>_xlfn.XLOOKUP(A48,'Subbu- Mini Project EXcel Clean'!A48:A1047,'Subbu- Mini Project EXcel Clean'!H48:H1047," ",0)</f>
        <v>Pass</v>
      </c>
      <c r="H48" t="str">
        <f>VLOOKUP(A48,'Subbu- Mini Project EXcel Clean'!A47:R1047,18,)</f>
        <v>High School</v>
      </c>
    </row>
    <row r="49" spans="1:8" x14ac:dyDescent="0.25">
      <c r="A49" t="s">
        <v>76</v>
      </c>
      <c r="B49">
        <f>VLOOKUP(A49,'Subbu- Mini Project EXcel Clean'!A48:R1048,2,FALSE)</f>
        <v>66</v>
      </c>
      <c r="C49">
        <f>VLOOKUP(A49,'Subbu- Mini Project EXcel Clean'!A48:R1048,3,FALSE)</f>
        <v>75.7</v>
      </c>
      <c r="D49">
        <f>_xlfn.XLOOKUP(A49,'Subbu- Mini Project EXcel Clean'!A49:A1048,'Subbu- Mini Project EXcel Clean'!D49:D1048,"Entry Level",0)</f>
        <v>68.3</v>
      </c>
      <c r="E49">
        <f>_xlfn.XLOOKUP(A49,'Subbu- Mini Project EXcel Clean'!A49:A1048,'Subbu- Mini Project EXcel Clean'!F49:F1048,"Entry Level",0)</f>
        <v>75.900000000000006</v>
      </c>
      <c r="F49">
        <f>_xlfn.XLOOKUP(A49,'Subbu- Mini Project EXcel Clean'!A49:A1048,'Subbu- Mini Project EXcel Clean'!G49:G1048," ",0)</f>
        <v>72.25</v>
      </c>
      <c r="G49" t="str">
        <f>_xlfn.XLOOKUP(A49,'Subbu- Mini Project EXcel Clean'!A49:A1048,'Subbu- Mini Project EXcel Clean'!H49:H1048," ",0)</f>
        <v>Pass</v>
      </c>
      <c r="H49" t="str">
        <f>VLOOKUP(A49,'Subbu- Mini Project EXcel Clean'!A48:R1048,18,)</f>
        <v>Master</v>
      </c>
    </row>
    <row r="50" spans="1:8" x14ac:dyDescent="0.25">
      <c r="A50" t="s">
        <v>77</v>
      </c>
      <c r="B50">
        <f>VLOOKUP(A50,'Subbu- Mini Project EXcel Clean'!A49:R1049,2,FALSE)</f>
        <v>68</v>
      </c>
      <c r="C50">
        <f>VLOOKUP(A50,'Subbu- Mini Project EXcel Clean'!A49:R1049,3,FALSE)</f>
        <v>69.599999999999994</v>
      </c>
      <c r="D50">
        <f>_xlfn.XLOOKUP(A50,'Subbu- Mini Project EXcel Clean'!A50:A1049,'Subbu- Mini Project EXcel Clean'!D50:D1049,"Entry Level",0)</f>
        <v>74.8</v>
      </c>
      <c r="E50">
        <f>_xlfn.XLOOKUP(A50,'Subbu- Mini Project EXcel Clean'!A50:A1049,'Subbu- Mini Project EXcel Clean'!F50:F1049,"Entry Level",0)</f>
        <v>61.5</v>
      </c>
      <c r="F50">
        <f>_xlfn.XLOOKUP(A50,'Subbu- Mini Project EXcel Clean'!A50:A1049,'Subbu- Mini Project EXcel Clean'!G50:G1049," ",0)</f>
        <v>65.8</v>
      </c>
      <c r="G50" t="str">
        <f>_xlfn.XLOOKUP(A50,'Subbu- Mini Project EXcel Clean'!A50:A1049,'Subbu- Mini Project EXcel Clean'!H50:H1049," ",0)</f>
        <v>Pass</v>
      </c>
      <c r="H50" t="str">
        <f>VLOOKUP(A50,'Subbu- Mini Project EXcel Clean'!A49:R1049,18,)</f>
        <v>Bachelor</v>
      </c>
    </row>
    <row r="51" spans="1:8" x14ac:dyDescent="0.25">
      <c r="A51" t="s">
        <v>78</v>
      </c>
      <c r="B51">
        <f>VLOOKUP(A51,'Subbu- Mini Project EXcel Clean'!A50:R1050,2,FALSE)</f>
        <v>48.8</v>
      </c>
      <c r="C51">
        <f>VLOOKUP(A51,'Subbu- Mini Project EXcel Clean'!A50:R1050,3,FALSE)</f>
        <v>50.3</v>
      </c>
      <c r="D51">
        <f>_xlfn.XLOOKUP(A51,'Subbu- Mini Project EXcel Clean'!A51:A1050,'Subbu- Mini Project EXcel Clean'!D51:D1050,"Entry Level",0)</f>
        <v>48.3</v>
      </c>
      <c r="E51">
        <f>_xlfn.XLOOKUP(A51,'Subbu- Mini Project EXcel Clean'!A51:A1050,'Subbu- Mini Project EXcel Clean'!F51:F1050,"Entry Level",0)</f>
        <v>64.900000000000006</v>
      </c>
      <c r="F51">
        <f>_xlfn.XLOOKUP(A51,'Subbu- Mini Project EXcel Clean'!A51:A1050,'Subbu- Mini Project EXcel Clean'!G51:G1050," ",0)</f>
        <v>57.55</v>
      </c>
      <c r="G51" t="str">
        <f>_xlfn.XLOOKUP(A51,'Subbu- Mini Project EXcel Clean'!A51:A1050,'Subbu- Mini Project EXcel Clean'!H51:H1050," ",0)</f>
        <v>Pass</v>
      </c>
      <c r="H51" t="str">
        <f>VLOOKUP(A51,'Subbu- Mini Project EXcel Clean'!A50:R1050,18,)</f>
        <v>Master</v>
      </c>
    </row>
    <row r="52" spans="1:8" x14ac:dyDescent="0.25">
      <c r="A52" t="s">
        <v>79</v>
      </c>
      <c r="B52">
        <f>VLOOKUP(A52,'Subbu- Mini Project EXcel Clean'!A51:R1051,2,FALSE)</f>
        <v>86.6</v>
      </c>
      <c r="C52">
        <f>VLOOKUP(A52,'Subbu- Mini Project EXcel Clean'!A51:R1051,3,FALSE)</f>
        <v>96.9</v>
      </c>
      <c r="D52">
        <f>_xlfn.XLOOKUP(A52,'Subbu- Mini Project EXcel Clean'!A52:A1051,'Subbu- Mini Project EXcel Clean'!D52:D1051,"Entry Level",0)</f>
        <v>84.8</v>
      </c>
      <c r="E52">
        <f>_xlfn.XLOOKUP(A52,'Subbu- Mini Project EXcel Clean'!A52:A1051,'Subbu- Mini Project EXcel Clean'!F52:F1051,"Entry Level",0)</f>
        <v>100</v>
      </c>
      <c r="F52">
        <f>_xlfn.XLOOKUP(A52,'Subbu- Mini Project EXcel Clean'!A52:A1051,'Subbu- Mini Project EXcel Clean'!G52:G1051," ",0)</f>
        <v>96.65</v>
      </c>
      <c r="G52" t="str">
        <f>_xlfn.XLOOKUP(A52,'Subbu- Mini Project EXcel Clean'!A52:A1051,'Subbu- Mini Project EXcel Clean'!H52:H1051," ",0)</f>
        <v>Pass</v>
      </c>
      <c r="H52" t="str">
        <f>VLOOKUP(A52,'Subbu- Mini Project EXcel Clean'!A51:R1051,18,)</f>
        <v>High School</v>
      </c>
    </row>
    <row r="53" spans="1:8" x14ac:dyDescent="0.25">
      <c r="A53" t="s">
        <v>80</v>
      </c>
      <c r="B53">
        <f>VLOOKUP(A53,'Subbu- Mini Project EXcel Clean'!A52:R1052,2,FALSE)</f>
        <v>78</v>
      </c>
      <c r="C53">
        <f>VLOOKUP(A53,'Subbu- Mini Project EXcel Clean'!A52:R1052,3,FALSE)</f>
        <v>83.8</v>
      </c>
      <c r="D53">
        <f>_xlfn.XLOOKUP(A53,'Subbu- Mini Project EXcel Clean'!A53:A1052,'Subbu- Mini Project EXcel Clean'!D53:D1052,"Entry Level",0)</f>
        <v>78</v>
      </c>
      <c r="E53">
        <f>_xlfn.XLOOKUP(A53,'Subbu- Mini Project EXcel Clean'!A53:A1052,'Subbu- Mini Project EXcel Clean'!F53:F1052,"Entry Level",0)</f>
        <v>75.099999999999994</v>
      </c>
      <c r="F53">
        <f>_xlfn.XLOOKUP(A53,'Subbu- Mini Project EXcel Clean'!A53:A1052,'Subbu- Mini Project EXcel Clean'!G53:G1052," ",0)</f>
        <v>78.849999999999994</v>
      </c>
      <c r="G53" t="str">
        <f>_xlfn.XLOOKUP(A53,'Subbu- Mini Project EXcel Clean'!A53:A1052,'Subbu- Mini Project EXcel Clean'!H53:H1052," ",0)</f>
        <v>Pass</v>
      </c>
      <c r="H53" t="str">
        <f>VLOOKUP(A53,'Subbu- Mini Project EXcel Clean'!A52:R1052,18,)</f>
        <v>Bachelor</v>
      </c>
    </row>
    <row r="54" spans="1:8" x14ac:dyDescent="0.25">
      <c r="A54" t="s">
        <v>81</v>
      </c>
      <c r="B54">
        <f>VLOOKUP(A54,'Subbu- Mini Project EXcel Clean'!A53:R1053,2,FALSE)</f>
        <v>86.7</v>
      </c>
      <c r="C54">
        <f>VLOOKUP(A54,'Subbu- Mini Project EXcel Clean'!A53:R1053,3,FALSE)</f>
        <v>96.4</v>
      </c>
      <c r="D54">
        <f>_xlfn.XLOOKUP(A54,'Subbu- Mini Project EXcel Clean'!A54:A1053,'Subbu- Mini Project EXcel Clean'!D54:D1053,"Entry Level",0)</f>
        <v>99.5</v>
      </c>
      <c r="E54">
        <f>_xlfn.XLOOKUP(A54,'Subbu- Mini Project EXcel Clean'!A54:A1053,'Subbu- Mini Project EXcel Clean'!F54:F1053,"Entry Level",0)</f>
        <v>92.6</v>
      </c>
      <c r="F54">
        <f>_xlfn.XLOOKUP(A54,'Subbu- Mini Project EXcel Clean'!A54:A1053,'Subbu- Mini Project EXcel Clean'!G54:G1053," ",0)</f>
        <v>92.15</v>
      </c>
      <c r="G54" t="str">
        <f>_xlfn.XLOOKUP(A54,'Subbu- Mini Project EXcel Clean'!A54:A1053,'Subbu- Mini Project EXcel Clean'!H54:H1053," ",0)</f>
        <v>Pass</v>
      </c>
      <c r="H54" t="str">
        <f>VLOOKUP(A54,'Subbu- Mini Project EXcel Clean'!A53:R1053,18,)</f>
        <v>Master</v>
      </c>
    </row>
    <row r="55" spans="1:8" x14ac:dyDescent="0.25">
      <c r="A55" t="s">
        <v>82</v>
      </c>
      <c r="B55">
        <f>VLOOKUP(A55,'Subbu- Mini Project EXcel Clean'!A54:R1054,2,FALSE)</f>
        <v>85.4</v>
      </c>
      <c r="C55">
        <f>VLOOKUP(A55,'Subbu- Mini Project EXcel Clean'!A54:R1054,3,FALSE)</f>
        <v>90.7</v>
      </c>
      <c r="D55">
        <f>_xlfn.XLOOKUP(A55,'Subbu- Mini Project EXcel Clean'!A55:A1054,'Subbu- Mini Project EXcel Clean'!D55:D1054,"Entry Level",0)</f>
        <v>87.8</v>
      </c>
      <c r="E55">
        <f>_xlfn.XLOOKUP(A55,'Subbu- Mini Project EXcel Clean'!A55:A1054,'Subbu- Mini Project EXcel Clean'!F55:F1054,"Entry Level",0)</f>
        <v>91.7</v>
      </c>
      <c r="F55">
        <f>_xlfn.XLOOKUP(A55,'Subbu- Mini Project EXcel Clean'!A55:A1054,'Subbu- Mini Project EXcel Clean'!G55:G1054," ",0)</f>
        <v>90.45</v>
      </c>
      <c r="G55" t="str">
        <f>_xlfn.XLOOKUP(A55,'Subbu- Mini Project EXcel Clean'!A55:A1054,'Subbu- Mini Project EXcel Clean'!H55:H1054," ",0)</f>
        <v>Pass</v>
      </c>
      <c r="H55" t="str">
        <f>VLOOKUP(A55,'Subbu- Mini Project EXcel Clean'!A54:R1054,18,)</f>
        <v>Bachelor</v>
      </c>
    </row>
    <row r="56" spans="1:8" x14ac:dyDescent="0.25">
      <c r="A56" t="s">
        <v>83</v>
      </c>
      <c r="B56">
        <f>VLOOKUP(A56,'Subbu- Mini Project EXcel Clean'!A55:R1055,2,FALSE)</f>
        <v>72.7</v>
      </c>
      <c r="C56">
        <f>VLOOKUP(A56,'Subbu- Mini Project EXcel Clean'!A55:R1055,3,FALSE)</f>
        <v>69.8</v>
      </c>
      <c r="D56">
        <f>_xlfn.XLOOKUP(A56,'Subbu- Mini Project EXcel Clean'!A56:A1055,'Subbu- Mini Project EXcel Clean'!D56:D1055,"Entry Level",0)</f>
        <v>71.7</v>
      </c>
      <c r="E56">
        <f>_xlfn.XLOOKUP(A56,'Subbu- Mini Project EXcel Clean'!A56:A1055,'Subbu- Mini Project EXcel Clean'!F56:F1055,"Entry Level",0)</f>
        <v>74.2</v>
      </c>
      <c r="F56">
        <f>_xlfn.XLOOKUP(A56,'Subbu- Mini Project EXcel Clean'!A56:A1055,'Subbu- Mini Project EXcel Clean'!G56:G1055," ",0)</f>
        <v>73.55</v>
      </c>
      <c r="G56" t="str">
        <f>_xlfn.XLOOKUP(A56,'Subbu- Mini Project EXcel Clean'!A56:A1055,'Subbu- Mini Project EXcel Clean'!H56:H1055," ",0)</f>
        <v>Pass</v>
      </c>
      <c r="H56" t="str">
        <f>VLOOKUP(A56,'Subbu- Mini Project EXcel Clean'!A55:R1055,18,)</f>
        <v>High School</v>
      </c>
    </row>
    <row r="57" spans="1:8" x14ac:dyDescent="0.25">
      <c r="A57" t="s">
        <v>84</v>
      </c>
      <c r="B57">
        <f>VLOOKUP(A57,'Subbu- Mini Project EXcel Clean'!A56:R1056,2,FALSE)</f>
        <v>91.9</v>
      </c>
      <c r="C57">
        <f>VLOOKUP(A57,'Subbu- Mini Project EXcel Clean'!A56:R1056,3,FALSE)</f>
        <v>92.5</v>
      </c>
      <c r="D57">
        <f>_xlfn.XLOOKUP(A57,'Subbu- Mini Project EXcel Clean'!A57:A1056,'Subbu- Mini Project EXcel Clean'!D57:D1056,"Entry Level",0)</f>
        <v>89.2</v>
      </c>
      <c r="E57">
        <f>_xlfn.XLOOKUP(A57,'Subbu- Mini Project EXcel Clean'!A57:A1056,'Subbu- Mini Project EXcel Clean'!F57:F1056,"Entry Level",0)</f>
        <v>82.4</v>
      </c>
      <c r="F57">
        <f>_xlfn.XLOOKUP(A57,'Subbu- Mini Project EXcel Clean'!A57:A1056,'Subbu- Mini Project EXcel Clean'!G57:G1056," ",0)</f>
        <v>86.55</v>
      </c>
      <c r="G57" t="str">
        <f>_xlfn.XLOOKUP(A57,'Subbu- Mini Project EXcel Clean'!A57:A1056,'Subbu- Mini Project EXcel Clean'!H57:H1056," ",0)</f>
        <v>Pass</v>
      </c>
      <c r="H57" t="str">
        <f>VLOOKUP(A57,'Subbu- Mini Project EXcel Clean'!A56:R1056,18,)</f>
        <v>Master</v>
      </c>
    </row>
    <row r="58" spans="1:8" x14ac:dyDescent="0.25">
      <c r="A58" t="s">
        <v>85</v>
      </c>
      <c r="B58">
        <f>VLOOKUP(A58,'Subbu- Mini Project EXcel Clean'!A57:R1057,2,FALSE)</f>
        <v>52.6</v>
      </c>
      <c r="C58">
        <f>VLOOKUP(A58,'Subbu- Mini Project EXcel Clean'!A57:R1057,3,FALSE)</f>
        <v>39.1</v>
      </c>
      <c r="D58">
        <f>_xlfn.XLOOKUP(A58,'Subbu- Mini Project EXcel Clean'!A58:A1057,'Subbu- Mini Project EXcel Clean'!D58:D1057,"Entry Level",0)</f>
        <v>54.4</v>
      </c>
      <c r="E58">
        <f>_xlfn.XLOOKUP(A58,'Subbu- Mini Project EXcel Clean'!A58:A1057,'Subbu- Mini Project EXcel Clean'!F58:F1057,"Entry Level",0)</f>
        <v>60.1</v>
      </c>
      <c r="F58">
        <f>_xlfn.XLOOKUP(A58,'Subbu- Mini Project EXcel Clean'!A58:A1057,'Subbu- Mini Project EXcel Clean'!G58:G1057," ",0)</f>
        <v>52.5</v>
      </c>
      <c r="G58" t="str">
        <f>_xlfn.XLOOKUP(A58,'Subbu- Mini Project EXcel Clean'!A58:A1057,'Subbu- Mini Project EXcel Clean'!H58:H1057," ",0)</f>
        <v>Pass</v>
      </c>
      <c r="H58" t="str">
        <f>VLOOKUP(A58,'Subbu- Mini Project EXcel Clean'!A57:R1057,18,)</f>
        <v>High School</v>
      </c>
    </row>
    <row r="59" spans="1:8" x14ac:dyDescent="0.25">
      <c r="A59" t="s">
        <v>86</v>
      </c>
      <c r="B59">
        <f>VLOOKUP(A59,'Subbu- Mini Project EXcel Clean'!A58:R1058,2,FALSE)</f>
        <v>45.8</v>
      </c>
      <c r="C59">
        <f>VLOOKUP(A59,'Subbu- Mini Project EXcel Clean'!A58:R1058,3,FALSE)</f>
        <v>51.3</v>
      </c>
      <c r="D59">
        <f>_xlfn.XLOOKUP(A59,'Subbu- Mini Project EXcel Clean'!A59:A1058,'Subbu- Mini Project EXcel Clean'!D59:D1058,"Entry Level",0)</f>
        <v>58.9</v>
      </c>
      <c r="E59">
        <f>_xlfn.XLOOKUP(A59,'Subbu- Mini Project EXcel Clean'!A59:A1058,'Subbu- Mini Project EXcel Clean'!F59:F1058,"Entry Level",0)</f>
        <v>52.4</v>
      </c>
      <c r="F59">
        <f>_xlfn.XLOOKUP(A59,'Subbu- Mini Project EXcel Clean'!A59:A1058,'Subbu- Mini Project EXcel Clean'!G59:G1058," ",0)</f>
        <v>51.6</v>
      </c>
      <c r="G59" t="str">
        <f>_xlfn.XLOOKUP(A59,'Subbu- Mini Project EXcel Clean'!A59:A1058,'Subbu- Mini Project EXcel Clean'!H59:H1058," ",0)</f>
        <v>Pass</v>
      </c>
      <c r="H59" t="str">
        <f>VLOOKUP(A59,'Subbu- Mini Project EXcel Clean'!A58:R1058,18,)</f>
        <v>Master</v>
      </c>
    </row>
    <row r="60" spans="1:8" x14ac:dyDescent="0.25">
      <c r="A60" t="s">
        <v>87</v>
      </c>
      <c r="B60">
        <f>VLOOKUP(A60,'Subbu- Mini Project EXcel Clean'!A59:R1059,2,FALSE)</f>
        <v>47.4</v>
      </c>
      <c r="C60">
        <f>VLOOKUP(A60,'Subbu- Mini Project EXcel Clean'!A59:R1059,3,FALSE)</f>
        <v>42.3</v>
      </c>
      <c r="D60">
        <f>_xlfn.XLOOKUP(A60,'Subbu- Mini Project EXcel Clean'!A60:A1059,'Subbu- Mini Project EXcel Clean'!D60:D1059,"Entry Level",0)</f>
        <v>53.6</v>
      </c>
      <c r="E60">
        <f>_xlfn.XLOOKUP(A60,'Subbu- Mini Project EXcel Clean'!A60:A1059,'Subbu- Mini Project EXcel Clean'!F60:F1059,"Entry Level",0)</f>
        <v>51.6</v>
      </c>
      <c r="F60">
        <f>_xlfn.XLOOKUP(A60,'Subbu- Mini Project EXcel Clean'!A60:A1059,'Subbu- Mini Project EXcel Clean'!G60:G1059," ",0)</f>
        <v>47.05</v>
      </c>
      <c r="G60" t="str">
        <f>_xlfn.XLOOKUP(A60,'Subbu- Mini Project EXcel Clean'!A60:A1059,'Subbu- Mini Project EXcel Clean'!H60:H1059," ",0)</f>
        <v>Fail</v>
      </c>
      <c r="H60" t="str">
        <f>VLOOKUP(A60,'Subbu- Mini Project EXcel Clean'!A59:R1059,18,)</f>
        <v>High School</v>
      </c>
    </row>
    <row r="61" spans="1:8" x14ac:dyDescent="0.25">
      <c r="A61" t="s">
        <v>88</v>
      </c>
      <c r="B61">
        <f>VLOOKUP(A61,'Subbu- Mini Project EXcel Clean'!A60:R1060,2,FALSE)</f>
        <v>56.8</v>
      </c>
      <c r="C61">
        <f>VLOOKUP(A61,'Subbu- Mini Project EXcel Clean'!A60:R1060,3,FALSE)</f>
        <v>56.9</v>
      </c>
      <c r="D61">
        <f>_xlfn.XLOOKUP(A61,'Subbu- Mini Project EXcel Clean'!A61:A1060,'Subbu- Mini Project EXcel Clean'!D61:D1060,"Entry Level",0)</f>
        <v>57.1</v>
      </c>
      <c r="E61">
        <f>_xlfn.XLOOKUP(A61,'Subbu- Mini Project EXcel Clean'!A61:A1060,'Subbu- Mini Project EXcel Clean'!F61:F1060,"Entry Level",0)</f>
        <v>70.400000000000006</v>
      </c>
      <c r="F61">
        <f>_xlfn.XLOOKUP(A61,'Subbu- Mini Project EXcel Clean'!A61:A1060,'Subbu- Mini Project EXcel Clean'!G61:G1060," ",0)</f>
        <v>64.150000000000006</v>
      </c>
      <c r="G61" t="str">
        <f>_xlfn.XLOOKUP(A61,'Subbu- Mini Project EXcel Clean'!A61:A1060,'Subbu- Mini Project EXcel Clean'!H61:H1060," ",0)</f>
        <v>Pass</v>
      </c>
      <c r="H61" t="str">
        <f>VLOOKUP(A61,'Subbu- Mini Project EXcel Clean'!A60:R1060,18,)</f>
        <v>High School</v>
      </c>
    </row>
    <row r="62" spans="1:8" x14ac:dyDescent="0.25">
      <c r="A62" t="s">
        <v>89</v>
      </c>
      <c r="B62">
        <f>VLOOKUP(A62,'Subbu- Mini Project EXcel Clean'!A61:R1061,2,FALSE)</f>
        <v>61.1</v>
      </c>
      <c r="C62">
        <f>VLOOKUP(A62,'Subbu- Mini Project EXcel Clean'!A61:R1061,3,FALSE)</f>
        <v>60.7</v>
      </c>
      <c r="D62">
        <f>_xlfn.XLOOKUP(A62,'Subbu- Mini Project EXcel Clean'!A62:A1061,'Subbu- Mini Project EXcel Clean'!D62:D1061,"Entry Level",0)</f>
        <v>62.9</v>
      </c>
      <c r="E62">
        <f>_xlfn.XLOOKUP(A62,'Subbu- Mini Project EXcel Clean'!A62:A1061,'Subbu- Mini Project EXcel Clean'!F62:F1061,"Entry Level",0)</f>
        <v>65.599999999999994</v>
      </c>
      <c r="F62">
        <f>_xlfn.XLOOKUP(A62,'Subbu- Mini Project EXcel Clean'!A62:A1061,'Subbu- Mini Project EXcel Clean'!G62:G1061," ",0)</f>
        <v>63.5</v>
      </c>
      <c r="G62" t="str">
        <f>_xlfn.XLOOKUP(A62,'Subbu- Mini Project EXcel Clean'!A62:A1061,'Subbu- Mini Project EXcel Clean'!H62:H1061," ",0)</f>
        <v>Pass</v>
      </c>
      <c r="H62" t="str">
        <f>VLOOKUP(A62,'Subbu- Mini Project EXcel Clean'!A61:R1061,18,)</f>
        <v>Bachelor</v>
      </c>
    </row>
    <row r="63" spans="1:8" x14ac:dyDescent="0.25">
      <c r="A63" t="s">
        <v>90</v>
      </c>
      <c r="B63">
        <f>VLOOKUP(A63,'Subbu- Mini Project EXcel Clean'!A62:R1062,2,FALSE)</f>
        <v>58.3</v>
      </c>
      <c r="C63">
        <f>VLOOKUP(A63,'Subbu- Mini Project EXcel Clean'!A62:R1062,3,FALSE)</f>
        <v>45.5</v>
      </c>
      <c r="D63">
        <f>_xlfn.XLOOKUP(A63,'Subbu- Mini Project EXcel Clean'!A63:A1062,'Subbu- Mini Project EXcel Clean'!D63:D1062,"Entry Level",0)</f>
        <v>47.3</v>
      </c>
      <c r="E63">
        <f>_xlfn.XLOOKUP(A63,'Subbu- Mini Project EXcel Clean'!A63:A1062,'Subbu- Mini Project EXcel Clean'!F63:F1062,"Entry Level",0)</f>
        <v>54.8</v>
      </c>
      <c r="F63">
        <f>_xlfn.XLOOKUP(A63,'Subbu- Mini Project EXcel Clean'!A63:A1062,'Subbu- Mini Project EXcel Clean'!G63:G1062," ",0)</f>
        <v>54.85</v>
      </c>
      <c r="G63" t="str">
        <f>_xlfn.XLOOKUP(A63,'Subbu- Mini Project EXcel Clean'!A63:A1062,'Subbu- Mini Project EXcel Clean'!H63:H1062," ",0)</f>
        <v>Pass</v>
      </c>
      <c r="H63" t="str">
        <f>VLOOKUP(A63,'Subbu- Mini Project EXcel Clean'!A62:R1062,18,)</f>
        <v>High School</v>
      </c>
    </row>
    <row r="64" spans="1:8" x14ac:dyDescent="0.25">
      <c r="A64" t="s">
        <v>91</v>
      </c>
      <c r="B64">
        <f>VLOOKUP(A64,'Subbu- Mini Project EXcel Clean'!A63:R1063,2,FALSE)</f>
        <v>80</v>
      </c>
      <c r="C64">
        <f>VLOOKUP(A64,'Subbu- Mini Project EXcel Clean'!A63:R1063,3,FALSE)</f>
        <v>82.8</v>
      </c>
      <c r="D64">
        <f>_xlfn.XLOOKUP(A64,'Subbu- Mini Project EXcel Clean'!A64:A1063,'Subbu- Mini Project EXcel Clean'!D64:D1063,"Entry Level",0)</f>
        <v>93</v>
      </c>
      <c r="E64">
        <f>_xlfn.XLOOKUP(A64,'Subbu- Mini Project EXcel Clean'!A64:A1063,'Subbu- Mini Project EXcel Clean'!F64:F1063,"Entry Level",0)</f>
        <v>89.9</v>
      </c>
      <c r="F64">
        <f>_xlfn.XLOOKUP(A64,'Subbu- Mini Project EXcel Clean'!A64:A1063,'Subbu- Mini Project EXcel Clean'!G64:G1063," ",0)</f>
        <v>87.75</v>
      </c>
      <c r="G64" t="str">
        <f>_xlfn.XLOOKUP(A64,'Subbu- Mini Project EXcel Clean'!A64:A1063,'Subbu- Mini Project EXcel Clean'!H64:H1063," ",0)</f>
        <v>Pass</v>
      </c>
      <c r="H64" t="str">
        <f>VLOOKUP(A64,'Subbu- Mini Project EXcel Clean'!A63:R1063,18,)</f>
        <v>Bachelor</v>
      </c>
    </row>
    <row r="65" spans="1:8" x14ac:dyDescent="0.25">
      <c r="A65" t="s">
        <v>92</v>
      </c>
      <c r="B65">
        <f>VLOOKUP(A65,'Subbu- Mini Project EXcel Clean'!A64:R1064,2,FALSE)</f>
        <v>61.5</v>
      </c>
      <c r="C65">
        <f>VLOOKUP(A65,'Subbu- Mini Project EXcel Clean'!A64:R1064,3,FALSE)</f>
        <v>60.1</v>
      </c>
      <c r="D65">
        <f>_xlfn.XLOOKUP(A65,'Subbu- Mini Project EXcel Clean'!A65:A1064,'Subbu- Mini Project EXcel Clean'!D65:D1064,"Entry Level",0)</f>
        <v>53.8</v>
      </c>
      <c r="E65">
        <f>_xlfn.XLOOKUP(A65,'Subbu- Mini Project EXcel Clean'!A65:A1064,'Subbu- Mini Project EXcel Clean'!F65:F1064,"Entry Level",0)</f>
        <v>57.3</v>
      </c>
      <c r="F65">
        <f>_xlfn.XLOOKUP(A65,'Subbu- Mini Project EXcel Clean'!A65:A1064,'Subbu- Mini Project EXcel Clean'!G65:G1064," ",0)</f>
        <v>58.45</v>
      </c>
      <c r="G65" t="str">
        <f>_xlfn.XLOOKUP(A65,'Subbu- Mini Project EXcel Clean'!A65:A1064,'Subbu- Mini Project EXcel Clean'!H65:H1064," ",0)</f>
        <v>Pass</v>
      </c>
      <c r="H65" t="str">
        <f>VLOOKUP(A65,'Subbu- Mini Project EXcel Clean'!A64:R1064,18,)</f>
        <v>High School</v>
      </c>
    </row>
    <row r="66" spans="1:8" x14ac:dyDescent="0.25">
      <c r="A66" t="s">
        <v>93</v>
      </c>
      <c r="B66">
        <f>VLOOKUP(A66,'Subbu- Mini Project EXcel Clean'!A65:R1065,2,FALSE)</f>
        <v>56.3</v>
      </c>
      <c r="C66">
        <f>VLOOKUP(A66,'Subbu- Mini Project EXcel Clean'!A65:R1065,3,FALSE)</f>
        <v>56.3</v>
      </c>
      <c r="D66">
        <f>_xlfn.XLOOKUP(A66,'Subbu- Mini Project EXcel Clean'!A66:A1065,'Subbu- Mini Project EXcel Clean'!D66:D1065,"Entry Level",0)</f>
        <v>56.5</v>
      </c>
      <c r="E66">
        <f>_xlfn.XLOOKUP(A66,'Subbu- Mini Project EXcel Clean'!A66:A1065,'Subbu- Mini Project EXcel Clean'!F66:F1065,"Entry Level",0)</f>
        <v>57.3</v>
      </c>
      <c r="F66">
        <f>_xlfn.XLOOKUP(A66,'Subbu- Mini Project EXcel Clean'!A66:A1065,'Subbu- Mini Project EXcel Clean'!G66:G1065," ",0)</f>
        <v>56.4</v>
      </c>
      <c r="G66" t="str">
        <f>_xlfn.XLOOKUP(A66,'Subbu- Mini Project EXcel Clean'!A66:A1065,'Subbu- Mini Project EXcel Clean'!H66:H1065," ",0)</f>
        <v>Pass</v>
      </c>
      <c r="H66" t="str">
        <f>VLOOKUP(A66,'Subbu- Mini Project EXcel Clean'!A65:R1065,18,)</f>
        <v>High School</v>
      </c>
    </row>
    <row r="67" spans="1:8" x14ac:dyDescent="0.25">
      <c r="A67" t="s">
        <v>94</v>
      </c>
      <c r="B67">
        <f>VLOOKUP(A67,'Subbu- Mini Project EXcel Clean'!A66:R1066,2,FALSE)</f>
        <v>72.3</v>
      </c>
      <c r="C67">
        <f>VLOOKUP(A67,'Subbu- Mini Project EXcel Clean'!A66:R1066,3,FALSE)</f>
        <v>64.7</v>
      </c>
      <c r="D67">
        <f>_xlfn.XLOOKUP(A67,'Subbu- Mini Project EXcel Clean'!A67:A1066,'Subbu- Mini Project EXcel Clean'!D67:D1066,"Entry Level",0)</f>
        <v>64.400000000000006</v>
      </c>
      <c r="E67">
        <f>_xlfn.XLOOKUP(A67,'Subbu- Mini Project EXcel Clean'!A67:A1066,'Subbu- Mini Project EXcel Clean'!F67:F1066,"Entry Level",0)</f>
        <v>61.4</v>
      </c>
      <c r="F67">
        <f>_xlfn.XLOOKUP(A67,'Subbu- Mini Project EXcel Clean'!A67:A1066,'Subbu- Mini Project EXcel Clean'!G67:G1066," ",0)</f>
        <v>65.599999999999994</v>
      </c>
      <c r="G67" t="str">
        <f>_xlfn.XLOOKUP(A67,'Subbu- Mini Project EXcel Clean'!A67:A1066,'Subbu- Mini Project EXcel Clean'!H67:H1066," ",0)</f>
        <v>Pass</v>
      </c>
      <c r="H67" t="str">
        <f>VLOOKUP(A67,'Subbu- Mini Project EXcel Clean'!A66:R1066,18,)</f>
        <v>High School</v>
      </c>
    </row>
    <row r="68" spans="1:8" x14ac:dyDescent="0.25">
      <c r="A68" t="s">
        <v>95</v>
      </c>
      <c r="B68">
        <f>VLOOKUP(A68,'Subbu- Mini Project EXcel Clean'!A67:R1067,2,FALSE)</f>
        <v>49.2</v>
      </c>
      <c r="C68">
        <f>VLOOKUP(A68,'Subbu- Mini Project EXcel Clean'!A67:R1067,3,FALSE)</f>
        <v>54.1</v>
      </c>
      <c r="D68">
        <f>_xlfn.XLOOKUP(A68,'Subbu- Mini Project EXcel Clean'!A68:A1067,'Subbu- Mini Project EXcel Clean'!D68:D1067,"Entry Level",0)</f>
        <v>44.8</v>
      </c>
      <c r="E68">
        <f>_xlfn.XLOOKUP(A68,'Subbu- Mini Project EXcel Clean'!A68:A1067,'Subbu- Mini Project EXcel Clean'!F68:F1067,"Entry Level",0)</f>
        <v>54.4</v>
      </c>
      <c r="F68">
        <f>_xlfn.XLOOKUP(A68,'Subbu- Mini Project EXcel Clean'!A68:A1067,'Subbu- Mini Project EXcel Clean'!G68:G1067," ",0)</f>
        <v>51.1</v>
      </c>
      <c r="G68" t="str">
        <f>_xlfn.XLOOKUP(A68,'Subbu- Mini Project EXcel Clean'!A68:A1067,'Subbu- Mini Project EXcel Clean'!H68:H1067," ",0)</f>
        <v>Pass</v>
      </c>
      <c r="H68" t="str">
        <f>VLOOKUP(A68,'Subbu- Mini Project EXcel Clean'!A67:R1067,18,)</f>
        <v>Master</v>
      </c>
    </row>
    <row r="69" spans="1:8" x14ac:dyDescent="0.25">
      <c r="A69" t="s">
        <v>96</v>
      </c>
      <c r="B69">
        <f>VLOOKUP(A69,'Subbu- Mini Project EXcel Clean'!A68:R1068,2,FALSE)</f>
        <v>96.4</v>
      </c>
      <c r="C69">
        <f>VLOOKUP(A69,'Subbu- Mini Project EXcel Clean'!A68:R1068,3,FALSE)</f>
        <v>79.8</v>
      </c>
      <c r="D69">
        <f>_xlfn.XLOOKUP(A69,'Subbu- Mini Project EXcel Clean'!A69:A1068,'Subbu- Mini Project EXcel Clean'!D69:D1068,"Entry Level",0)</f>
        <v>79.900000000000006</v>
      </c>
      <c r="E69">
        <f>_xlfn.XLOOKUP(A69,'Subbu- Mini Project EXcel Clean'!A69:A1068,'Subbu- Mini Project EXcel Clean'!F69:F1068,"Entry Level",0)</f>
        <v>82.6</v>
      </c>
      <c r="F69">
        <f>_xlfn.XLOOKUP(A69,'Subbu- Mini Project EXcel Clean'!A69:A1068,'Subbu- Mini Project EXcel Clean'!G69:G1068," ",0)</f>
        <v>83.35</v>
      </c>
      <c r="G69" t="str">
        <f>_xlfn.XLOOKUP(A69,'Subbu- Mini Project EXcel Clean'!A69:A1068,'Subbu- Mini Project EXcel Clean'!H69:H1068," ",0)</f>
        <v>Pass</v>
      </c>
      <c r="H69" t="str">
        <f>VLOOKUP(A69,'Subbu- Mini Project EXcel Clean'!A68:R1068,18,)</f>
        <v>Bachelor</v>
      </c>
    </row>
    <row r="70" spans="1:8" x14ac:dyDescent="0.25">
      <c r="A70" t="s">
        <v>97</v>
      </c>
      <c r="B70">
        <f>VLOOKUP(A70,'Subbu- Mini Project EXcel Clean'!A69:R1069,2,FALSE)</f>
        <v>40.9</v>
      </c>
      <c r="C70">
        <f>VLOOKUP(A70,'Subbu- Mini Project EXcel Clean'!A69:R1069,3,FALSE)</f>
        <v>48.9</v>
      </c>
      <c r="D70">
        <f>_xlfn.XLOOKUP(A70,'Subbu- Mini Project EXcel Clean'!A70:A1069,'Subbu- Mini Project EXcel Clean'!D70:D1069,"Entry Level",0)</f>
        <v>41.1</v>
      </c>
      <c r="E70">
        <f>_xlfn.XLOOKUP(A70,'Subbu- Mini Project EXcel Clean'!A70:A1069,'Subbu- Mini Project EXcel Clean'!F70:F1069,"Entry Level",0)</f>
        <v>60.2</v>
      </c>
      <c r="F70">
        <f>_xlfn.XLOOKUP(A70,'Subbu- Mini Project EXcel Clean'!A70:A1069,'Subbu- Mini Project EXcel Clean'!G70:G1069," ",0)</f>
        <v>52.15</v>
      </c>
      <c r="G70" t="str">
        <f>_xlfn.XLOOKUP(A70,'Subbu- Mini Project EXcel Clean'!A70:A1069,'Subbu- Mini Project EXcel Clean'!H70:H1069," ",0)</f>
        <v>Pass</v>
      </c>
      <c r="H70" t="str">
        <f>VLOOKUP(A70,'Subbu- Mini Project EXcel Clean'!A69:R1069,18,)</f>
        <v>Master</v>
      </c>
    </row>
    <row r="71" spans="1:8" x14ac:dyDescent="0.25">
      <c r="A71" t="s">
        <v>98</v>
      </c>
      <c r="B71">
        <f>VLOOKUP(A71,'Subbu- Mini Project EXcel Clean'!A70:R1070,2,FALSE)</f>
        <v>91.6</v>
      </c>
      <c r="C71">
        <f>VLOOKUP(A71,'Subbu- Mini Project EXcel Clean'!A70:R1070,3,FALSE)</f>
        <v>96.4</v>
      </c>
      <c r="D71">
        <f>_xlfn.XLOOKUP(A71,'Subbu- Mini Project EXcel Clean'!A71:A1070,'Subbu- Mini Project EXcel Clean'!D71:D1070,"Entry Level",0)</f>
        <v>91.6</v>
      </c>
      <c r="E71">
        <f>_xlfn.XLOOKUP(A71,'Subbu- Mini Project EXcel Clean'!A71:A1070,'Subbu- Mini Project EXcel Clean'!F71:F1070,"Entry Level",0)</f>
        <v>89.1</v>
      </c>
      <c r="F71">
        <f>_xlfn.XLOOKUP(A71,'Subbu- Mini Project EXcel Clean'!A71:A1070,'Subbu- Mini Project EXcel Clean'!G71:G1070," ",0)</f>
        <v>91.7</v>
      </c>
      <c r="G71" t="str">
        <f>_xlfn.XLOOKUP(A71,'Subbu- Mini Project EXcel Clean'!A71:A1070,'Subbu- Mini Project EXcel Clean'!H71:H1070," ",0)</f>
        <v>Pass</v>
      </c>
      <c r="H71" t="str">
        <f>VLOOKUP(A71,'Subbu- Mini Project EXcel Clean'!A70:R1070,18,)</f>
        <v>Bachelor</v>
      </c>
    </row>
    <row r="72" spans="1:8" x14ac:dyDescent="0.25">
      <c r="A72" t="s">
        <v>99</v>
      </c>
      <c r="B72">
        <f>VLOOKUP(A72,'Subbu- Mini Project EXcel Clean'!A71:R1071,2,FALSE)</f>
        <v>79.400000000000006</v>
      </c>
      <c r="C72">
        <f>VLOOKUP(A72,'Subbu- Mini Project EXcel Clean'!A71:R1071,3,FALSE)</f>
        <v>79.2</v>
      </c>
      <c r="D72">
        <f>_xlfn.XLOOKUP(A72,'Subbu- Mini Project EXcel Clean'!A72:A1071,'Subbu- Mini Project EXcel Clean'!D72:D1071,"Entry Level",0)</f>
        <v>79.7</v>
      </c>
      <c r="E72">
        <f>_xlfn.XLOOKUP(A72,'Subbu- Mini Project EXcel Clean'!A72:A1071,'Subbu- Mini Project EXcel Clean'!F72:F1071,"Entry Level",0)</f>
        <v>86.3</v>
      </c>
      <c r="F72">
        <f>_xlfn.XLOOKUP(A72,'Subbu- Mini Project EXcel Clean'!A72:A1071,'Subbu- Mini Project EXcel Clean'!G72:G1071," ",0)</f>
        <v>84.4</v>
      </c>
      <c r="G72" t="str">
        <f>_xlfn.XLOOKUP(A72,'Subbu- Mini Project EXcel Clean'!A72:A1071,'Subbu- Mini Project EXcel Clean'!H72:H1071," ",0)</f>
        <v>Pass</v>
      </c>
      <c r="H72" t="str">
        <f>VLOOKUP(A72,'Subbu- Mini Project EXcel Clean'!A71:R1071,18,)</f>
        <v>High School</v>
      </c>
    </row>
    <row r="73" spans="1:8" x14ac:dyDescent="0.25">
      <c r="A73" t="s">
        <v>100</v>
      </c>
      <c r="B73">
        <f>VLOOKUP(A73,'Subbu- Mini Project EXcel Clean'!A72:R1072,2,FALSE)</f>
        <v>48.2</v>
      </c>
      <c r="C73">
        <f>VLOOKUP(A73,'Subbu- Mini Project EXcel Clean'!A72:R1072,3,FALSE)</f>
        <v>59.8</v>
      </c>
      <c r="D73">
        <f>_xlfn.XLOOKUP(A73,'Subbu- Mini Project EXcel Clean'!A73:A1072,'Subbu- Mini Project EXcel Clean'!D73:D1072,"Entry Level",0)</f>
        <v>55.1</v>
      </c>
      <c r="E73">
        <f>_xlfn.XLOOKUP(A73,'Subbu- Mini Project EXcel Clean'!A73:A1072,'Subbu- Mini Project EXcel Clean'!F73:F1072,"Entry Level",0)</f>
        <v>64.3</v>
      </c>
      <c r="F73">
        <f>_xlfn.XLOOKUP(A73,'Subbu- Mini Project EXcel Clean'!A73:A1072,'Subbu- Mini Project EXcel Clean'!G73:G1072," ",0)</f>
        <v>57.6</v>
      </c>
      <c r="G73" t="str">
        <f>_xlfn.XLOOKUP(A73,'Subbu- Mini Project EXcel Clean'!A73:A1072,'Subbu- Mini Project EXcel Clean'!H73:H1072," ",0)</f>
        <v>Pass</v>
      </c>
      <c r="H73" t="str">
        <f>VLOOKUP(A73,'Subbu- Mini Project EXcel Clean'!A72:R1072,18,)</f>
        <v>Master</v>
      </c>
    </row>
    <row r="74" spans="1:8" x14ac:dyDescent="0.25">
      <c r="A74" t="s">
        <v>101</v>
      </c>
      <c r="B74">
        <f>VLOOKUP(A74,'Subbu- Mini Project EXcel Clean'!A73:R1073,2,FALSE)</f>
        <v>37.1</v>
      </c>
      <c r="C74">
        <f>VLOOKUP(A74,'Subbu- Mini Project EXcel Clean'!A73:R1073,3,FALSE)</f>
        <v>34.299999999999997</v>
      </c>
      <c r="D74">
        <f>_xlfn.XLOOKUP(A74,'Subbu- Mini Project EXcel Clean'!A74:A1073,'Subbu- Mini Project EXcel Clean'!D74:D1073,"Entry Level",0)</f>
        <v>34.799999999999997</v>
      </c>
      <c r="E74">
        <f>_xlfn.XLOOKUP(A74,'Subbu- Mini Project EXcel Clean'!A74:A1073,'Subbu- Mini Project EXcel Clean'!F74:F1073,"Entry Level",0)</f>
        <v>39.4</v>
      </c>
      <c r="F74">
        <f>_xlfn.XLOOKUP(A74,'Subbu- Mini Project EXcel Clean'!A74:A1073,'Subbu- Mini Project EXcel Clean'!G74:G1073," ",0)</f>
        <v>39.85</v>
      </c>
      <c r="G74" t="str">
        <f>_xlfn.XLOOKUP(A74,'Subbu- Mini Project EXcel Clean'!A74:A1073,'Subbu- Mini Project EXcel Clean'!H74:H1073," ",0)</f>
        <v>Fail</v>
      </c>
      <c r="H74" t="str">
        <f>VLOOKUP(A74,'Subbu- Mini Project EXcel Clean'!A73:R1073,18,)</f>
        <v>Bachelor</v>
      </c>
    </row>
    <row r="75" spans="1:8" x14ac:dyDescent="0.25">
      <c r="A75" t="s">
        <v>102</v>
      </c>
      <c r="B75">
        <f>VLOOKUP(A75,'Subbu- Mini Project EXcel Clean'!A74:R1074,2,FALSE)</f>
        <v>90.8</v>
      </c>
      <c r="C75">
        <f>VLOOKUP(A75,'Subbu- Mini Project EXcel Clean'!A74:R1074,3,FALSE)</f>
        <v>89.4</v>
      </c>
      <c r="D75">
        <f>_xlfn.XLOOKUP(A75,'Subbu- Mini Project EXcel Clean'!A75:A1074,'Subbu- Mini Project EXcel Clean'!D75:D1074,"Entry Level",0)</f>
        <v>86</v>
      </c>
      <c r="E75">
        <f>_xlfn.XLOOKUP(A75,'Subbu- Mini Project EXcel Clean'!A75:A1074,'Subbu- Mini Project EXcel Clean'!F75:F1074,"Entry Level",0)</f>
        <v>81</v>
      </c>
      <c r="F75">
        <f>_xlfn.XLOOKUP(A75,'Subbu- Mini Project EXcel Clean'!A75:A1074,'Subbu- Mini Project EXcel Clean'!G75:G1074," ",0)</f>
        <v>82.95</v>
      </c>
      <c r="G75" t="str">
        <f>_xlfn.XLOOKUP(A75,'Subbu- Mini Project EXcel Clean'!A75:A1074,'Subbu- Mini Project EXcel Clean'!H75:H1074," ",0)</f>
        <v>Pass</v>
      </c>
      <c r="H75" t="str">
        <f>VLOOKUP(A75,'Subbu- Mini Project EXcel Clean'!A74:R1074,18,)</f>
        <v>High School</v>
      </c>
    </row>
    <row r="76" spans="1:8" x14ac:dyDescent="0.25">
      <c r="A76" t="s">
        <v>103</v>
      </c>
      <c r="B76">
        <f>VLOOKUP(A76,'Subbu- Mini Project EXcel Clean'!A75:R1075,2,FALSE)</f>
        <v>86</v>
      </c>
      <c r="C76">
        <f>VLOOKUP(A76,'Subbu- Mini Project EXcel Clean'!A75:R1075,3,FALSE)</f>
        <v>83.9</v>
      </c>
      <c r="D76">
        <f>_xlfn.XLOOKUP(A76,'Subbu- Mini Project EXcel Clean'!A76:A1075,'Subbu- Mini Project EXcel Clean'!D76:D1075,"Entry Level",0)</f>
        <v>85</v>
      </c>
      <c r="E76">
        <f>_xlfn.XLOOKUP(A76,'Subbu- Mini Project EXcel Clean'!A76:A1075,'Subbu- Mini Project EXcel Clean'!F76:F1075,"Entry Level",0)</f>
        <v>87.9</v>
      </c>
      <c r="F76">
        <f>_xlfn.XLOOKUP(A76,'Subbu- Mini Project EXcel Clean'!A76:A1075,'Subbu- Mini Project EXcel Clean'!G76:G1075," ",0)</f>
        <v>83.4</v>
      </c>
      <c r="G76" t="str">
        <f>_xlfn.XLOOKUP(A76,'Subbu- Mini Project EXcel Clean'!A76:A1075,'Subbu- Mini Project EXcel Clean'!H76:H1075," ",0)</f>
        <v>Pass</v>
      </c>
      <c r="H76" t="str">
        <f>VLOOKUP(A76,'Subbu- Mini Project EXcel Clean'!A75:R1075,18,)</f>
        <v>Bachelor</v>
      </c>
    </row>
    <row r="77" spans="1:8" x14ac:dyDescent="0.25">
      <c r="A77" t="s">
        <v>104</v>
      </c>
      <c r="B77">
        <f>VLOOKUP(A77,'Subbu- Mini Project EXcel Clean'!A76:R1076,2,FALSE)</f>
        <v>77.2</v>
      </c>
      <c r="C77">
        <f>VLOOKUP(A77,'Subbu- Mini Project EXcel Clean'!A76:R1076,3,FALSE)</f>
        <v>76.7</v>
      </c>
      <c r="D77">
        <f>_xlfn.XLOOKUP(A77,'Subbu- Mini Project EXcel Clean'!A77:A1076,'Subbu- Mini Project EXcel Clean'!D77:D1076,"Entry Level",0)</f>
        <v>77.5</v>
      </c>
      <c r="E77">
        <f>_xlfn.XLOOKUP(A77,'Subbu- Mini Project EXcel Clean'!A77:A1076,'Subbu- Mini Project EXcel Clean'!F77:F1076,"Entry Level",0)</f>
        <v>86.4</v>
      </c>
      <c r="F77">
        <f>_xlfn.XLOOKUP(A77,'Subbu- Mini Project EXcel Clean'!A77:A1076,'Subbu- Mini Project EXcel Clean'!G77:G1076," ",0)</f>
        <v>83.25</v>
      </c>
      <c r="G77" t="str">
        <f>_xlfn.XLOOKUP(A77,'Subbu- Mini Project EXcel Clean'!A77:A1076,'Subbu- Mini Project EXcel Clean'!H77:H1076," ",0)</f>
        <v>Pass</v>
      </c>
      <c r="H77" t="str">
        <f>VLOOKUP(A77,'Subbu- Mini Project EXcel Clean'!A76:R1076,18,)</f>
        <v>Bachelor</v>
      </c>
    </row>
    <row r="78" spans="1:8" x14ac:dyDescent="0.25">
      <c r="A78" t="s">
        <v>105</v>
      </c>
      <c r="B78">
        <f>VLOOKUP(A78,'Subbu- Mini Project EXcel Clean'!A77:R1077,2,FALSE)</f>
        <v>78.3</v>
      </c>
      <c r="C78">
        <f>VLOOKUP(A78,'Subbu- Mini Project EXcel Clean'!A77:R1077,3,FALSE)</f>
        <v>89.4</v>
      </c>
      <c r="D78">
        <f>_xlfn.XLOOKUP(A78,'Subbu- Mini Project EXcel Clean'!A78:A1077,'Subbu- Mini Project EXcel Clean'!D78:D1077,"Entry Level",0)</f>
        <v>78.8</v>
      </c>
      <c r="E78">
        <f>_xlfn.XLOOKUP(A78,'Subbu- Mini Project EXcel Clean'!A78:A1077,'Subbu- Mini Project EXcel Clean'!F78:F1077,"Entry Level",0)</f>
        <v>74.7</v>
      </c>
      <c r="F78">
        <f>_xlfn.XLOOKUP(A78,'Subbu- Mini Project EXcel Clean'!A78:A1077,'Subbu- Mini Project EXcel Clean'!G78:G1077," ",0)</f>
        <v>78.55</v>
      </c>
      <c r="G78" t="str">
        <f>_xlfn.XLOOKUP(A78,'Subbu- Mini Project EXcel Clean'!A78:A1077,'Subbu- Mini Project EXcel Clean'!H78:H1077," ",0)</f>
        <v>Pass</v>
      </c>
      <c r="H78" t="str">
        <f>VLOOKUP(A78,'Subbu- Mini Project EXcel Clean'!A77:R1077,18,)</f>
        <v>High School</v>
      </c>
    </row>
    <row r="79" spans="1:8" x14ac:dyDescent="0.25">
      <c r="A79" t="s">
        <v>106</v>
      </c>
      <c r="B79">
        <f>VLOOKUP(A79,'Subbu- Mini Project EXcel Clean'!A78:R1078,2,FALSE)</f>
        <v>46.4</v>
      </c>
      <c r="C79">
        <f>VLOOKUP(A79,'Subbu- Mini Project EXcel Clean'!A78:R1078,3,FALSE)</f>
        <v>42.8</v>
      </c>
      <c r="D79">
        <f>_xlfn.XLOOKUP(A79,'Subbu- Mini Project EXcel Clean'!A79:A1078,'Subbu- Mini Project EXcel Clean'!D79:D1078,"Entry Level",0)</f>
        <v>42.9</v>
      </c>
      <c r="E79">
        <f>_xlfn.XLOOKUP(A79,'Subbu- Mini Project EXcel Clean'!A79:A1078,'Subbu- Mini Project EXcel Clean'!F79:F1078,"Entry Level",0)</f>
        <v>53.6</v>
      </c>
      <c r="F79">
        <f>_xlfn.XLOOKUP(A79,'Subbu- Mini Project EXcel Clean'!A79:A1078,'Subbu- Mini Project EXcel Clean'!G79:G1078," ",0)</f>
        <v>48.85</v>
      </c>
      <c r="G79" t="str">
        <f>_xlfn.XLOOKUP(A79,'Subbu- Mini Project EXcel Clean'!A79:A1078,'Subbu- Mini Project EXcel Clean'!H79:H1078," ",0)</f>
        <v>Fail</v>
      </c>
      <c r="H79" t="str">
        <f>VLOOKUP(A79,'Subbu- Mini Project EXcel Clean'!A78:R1078,18,)</f>
        <v>Master</v>
      </c>
    </row>
    <row r="80" spans="1:8" x14ac:dyDescent="0.25">
      <c r="A80" t="s">
        <v>107</v>
      </c>
      <c r="B80">
        <f>VLOOKUP(A80,'Subbu- Mini Project EXcel Clean'!A79:R1079,2,FALSE)</f>
        <v>57</v>
      </c>
      <c r="C80">
        <f>VLOOKUP(A80,'Subbu- Mini Project EXcel Clean'!A79:R1079,3,FALSE)</f>
        <v>61.2</v>
      </c>
      <c r="D80">
        <f>_xlfn.XLOOKUP(A80,'Subbu- Mini Project EXcel Clean'!A80:A1079,'Subbu- Mini Project EXcel Clean'!D80:D1079,"Entry Level",0)</f>
        <v>65.599999999999994</v>
      </c>
      <c r="E80">
        <f>_xlfn.XLOOKUP(A80,'Subbu- Mini Project EXcel Clean'!A80:A1079,'Subbu- Mini Project EXcel Clean'!F80:F1079,"Entry Level",0)</f>
        <v>81.3</v>
      </c>
      <c r="F80">
        <f>_xlfn.XLOOKUP(A80,'Subbu- Mini Project EXcel Clean'!A80:A1079,'Subbu- Mini Project EXcel Clean'!G80:G1079," ",0)</f>
        <v>70.5</v>
      </c>
      <c r="G80" t="str">
        <f>_xlfn.XLOOKUP(A80,'Subbu- Mini Project EXcel Clean'!A80:A1079,'Subbu- Mini Project EXcel Clean'!H80:H1079," ",0)</f>
        <v>Pass</v>
      </c>
      <c r="H80" t="str">
        <f>VLOOKUP(A80,'Subbu- Mini Project EXcel Clean'!A79:R1079,18,)</f>
        <v>High School</v>
      </c>
    </row>
    <row r="81" spans="1:8" x14ac:dyDescent="0.25">
      <c r="A81" t="s">
        <v>108</v>
      </c>
      <c r="B81">
        <f>VLOOKUP(A81,'Subbu- Mini Project EXcel Clean'!A80:R1080,2,FALSE)</f>
        <v>49.5</v>
      </c>
      <c r="C81">
        <f>VLOOKUP(A81,'Subbu- Mini Project EXcel Clean'!A80:R1080,3,FALSE)</f>
        <v>47.7</v>
      </c>
      <c r="D81">
        <f>_xlfn.XLOOKUP(A81,'Subbu- Mini Project EXcel Clean'!A81:A1080,'Subbu- Mini Project EXcel Clean'!D81:D1080,"Entry Level",0)</f>
        <v>47.3</v>
      </c>
      <c r="E81">
        <f>_xlfn.XLOOKUP(A81,'Subbu- Mini Project EXcel Clean'!A81:A1080,'Subbu- Mini Project EXcel Clean'!F81:F1080,"Entry Level",0)</f>
        <v>70.900000000000006</v>
      </c>
      <c r="F81">
        <f>_xlfn.XLOOKUP(A81,'Subbu- Mini Project EXcel Clean'!A81:A1080,'Subbu- Mini Project EXcel Clean'!G81:G1080," ",0)</f>
        <v>58.65</v>
      </c>
      <c r="G81" t="str">
        <f>_xlfn.XLOOKUP(A81,'Subbu- Mini Project EXcel Clean'!A81:A1080,'Subbu- Mini Project EXcel Clean'!H81:H1080," ",0)</f>
        <v>Pass</v>
      </c>
      <c r="H81" t="str">
        <f>VLOOKUP(A81,'Subbu- Mini Project EXcel Clean'!A80:R1080,18,)</f>
        <v>Master</v>
      </c>
    </row>
    <row r="82" spans="1:8" x14ac:dyDescent="0.25">
      <c r="A82" t="s">
        <v>109</v>
      </c>
      <c r="B82">
        <f>VLOOKUP(A82,'Subbu- Mini Project EXcel Clean'!A81:R1081,2,FALSE)</f>
        <v>88.5</v>
      </c>
      <c r="C82">
        <f>VLOOKUP(A82,'Subbu- Mini Project EXcel Clean'!A81:R1081,3,FALSE)</f>
        <v>86.8</v>
      </c>
      <c r="D82">
        <f>_xlfn.XLOOKUP(A82,'Subbu- Mini Project EXcel Clean'!A82:A1081,'Subbu- Mini Project EXcel Clean'!D82:D1081,"Entry Level",0)</f>
        <v>84.8</v>
      </c>
      <c r="E82">
        <f>_xlfn.XLOOKUP(A82,'Subbu- Mini Project EXcel Clean'!A82:A1081,'Subbu- Mini Project EXcel Clean'!F82:F1081,"Entry Level",0)</f>
        <v>78.7</v>
      </c>
      <c r="F82">
        <f>_xlfn.XLOOKUP(A82,'Subbu- Mini Project EXcel Clean'!A82:A1081,'Subbu- Mini Project EXcel Clean'!G82:G1081," ",0)</f>
        <v>83.1</v>
      </c>
      <c r="G82" t="str">
        <f>_xlfn.XLOOKUP(A82,'Subbu- Mini Project EXcel Clean'!A82:A1081,'Subbu- Mini Project EXcel Clean'!H82:H1081," ",0)</f>
        <v>Pass</v>
      </c>
      <c r="H82" t="str">
        <f>VLOOKUP(A82,'Subbu- Mini Project EXcel Clean'!A81:R1081,18,)</f>
        <v>Bachelor</v>
      </c>
    </row>
    <row r="83" spans="1:8" x14ac:dyDescent="0.25">
      <c r="A83" t="s">
        <v>110</v>
      </c>
      <c r="B83">
        <f>VLOOKUP(A83,'Subbu- Mini Project EXcel Clean'!A82:R1082,2,FALSE)</f>
        <v>66.7</v>
      </c>
      <c r="C83">
        <f>VLOOKUP(A83,'Subbu- Mini Project EXcel Clean'!A82:R1082,3,FALSE)</f>
        <v>78.3</v>
      </c>
      <c r="D83">
        <f>_xlfn.XLOOKUP(A83,'Subbu- Mini Project EXcel Clean'!A83:A1082,'Subbu- Mini Project EXcel Clean'!D83:D1082,"Entry Level",0)</f>
        <v>76.7</v>
      </c>
      <c r="E83">
        <f>_xlfn.XLOOKUP(A83,'Subbu- Mini Project EXcel Clean'!A83:A1082,'Subbu- Mini Project EXcel Clean'!F83:F1082,"Entry Level",0)</f>
        <v>70.599999999999994</v>
      </c>
      <c r="F83">
        <f>_xlfn.XLOOKUP(A83,'Subbu- Mini Project EXcel Clean'!A83:A1082,'Subbu- Mini Project EXcel Clean'!G83:G1082," ",0)</f>
        <v>72.45</v>
      </c>
      <c r="G83" t="str">
        <f>_xlfn.XLOOKUP(A83,'Subbu- Mini Project EXcel Clean'!A83:A1082,'Subbu- Mini Project EXcel Clean'!H83:H1082," ",0)</f>
        <v>Pass</v>
      </c>
      <c r="H83" t="str">
        <f>VLOOKUP(A83,'Subbu- Mini Project EXcel Clean'!A82:R1082,18,)</f>
        <v>Bachelor</v>
      </c>
    </row>
    <row r="84" spans="1:8" x14ac:dyDescent="0.25">
      <c r="A84" t="s">
        <v>111</v>
      </c>
      <c r="B84">
        <f>VLOOKUP(A84,'Subbu- Mini Project EXcel Clean'!A83:R1083,2,FALSE)</f>
        <v>65.900000000000006</v>
      </c>
      <c r="C84">
        <f>VLOOKUP(A84,'Subbu- Mini Project EXcel Clean'!A83:R1083,3,FALSE)</f>
        <v>62.2</v>
      </c>
      <c r="D84">
        <f>_xlfn.XLOOKUP(A84,'Subbu- Mini Project EXcel Clean'!A84:A1083,'Subbu- Mini Project EXcel Clean'!D84:D1083,"Entry Level",0)</f>
        <v>52.7</v>
      </c>
      <c r="E84">
        <f>_xlfn.XLOOKUP(A84,'Subbu- Mini Project EXcel Clean'!A84:A1083,'Subbu- Mini Project EXcel Clean'!F84:F1083,"Entry Level",0)</f>
        <v>62.2</v>
      </c>
      <c r="F84">
        <f>_xlfn.XLOOKUP(A84,'Subbu- Mini Project EXcel Clean'!A84:A1083,'Subbu- Mini Project EXcel Clean'!G84:G1083," ",0)</f>
        <v>60.2</v>
      </c>
      <c r="G84" t="str">
        <f>_xlfn.XLOOKUP(A84,'Subbu- Mini Project EXcel Clean'!A84:A1083,'Subbu- Mini Project EXcel Clean'!H84:H1083," ",0)</f>
        <v>Pass</v>
      </c>
      <c r="H84" t="str">
        <f>VLOOKUP(A84,'Subbu- Mini Project EXcel Clean'!A83:R1083,18,)</f>
        <v>Bachelor</v>
      </c>
    </row>
    <row r="85" spans="1:8" x14ac:dyDescent="0.25">
      <c r="A85" t="s">
        <v>112</v>
      </c>
      <c r="B85">
        <f>VLOOKUP(A85,'Subbu- Mini Project EXcel Clean'!A84:R1084,2,FALSE)</f>
        <v>52.5</v>
      </c>
      <c r="C85">
        <f>VLOOKUP(A85,'Subbu- Mini Project EXcel Clean'!A84:R1084,3,FALSE)</f>
        <v>34.799999999999997</v>
      </c>
      <c r="D85">
        <f>_xlfn.XLOOKUP(A85,'Subbu- Mini Project EXcel Clean'!A85:A1084,'Subbu- Mini Project EXcel Clean'!D85:D1084,"Entry Level",0)</f>
        <v>46.9</v>
      </c>
      <c r="E85">
        <f>_xlfn.XLOOKUP(A85,'Subbu- Mini Project EXcel Clean'!A85:A1084,'Subbu- Mini Project EXcel Clean'!F85:F1084,"Entry Level",0)</f>
        <v>60.7</v>
      </c>
      <c r="F85">
        <f>_xlfn.XLOOKUP(A85,'Subbu- Mini Project EXcel Clean'!A85:A1084,'Subbu- Mini Project EXcel Clean'!G85:G1084," ",0)</f>
        <v>52.1</v>
      </c>
      <c r="G85" t="str">
        <f>_xlfn.XLOOKUP(A85,'Subbu- Mini Project EXcel Clean'!A85:A1084,'Subbu- Mini Project EXcel Clean'!H85:H1084," ",0)</f>
        <v>Pass</v>
      </c>
      <c r="H85" t="str">
        <f>VLOOKUP(A85,'Subbu- Mini Project EXcel Clean'!A84:R1084,18,)</f>
        <v>Master</v>
      </c>
    </row>
    <row r="86" spans="1:8" x14ac:dyDescent="0.25">
      <c r="A86" t="s">
        <v>113</v>
      </c>
      <c r="B86">
        <f>VLOOKUP(A86,'Subbu- Mini Project EXcel Clean'!A85:R1085,2,FALSE)</f>
        <v>54</v>
      </c>
      <c r="C86">
        <f>VLOOKUP(A86,'Subbu- Mini Project EXcel Clean'!A85:R1085,3,FALSE)</f>
        <v>63.6</v>
      </c>
      <c r="D86">
        <f>_xlfn.XLOOKUP(A86,'Subbu- Mini Project EXcel Clean'!A86:A1085,'Subbu- Mini Project EXcel Clean'!D86:D1085,"Entry Level",0)</f>
        <v>59.1</v>
      </c>
      <c r="E86">
        <f>_xlfn.XLOOKUP(A86,'Subbu- Mini Project EXcel Clean'!A86:A1085,'Subbu- Mini Project EXcel Clean'!F86:F1085,"Entry Level",0)</f>
        <v>68.5</v>
      </c>
      <c r="F86">
        <f>_xlfn.XLOOKUP(A86,'Subbu- Mini Project EXcel Clean'!A86:A1085,'Subbu- Mini Project EXcel Clean'!G86:G1085," ",0)</f>
        <v>62.8</v>
      </c>
      <c r="G86" t="str">
        <f>_xlfn.XLOOKUP(A86,'Subbu- Mini Project EXcel Clean'!A86:A1085,'Subbu- Mini Project EXcel Clean'!H86:H1085," ",0)</f>
        <v>Pass</v>
      </c>
      <c r="H86" t="str">
        <f>VLOOKUP(A86,'Subbu- Mini Project EXcel Clean'!A85:R1085,18,)</f>
        <v>High School</v>
      </c>
    </row>
    <row r="87" spans="1:8" x14ac:dyDescent="0.25">
      <c r="A87" t="s">
        <v>114</v>
      </c>
      <c r="B87">
        <f>VLOOKUP(A87,'Subbu- Mini Project EXcel Clean'!A86:R1086,2,FALSE)</f>
        <v>55.9</v>
      </c>
      <c r="C87">
        <f>VLOOKUP(A87,'Subbu- Mini Project EXcel Clean'!A86:R1086,3,FALSE)</f>
        <v>49.6</v>
      </c>
      <c r="D87">
        <f>_xlfn.XLOOKUP(A87,'Subbu- Mini Project EXcel Clean'!A87:A1086,'Subbu- Mini Project EXcel Clean'!D87:D1086,"Entry Level",0)</f>
        <v>56.3</v>
      </c>
      <c r="E87">
        <f>_xlfn.XLOOKUP(A87,'Subbu- Mini Project EXcel Clean'!A87:A1086,'Subbu- Mini Project EXcel Clean'!F87:F1086,"Entry Level",0)</f>
        <v>67.5</v>
      </c>
      <c r="F87">
        <f>_xlfn.XLOOKUP(A87,'Subbu- Mini Project EXcel Clean'!A87:A1086,'Subbu- Mini Project EXcel Clean'!G87:G1086," ",0)</f>
        <v>62.7</v>
      </c>
      <c r="G87" t="str">
        <f>_xlfn.XLOOKUP(A87,'Subbu- Mini Project EXcel Clean'!A87:A1086,'Subbu- Mini Project EXcel Clean'!H87:H1086," ",0)</f>
        <v>Pass</v>
      </c>
      <c r="H87" t="str">
        <f>VLOOKUP(A87,'Subbu- Mini Project EXcel Clean'!A86:R1086,18,)</f>
        <v>Master</v>
      </c>
    </row>
    <row r="88" spans="1:8" x14ac:dyDescent="0.25">
      <c r="A88" t="s">
        <v>115</v>
      </c>
      <c r="B88">
        <f>VLOOKUP(A88,'Subbu- Mini Project EXcel Clean'!A87:R1087,2,FALSE)</f>
        <v>81.599999999999994</v>
      </c>
      <c r="C88">
        <f>VLOOKUP(A88,'Subbu- Mini Project EXcel Clean'!A87:R1087,3,FALSE)</f>
        <v>85.3</v>
      </c>
      <c r="D88">
        <f>_xlfn.XLOOKUP(A88,'Subbu- Mini Project EXcel Clean'!A88:A1087,'Subbu- Mini Project EXcel Clean'!D88:D1087,"Entry Level",0)</f>
        <v>75.900000000000006</v>
      </c>
      <c r="E88">
        <f>_xlfn.XLOOKUP(A88,'Subbu- Mini Project EXcel Clean'!A88:A1087,'Subbu- Mini Project EXcel Clean'!F88:F1087,"Entry Level",0)</f>
        <v>77.599999999999994</v>
      </c>
      <c r="F88">
        <f>_xlfn.XLOOKUP(A88,'Subbu- Mini Project EXcel Clean'!A88:A1087,'Subbu- Mini Project EXcel Clean'!G88:G1087," ",0)</f>
        <v>78.849999999999994</v>
      </c>
      <c r="G88" t="str">
        <f>_xlfn.XLOOKUP(A88,'Subbu- Mini Project EXcel Clean'!A88:A1087,'Subbu- Mini Project EXcel Clean'!H88:H1087," ",0)</f>
        <v>Pass</v>
      </c>
      <c r="H88" t="str">
        <f>VLOOKUP(A88,'Subbu- Mini Project EXcel Clean'!A87:R1087,18,)</f>
        <v>Bachelor</v>
      </c>
    </row>
    <row r="89" spans="1:8" x14ac:dyDescent="0.25">
      <c r="A89" t="s">
        <v>116</v>
      </c>
      <c r="B89">
        <f>VLOOKUP(A89,'Subbu- Mini Project EXcel Clean'!A88:R1088,2,FALSE)</f>
        <v>76.7</v>
      </c>
      <c r="C89">
        <f>VLOOKUP(A89,'Subbu- Mini Project EXcel Clean'!A88:R1088,3,FALSE)</f>
        <v>80.7</v>
      </c>
      <c r="D89">
        <f>_xlfn.XLOOKUP(A89,'Subbu- Mini Project EXcel Clean'!A89:A1088,'Subbu- Mini Project EXcel Clean'!D89:D1088,"Entry Level",0)</f>
        <v>70.599999999999994</v>
      </c>
      <c r="E89">
        <f>_xlfn.XLOOKUP(A89,'Subbu- Mini Project EXcel Clean'!A89:A1088,'Subbu- Mini Project EXcel Clean'!F89:F1088,"Entry Level",0)</f>
        <v>74.2</v>
      </c>
      <c r="F89">
        <f>_xlfn.XLOOKUP(A89,'Subbu- Mini Project EXcel Clean'!A89:A1088,'Subbu- Mini Project EXcel Clean'!G89:G1088," ",0)</f>
        <v>74.650000000000006</v>
      </c>
      <c r="G89" t="str">
        <f>_xlfn.XLOOKUP(A89,'Subbu- Mini Project EXcel Clean'!A89:A1088,'Subbu- Mini Project EXcel Clean'!H89:H1088," ",0)</f>
        <v>Pass</v>
      </c>
      <c r="H89" t="str">
        <f>VLOOKUP(A89,'Subbu- Mini Project EXcel Clean'!A88:R1088,18,)</f>
        <v>Bachelor</v>
      </c>
    </row>
    <row r="90" spans="1:8" x14ac:dyDescent="0.25">
      <c r="A90" t="s">
        <v>117</v>
      </c>
      <c r="B90">
        <f>VLOOKUP(A90,'Subbu- Mini Project EXcel Clean'!A89:R1089,2,FALSE)</f>
        <v>92.1</v>
      </c>
      <c r="C90">
        <f>VLOOKUP(A90,'Subbu- Mini Project EXcel Clean'!A89:R1089,3,FALSE)</f>
        <v>83.3</v>
      </c>
      <c r="D90">
        <f>_xlfn.XLOOKUP(A90,'Subbu- Mini Project EXcel Clean'!A90:A1089,'Subbu- Mini Project EXcel Clean'!D90:D1089,"Entry Level",0)</f>
        <v>91.5</v>
      </c>
      <c r="E90">
        <f>_xlfn.XLOOKUP(A90,'Subbu- Mini Project EXcel Clean'!A90:A1089,'Subbu- Mini Project EXcel Clean'!F90:F1089,"Entry Level",0)</f>
        <v>82.6</v>
      </c>
      <c r="F90">
        <f>_xlfn.XLOOKUP(A90,'Subbu- Mini Project EXcel Clean'!A90:A1089,'Subbu- Mini Project EXcel Clean'!G90:G1089," ",0)</f>
        <v>85.7</v>
      </c>
      <c r="G90" t="str">
        <f>_xlfn.XLOOKUP(A90,'Subbu- Mini Project EXcel Clean'!A90:A1089,'Subbu- Mini Project EXcel Clean'!H90:H1089," ",0)</f>
        <v>Pass</v>
      </c>
      <c r="H90" t="str">
        <f>VLOOKUP(A90,'Subbu- Mini Project EXcel Clean'!A89:R1089,18,)</f>
        <v>High School</v>
      </c>
    </row>
    <row r="91" spans="1:8" x14ac:dyDescent="0.25">
      <c r="A91" t="s">
        <v>118</v>
      </c>
      <c r="B91">
        <f>VLOOKUP(A91,'Subbu- Mini Project EXcel Clean'!A90:R1090,2,FALSE)</f>
        <v>76</v>
      </c>
      <c r="C91">
        <f>VLOOKUP(A91,'Subbu- Mini Project EXcel Clean'!A90:R1090,3,FALSE)</f>
        <v>63.9</v>
      </c>
      <c r="D91">
        <f>_xlfn.XLOOKUP(A91,'Subbu- Mini Project EXcel Clean'!A91:A1090,'Subbu- Mini Project EXcel Clean'!D91:D1090,"Entry Level",0)</f>
        <v>72.099999999999994</v>
      </c>
      <c r="E91">
        <f>_xlfn.XLOOKUP(A91,'Subbu- Mini Project EXcel Clean'!A91:A1090,'Subbu- Mini Project EXcel Clean'!F91:F1090,"Entry Level",0)</f>
        <v>72.3</v>
      </c>
      <c r="F91">
        <f>_xlfn.XLOOKUP(A91,'Subbu- Mini Project EXcel Clean'!A91:A1090,'Subbu- Mini Project EXcel Clean'!G91:G1090," ",0)</f>
        <v>69.150000000000006</v>
      </c>
      <c r="G91" t="str">
        <f>_xlfn.XLOOKUP(A91,'Subbu- Mini Project EXcel Clean'!A91:A1090,'Subbu- Mini Project EXcel Clean'!H91:H1090," ",0)</f>
        <v>Pass</v>
      </c>
      <c r="H91" t="str">
        <f>VLOOKUP(A91,'Subbu- Mini Project EXcel Clean'!A90:R1090,18,)</f>
        <v>Master</v>
      </c>
    </row>
    <row r="92" spans="1:8" x14ac:dyDescent="0.25">
      <c r="A92" t="s">
        <v>119</v>
      </c>
      <c r="B92">
        <f>VLOOKUP(A92,'Subbu- Mini Project EXcel Clean'!A91:R1091,2,FALSE)</f>
        <v>45.7</v>
      </c>
      <c r="C92">
        <f>VLOOKUP(A92,'Subbu- Mini Project EXcel Clean'!A91:R1091,3,FALSE)</f>
        <v>41</v>
      </c>
      <c r="D92">
        <f>_xlfn.XLOOKUP(A92,'Subbu- Mini Project EXcel Clean'!A92:A1091,'Subbu- Mini Project EXcel Clean'!D92:D1091,"Entry Level",0)</f>
        <v>43.4</v>
      </c>
      <c r="E92">
        <f>_xlfn.XLOOKUP(A92,'Subbu- Mini Project EXcel Clean'!A92:A1091,'Subbu- Mini Project EXcel Clean'!F92:F1091,"Entry Level",0)</f>
        <v>39.799999999999997</v>
      </c>
      <c r="F92">
        <f>_xlfn.XLOOKUP(A92,'Subbu- Mini Project EXcel Clean'!A92:A1091,'Subbu- Mini Project EXcel Clean'!G92:G1091," ",0)</f>
        <v>43.2</v>
      </c>
      <c r="G92" t="str">
        <f>_xlfn.XLOOKUP(A92,'Subbu- Mini Project EXcel Clean'!A92:A1091,'Subbu- Mini Project EXcel Clean'!H92:H1091," ",0)</f>
        <v>Fail</v>
      </c>
      <c r="H92" t="str">
        <f>VLOOKUP(A92,'Subbu- Mini Project EXcel Clean'!A91:R1091,18,)</f>
        <v>Bachelor</v>
      </c>
    </row>
    <row r="93" spans="1:8" x14ac:dyDescent="0.25">
      <c r="A93" t="s">
        <v>120</v>
      </c>
      <c r="B93">
        <f>VLOOKUP(A93,'Subbu- Mini Project EXcel Clean'!A92:R1092,2,FALSE)</f>
        <v>75.2</v>
      </c>
      <c r="C93">
        <f>VLOOKUP(A93,'Subbu- Mini Project EXcel Clean'!A92:R1092,3,FALSE)</f>
        <v>78.2</v>
      </c>
      <c r="D93">
        <f>_xlfn.XLOOKUP(A93,'Subbu- Mini Project EXcel Clean'!A93:A1092,'Subbu- Mini Project EXcel Clean'!D93:D1092,"Entry Level",0)</f>
        <v>81.5</v>
      </c>
      <c r="E93">
        <f>_xlfn.XLOOKUP(A93,'Subbu- Mini Project EXcel Clean'!A93:A1092,'Subbu- Mini Project EXcel Clean'!F93:F1092,"Entry Level",0)</f>
        <v>78.5</v>
      </c>
      <c r="F93">
        <f>_xlfn.XLOOKUP(A93,'Subbu- Mini Project EXcel Clean'!A93:A1092,'Subbu- Mini Project EXcel Clean'!G93:G1092," ",0)</f>
        <v>78.849999999999994</v>
      </c>
      <c r="G93" t="str">
        <f>_xlfn.XLOOKUP(A93,'Subbu- Mini Project EXcel Clean'!A93:A1092,'Subbu- Mini Project EXcel Clean'!H93:H1092," ",0)</f>
        <v>Pass</v>
      </c>
      <c r="H93" t="str">
        <f>VLOOKUP(A93,'Subbu- Mini Project EXcel Clean'!A92:R1092,18,)</f>
        <v>Master</v>
      </c>
    </row>
    <row r="94" spans="1:8" x14ac:dyDescent="0.25">
      <c r="A94" t="s">
        <v>121</v>
      </c>
      <c r="B94">
        <f>VLOOKUP(A94,'Subbu- Mini Project EXcel Clean'!A93:R1093,2,FALSE)</f>
        <v>74.900000000000006</v>
      </c>
      <c r="C94">
        <f>VLOOKUP(A94,'Subbu- Mini Project EXcel Clean'!A93:R1093,3,FALSE)</f>
        <v>80.3</v>
      </c>
      <c r="D94">
        <f>_xlfn.XLOOKUP(A94,'Subbu- Mini Project EXcel Clean'!A94:A1093,'Subbu- Mini Project EXcel Clean'!D94:D1093,"Entry Level",0)</f>
        <v>71.400000000000006</v>
      </c>
      <c r="E94">
        <f>_xlfn.XLOOKUP(A94,'Subbu- Mini Project EXcel Clean'!A94:A1093,'Subbu- Mini Project EXcel Clean'!F94:F1093,"Entry Level",0)</f>
        <v>90.2</v>
      </c>
      <c r="F94">
        <f>_xlfn.XLOOKUP(A94,'Subbu- Mini Project EXcel Clean'!A94:A1093,'Subbu- Mini Project EXcel Clean'!G94:G1093," ",0)</f>
        <v>86</v>
      </c>
      <c r="G94" t="str">
        <f>_xlfn.XLOOKUP(A94,'Subbu- Mini Project EXcel Clean'!A94:A1093,'Subbu- Mini Project EXcel Clean'!H94:H1093," ",0)</f>
        <v>Pass</v>
      </c>
      <c r="H94" t="str">
        <f>VLOOKUP(A94,'Subbu- Mini Project EXcel Clean'!A93:R1093,18,)</f>
        <v>Master</v>
      </c>
    </row>
    <row r="95" spans="1:8" x14ac:dyDescent="0.25">
      <c r="A95" t="s">
        <v>122</v>
      </c>
      <c r="B95">
        <f>VLOOKUP(A95,'Subbu- Mini Project EXcel Clean'!A94:R1094,2,FALSE)</f>
        <v>67.2</v>
      </c>
      <c r="C95">
        <f>VLOOKUP(A95,'Subbu- Mini Project EXcel Clean'!A94:R1094,3,FALSE)</f>
        <v>74.8</v>
      </c>
      <c r="D95">
        <f>_xlfn.XLOOKUP(A95,'Subbu- Mini Project EXcel Clean'!A95:A1094,'Subbu- Mini Project EXcel Clean'!D95:D1094,"Entry Level",0)</f>
        <v>67.900000000000006</v>
      </c>
      <c r="E95">
        <f>_xlfn.XLOOKUP(A95,'Subbu- Mini Project EXcel Clean'!A95:A1094,'Subbu- Mini Project EXcel Clean'!F95:F1094,"Entry Level",0)</f>
        <v>79.8</v>
      </c>
      <c r="F95">
        <f>_xlfn.XLOOKUP(A95,'Subbu- Mini Project EXcel Clean'!A95:A1094,'Subbu- Mini Project EXcel Clean'!G95:G1094," ",0)</f>
        <v>75.349999999999994</v>
      </c>
      <c r="G95" t="str">
        <f>_xlfn.XLOOKUP(A95,'Subbu- Mini Project EXcel Clean'!A95:A1094,'Subbu- Mini Project EXcel Clean'!H95:H1094," ",0)</f>
        <v>Pass</v>
      </c>
      <c r="H95" t="str">
        <f>VLOOKUP(A95,'Subbu- Mini Project EXcel Clean'!A94:R1094,18,)</f>
        <v>High School</v>
      </c>
    </row>
    <row r="96" spans="1:8" x14ac:dyDescent="0.25">
      <c r="A96" t="s">
        <v>123</v>
      </c>
      <c r="B96">
        <f>VLOOKUP(A96,'Subbu- Mini Project EXcel Clean'!A95:R1095,2,FALSE)</f>
        <v>82.2</v>
      </c>
      <c r="C96">
        <f>VLOOKUP(A96,'Subbu- Mini Project EXcel Clean'!A95:R1095,3,FALSE)</f>
        <v>89</v>
      </c>
      <c r="D96">
        <f>_xlfn.XLOOKUP(A96,'Subbu- Mini Project EXcel Clean'!A96:A1095,'Subbu- Mini Project EXcel Clean'!D96:D1095,"Entry Level",0)</f>
        <v>82.2</v>
      </c>
      <c r="E96">
        <f>_xlfn.XLOOKUP(A96,'Subbu- Mini Project EXcel Clean'!A96:A1095,'Subbu- Mini Project EXcel Clean'!F96:F1095,"Entry Level",0)</f>
        <v>70.5</v>
      </c>
      <c r="F96">
        <f>_xlfn.XLOOKUP(A96,'Subbu- Mini Project EXcel Clean'!A96:A1095,'Subbu- Mini Project EXcel Clean'!G96:G1095," ",0)</f>
        <v>76.45</v>
      </c>
      <c r="G96" t="str">
        <f>_xlfn.XLOOKUP(A96,'Subbu- Mini Project EXcel Clean'!A96:A1095,'Subbu- Mini Project EXcel Clean'!H96:H1095," ",0)</f>
        <v>Pass</v>
      </c>
      <c r="H96" t="str">
        <f>VLOOKUP(A96,'Subbu- Mini Project EXcel Clean'!A95:R1095,18,)</f>
        <v>High School</v>
      </c>
    </row>
    <row r="97" spans="1:8" x14ac:dyDescent="0.25">
      <c r="A97" t="s">
        <v>124</v>
      </c>
      <c r="B97">
        <f>VLOOKUP(A97,'Subbu- Mini Project EXcel Clean'!A96:R1096,2,FALSE)</f>
        <v>76.099999999999994</v>
      </c>
      <c r="C97">
        <f>VLOOKUP(A97,'Subbu- Mini Project EXcel Clean'!A96:R1096,3,FALSE)</f>
        <v>74.099999999999994</v>
      </c>
      <c r="D97">
        <f>_xlfn.XLOOKUP(A97,'Subbu- Mini Project EXcel Clean'!A97:A1096,'Subbu- Mini Project EXcel Clean'!D97:D1096,"Entry Level",0)</f>
        <v>62.6</v>
      </c>
      <c r="E97">
        <f>_xlfn.XLOOKUP(A97,'Subbu- Mini Project EXcel Clean'!A97:A1096,'Subbu- Mini Project EXcel Clean'!F97:F1096,"Entry Level",0)</f>
        <v>80.8</v>
      </c>
      <c r="F97">
        <f>_xlfn.XLOOKUP(A97,'Subbu- Mini Project EXcel Clean'!A97:A1096,'Subbu- Mini Project EXcel Clean'!G97:G1096," ",0)</f>
        <v>74</v>
      </c>
      <c r="G97" t="str">
        <f>_xlfn.XLOOKUP(A97,'Subbu- Mini Project EXcel Clean'!A97:A1096,'Subbu- Mini Project EXcel Clean'!H97:H1096," ",0)</f>
        <v>Pass</v>
      </c>
      <c r="H97" t="str">
        <f>VLOOKUP(A97,'Subbu- Mini Project EXcel Clean'!A96:R1096,18,)</f>
        <v>Bachelor</v>
      </c>
    </row>
    <row r="98" spans="1:8" x14ac:dyDescent="0.25">
      <c r="A98" t="s">
        <v>125</v>
      </c>
      <c r="B98">
        <f>VLOOKUP(A98,'Subbu- Mini Project EXcel Clean'!A97:R1097,2,FALSE)</f>
        <v>66.2</v>
      </c>
      <c r="C98">
        <f>VLOOKUP(A98,'Subbu- Mini Project EXcel Clean'!A97:R1097,3,FALSE)</f>
        <v>65.900000000000006</v>
      </c>
      <c r="D98">
        <f>_xlfn.XLOOKUP(A98,'Subbu- Mini Project EXcel Clean'!A98:A1097,'Subbu- Mini Project EXcel Clean'!D98:D1097,"Entry Level",0)</f>
        <v>64.099999999999994</v>
      </c>
      <c r="E98">
        <f>_xlfn.XLOOKUP(A98,'Subbu- Mini Project EXcel Clean'!A98:A1097,'Subbu- Mini Project EXcel Clean'!F98:F1097,"Entry Level",0)</f>
        <v>83.7</v>
      </c>
      <c r="F98">
        <f>_xlfn.XLOOKUP(A98,'Subbu- Mini Project EXcel Clean'!A98:A1097,'Subbu- Mini Project EXcel Clean'!G98:G1097," ",0)</f>
        <v>76.25</v>
      </c>
      <c r="G98" t="str">
        <f>_xlfn.XLOOKUP(A98,'Subbu- Mini Project EXcel Clean'!A98:A1097,'Subbu- Mini Project EXcel Clean'!H98:H1097," ",0)</f>
        <v>Pass</v>
      </c>
      <c r="H98" t="str">
        <f>VLOOKUP(A98,'Subbu- Mini Project EXcel Clean'!A97:R1097,18,)</f>
        <v>High School</v>
      </c>
    </row>
    <row r="99" spans="1:8" x14ac:dyDescent="0.25">
      <c r="A99" t="s">
        <v>126</v>
      </c>
      <c r="B99">
        <f>VLOOKUP(A99,'Subbu- Mini Project EXcel Clean'!A98:R1098,2,FALSE)</f>
        <v>64.599999999999994</v>
      </c>
      <c r="C99">
        <f>VLOOKUP(A99,'Subbu- Mini Project EXcel Clean'!A98:R1098,3,FALSE)</f>
        <v>62.5</v>
      </c>
      <c r="D99">
        <f>_xlfn.XLOOKUP(A99,'Subbu- Mini Project EXcel Clean'!A99:A1098,'Subbu- Mini Project EXcel Clean'!D99:D1098,"Entry Level",0)</f>
        <v>60.2</v>
      </c>
      <c r="E99">
        <f>_xlfn.XLOOKUP(A99,'Subbu- Mini Project EXcel Clean'!A99:A1098,'Subbu- Mini Project EXcel Clean'!F99:F1098,"Entry Level",0)</f>
        <v>63.4</v>
      </c>
      <c r="F99">
        <f>_xlfn.XLOOKUP(A99,'Subbu- Mini Project EXcel Clean'!A99:A1098,'Subbu- Mini Project EXcel Clean'!G99:G1098," ",0)</f>
        <v>63.45</v>
      </c>
      <c r="G99" t="str">
        <f>_xlfn.XLOOKUP(A99,'Subbu- Mini Project EXcel Clean'!A99:A1098,'Subbu- Mini Project EXcel Clean'!H99:H1098," ",0)</f>
        <v>Pass</v>
      </c>
      <c r="H99" t="str">
        <f>VLOOKUP(A99,'Subbu- Mini Project EXcel Clean'!A98:R1098,18,)</f>
        <v>Master</v>
      </c>
    </row>
    <row r="100" spans="1:8" x14ac:dyDescent="0.25">
      <c r="A100" t="s">
        <v>127</v>
      </c>
      <c r="B100">
        <f>VLOOKUP(A100,'Subbu- Mini Project EXcel Clean'!A99:R1099,2,FALSE)</f>
        <v>41.3</v>
      </c>
      <c r="C100">
        <f>VLOOKUP(A100,'Subbu- Mini Project EXcel Clean'!A99:R1099,3,FALSE)</f>
        <v>33</v>
      </c>
      <c r="D100">
        <f>_xlfn.XLOOKUP(A100,'Subbu- Mini Project EXcel Clean'!A100:A1099,'Subbu- Mini Project EXcel Clean'!D100:D1099,"Entry Level",0)</f>
        <v>42.9</v>
      </c>
      <c r="E100">
        <f>_xlfn.XLOOKUP(A100,'Subbu- Mini Project EXcel Clean'!A100:A1099,'Subbu- Mini Project EXcel Clean'!F100:F1099,"Entry Level",0)</f>
        <v>46.5</v>
      </c>
      <c r="F100">
        <f>_xlfn.XLOOKUP(A100,'Subbu- Mini Project EXcel Clean'!A100:A1099,'Subbu- Mini Project EXcel Clean'!G100:G1099," ",0)</f>
        <v>43.95</v>
      </c>
      <c r="G100" t="str">
        <f>_xlfn.XLOOKUP(A100,'Subbu- Mini Project EXcel Clean'!A100:A1099,'Subbu- Mini Project EXcel Clean'!H100:H1099," ",0)</f>
        <v>Fail</v>
      </c>
      <c r="H100" t="str">
        <f>VLOOKUP(A100,'Subbu- Mini Project EXcel Clean'!A99:R1099,18,)</f>
        <v>High School</v>
      </c>
    </row>
    <row r="101" spans="1:8" x14ac:dyDescent="0.25">
      <c r="A101" t="s">
        <v>128</v>
      </c>
      <c r="B101">
        <f>VLOOKUP(A101,'Subbu- Mini Project EXcel Clean'!A100:R1100,2,FALSE)</f>
        <v>51.9</v>
      </c>
      <c r="C101">
        <f>VLOOKUP(A101,'Subbu- Mini Project EXcel Clean'!A100:R1100,3,FALSE)</f>
        <v>41.9</v>
      </c>
      <c r="D101">
        <f>_xlfn.XLOOKUP(A101,'Subbu- Mini Project EXcel Clean'!A101:A1100,'Subbu- Mini Project EXcel Clean'!D101:D1100,"Entry Level",0)</f>
        <v>45</v>
      </c>
      <c r="E101">
        <f>_xlfn.XLOOKUP(A101,'Subbu- Mini Project EXcel Clean'!A101:A1100,'Subbu- Mini Project EXcel Clean'!F101:F1100,"Entry Level",0)</f>
        <v>63.1</v>
      </c>
      <c r="F101">
        <f>_xlfn.XLOOKUP(A101,'Subbu- Mini Project EXcel Clean'!A101:A1100,'Subbu- Mini Project EXcel Clean'!G101:G1100," ",0)</f>
        <v>54.5</v>
      </c>
      <c r="G101" t="str">
        <f>_xlfn.XLOOKUP(A101,'Subbu- Mini Project EXcel Clean'!A101:A1100,'Subbu- Mini Project EXcel Clean'!H101:H1100," ",0)</f>
        <v>Pass</v>
      </c>
      <c r="H101" t="str">
        <f>VLOOKUP(A101,'Subbu- Mini Project EXcel Clean'!A100:R1100,18,)</f>
        <v>Master</v>
      </c>
    </row>
    <row r="102" spans="1:8" x14ac:dyDescent="0.25">
      <c r="A102" t="s">
        <v>129</v>
      </c>
      <c r="B102">
        <f>VLOOKUP(A102,'Subbu- Mini Project EXcel Clean'!A101:R1101,2,FALSE)</f>
        <v>54.4</v>
      </c>
      <c r="C102">
        <f>VLOOKUP(A102,'Subbu- Mini Project EXcel Clean'!A101:R1101,3,FALSE)</f>
        <v>46.6</v>
      </c>
      <c r="D102">
        <f>_xlfn.XLOOKUP(A102,'Subbu- Mini Project EXcel Clean'!A102:A1101,'Subbu- Mini Project EXcel Clean'!D102:D1101,"Entry Level",0)</f>
        <v>30.5</v>
      </c>
      <c r="E102">
        <f>_xlfn.XLOOKUP(A102,'Subbu- Mini Project EXcel Clean'!A102:A1101,'Subbu- Mini Project EXcel Clean'!F102:F1101,"Entry Level",0)</f>
        <v>51.3</v>
      </c>
      <c r="F102">
        <f>_xlfn.XLOOKUP(A102,'Subbu- Mini Project EXcel Clean'!A102:A1101,'Subbu- Mini Project EXcel Clean'!G102:G1101," ",0)</f>
        <v>46.5</v>
      </c>
      <c r="G102" t="str">
        <f>_xlfn.XLOOKUP(A102,'Subbu- Mini Project EXcel Clean'!A102:A1101,'Subbu- Mini Project EXcel Clean'!H102:H1101," ",0)</f>
        <v>Fail</v>
      </c>
      <c r="H102" t="str">
        <f>VLOOKUP(A102,'Subbu- Mini Project EXcel Clean'!A101:R1101,18,)</f>
        <v>Bachelor</v>
      </c>
    </row>
    <row r="103" spans="1:8" x14ac:dyDescent="0.25">
      <c r="A103" t="s">
        <v>130</v>
      </c>
      <c r="B103">
        <f>VLOOKUP(A103,'Subbu- Mini Project EXcel Clean'!A102:R1102,2,FALSE)</f>
        <v>72.3</v>
      </c>
      <c r="C103">
        <f>VLOOKUP(A103,'Subbu- Mini Project EXcel Clean'!A102:R1102,3,FALSE)</f>
        <v>83.1</v>
      </c>
      <c r="D103">
        <f>_xlfn.XLOOKUP(A103,'Subbu- Mini Project EXcel Clean'!A103:A1102,'Subbu- Mini Project EXcel Clean'!D103:D1102,"Entry Level",0)</f>
        <v>64.400000000000006</v>
      </c>
      <c r="E103">
        <f>_xlfn.XLOOKUP(A103,'Subbu- Mini Project EXcel Clean'!A103:A1102,'Subbu- Mini Project EXcel Clean'!F103:F1102,"Entry Level",0)</f>
        <v>76.8</v>
      </c>
      <c r="F103">
        <f>_xlfn.XLOOKUP(A103,'Subbu- Mini Project EXcel Clean'!A103:A1102,'Subbu- Mini Project EXcel Clean'!G103:G1102," ",0)</f>
        <v>75.900000000000006</v>
      </c>
      <c r="G103" t="str">
        <f>_xlfn.XLOOKUP(A103,'Subbu- Mini Project EXcel Clean'!A103:A1102,'Subbu- Mini Project EXcel Clean'!H103:H1102," ",0)</f>
        <v>Pass</v>
      </c>
      <c r="H103" t="str">
        <f>VLOOKUP(A103,'Subbu- Mini Project EXcel Clean'!A102:R1102,18,)</f>
        <v>Master</v>
      </c>
    </row>
    <row r="104" spans="1:8" x14ac:dyDescent="0.25">
      <c r="A104" t="s">
        <v>131</v>
      </c>
      <c r="B104">
        <f>VLOOKUP(A104,'Subbu- Mini Project EXcel Clean'!A103:R1103,2,FALSE)</f>
        <v>54.8</v>
      </c>
      <c r="C104">
        <f>VLOOKUP(A104,'Subbu- Mini Project EXcel Clean'!A103:R1103,3,FALSE)</f>
        <v>51.1</v>
      </c>
      <c r="D104">
        <f>_xlfn.XLOOKUP(A104,'Subbu- Mini Project EXcel Clean'!A104:A1103,'Subbu- Mini Project EXcel Clean'!D104:D1103,"Entry Level",0)</f>
        <v>54.3</v>
      </c>
      <c r="E104">
        <f>_xlfn.XLOOKUP(A104,'Subbu- Mini Project EXcel Clean'!A104:A1103,'Subbu- Mini Project EXcel Clean'!F104:F1103,"Entry Level",0)</f>
        <v>56.3</v>
      </c>
      <c r="F104">
        <f>_xlfn.XLOOKUP(A104,'Subbu- Mini Project EXcel Clean'!A104:A1103,'Subbu- Mini Project EXcel Clean'!G104:G1103," ",0)</f>
        <v>56.8</v>
      </c>
      <c r="G104" t="str">
        <f>_xlfn.XLOOKUP(A104,'Subbu- Mini Project EXcel Clean'!A104:A1103,'Subbu- Mini Project EXcel Clean'!H104:H1103," ",0)</f>
        <v>Pass</v>
      </c>
      <c r="H104" t="str">
        <f>VLOOKUP(A104,'Subbu- Mini Project EXcel Clean'!A103:R1103,18,)</f>
        <v>High School</v>
      </c>
    </row>
    <row r="105" spans="1:8" x14ac:dyDescent="0.25">
      <c r="A105" t="s">
        <v>132</v>
      </c>
      <c r="B105">
        <f>VLOOKUP(A105,'Subbu- Mini Project EXcel Clean'!A104:R1104,2,FALSE)</f>
        <v>73.2</v>
      </c>
      <c r="C105">
        <f>VLOOKUP(A105,'Subbu- Mini Project EXcel Clean'!A104:R1104,3,FALSE)</f>
        <v>65</v>
      </c>
      <c r="D105">
        <f>_xlfn.XLOOKUP(A105,'Subbu- Mini Project EXcel Clean'!A105:A1104,'Subbu- Mini Project EXcel Clean'!D105:D1104,"Entry Level",0)</f>
        <v>70.3</v>
      </c>
      <c r="E105">
        <f>_xlfn.XLOOKUP(A105,'Subbu- Mini Project EXcel Clean'!A105:A1104,'Subbu- Mini Project EXcel Clean'!F105:F1104,"Entry Level",0)</f>
        <v>77.8</v>
      </c>
      <c r="F105">
        <f>_xlfn.XLOOKUP(A105,'Subbu- Mini Project EXcel Clean'!A105:A1104,'Subbu- Mini Project EXcel Clean'!G105:G1104," ",0)</f>
        <v>72.900000000000006</v>
      </c>
      <c r="G105" t="str">
        <f>_xlfn.XLOOKUP(A105,'Subbu- Mini Project EXcel Clean'!A105:A1104,'Subbu- Mini Project EXcel Clean'!H105:H1104," ",0)</f>
        <v>Pass</v>
      </c>
      <c r="H105" t="str">
        <f>VLOOKUP(A105,'Subbu- Mini Project EXcel Clean'!A104:R1104,18,)</f>
        <v>High School</v>
      </c>
    </row>
    <row r="106" spans="1:8" x14ac:dyDescent="0.25">
      <c r="A106" t="s">
        <v>133</v>
      </c>
      <c r="B106">
        <f>VLOOKUP(A106,'Subbu- Mini Project EXcel Clean'!A105:R1105,2,FALSE)</f>
        <v>93.3</v>
      </c>
      <c r="C106">
        <f>VLOOKUP(A106,'Subbu- Mini Project EXcel Clean'!A105:R1105,3,FALSE)</f>
        <v>89.8</v>
      </c>
      <c r="D106">
        <f>_xlfn.XLOOKUP(A106,'Subbu- Mini Project EXcel Clean'!A106:A1105,'Subbu- Mini Project EXcel Clean'!D106:D1105,"Entry Level",0)</f>
        <v>76.2</v>
      </c>
      <c r="E106">
        <f>_xlfn.XLOOKUP(A106,'Subbu- Mini Project EXcel Clean'!A106:A1105,'Subbu- Mini Project EXcel Clean'!F106:F1105,"Entry Level",0)</f>
        <v>87.1</v>
      </c>
      <c r="F106">
        <f>_xlfn.XLOOKUP(A106,'Subbu- Mini Project EXcel Clean'!A106:A1105,'Subbu- Mini Project EXcel Clean'!G106:G1105," ",0)</f>
        <v>88.5</v>
      </c>
      <c r="G106" t="str">
        <f>_xlfn.XLOOKUP(A106,'Subbu- Mini Project EXcel Clean'!A106:A1105,'Subbu- Mini Project EXcel Clean'!H106:H1105," ",0)</f>
        <v>Pass</v>
      </c>
      <c r="H106" t="str">
        <f>VLOOKUP(A106,'Subbu- Mini Project EXcel Clean'!A105:R1105,18,)</f>
        <v>Bachelor</v>
      </c>
    </row>
    <row r="107" spans="1:8" x14ac:dyDescent="0.25">
      <c r="A107" t="s">
        <v>134</v>
      </c>
      <c r="B107">
        <f>VLOOKUP(A107,'Subbu- Mini Project EXcel Clean'!A106:R1106,2,FALSE)</f>
        <v>62.9</v>
      </c>
      <c r="C107">
        <f>VLOOKUP(A107,'Subbu- Mini Project EXcel Clean'!A106:R1106,3,FALSE)</f>
        <v>55.1</v>
      </c>
      <c r="D107">
        <f>_xlfn.XLOOKUP(A107,'Subbu- Mini Project EXcel Clean'!A107:A1106,'Subbu- Mini Project EXcel Clean'!D107:D1106,"Entry Level",0)</f>
        <v>51.2</v>
      </c>
      <c r="E107">
        <f>_xlfn.XLOOKUP(A107,'Subbu- Mini Project EXcel Clean'!A107:A1106,'Subbu- Mini Project EXcel Clean'!F107:F1106,"Entry Level",0)</f>
        <v>53.8</v>
      </c>
      <c r="F107">
        <f>_xlfn.XLOOKUP(A107,'Subbu- Mini Project EXcel Clean'!A107:A1106,'Subbu- Mini Project EXcel Clean'!G107:G1106," ",0)</f>
        <v>53.75</v>
      </c>
      <c r="G107" t="str">
        <f>_xlfn.XLOOKUP(A107,'Subbu- Mini Project EXcel Clean'!A107:A1106,'Subbu- Mini Project EXcel Clean'!H107:H1106," ",0)</f>
        <v>Pass</v>
      </c>
      <c r="H107" t="str">
        <f>VLOOKUP(A107,'Subbu- Mini Project EXcel Clean'!A106:R1106,18,)</f>
        <v>High School</v>
      </c>
    </row>
    <row r="108" spans="1:8" x14ac:dyDescent="0.25">
      <c r="A108" t="s">
        <v>135</v>
      </c>
      <c r="B108">
        <f>VLOOKUP(A108,'Subbu- Mini Project EXcel Clean'!A107:R1107,2,FALSE)</f>
        <v>65.5</v>
      </c>
      <c r="C108">
        <f>VLOOKUP(A108,'Subbu- Mini Project EXcel Clean'!A107:R1107,3,FALSE)</f>
        <v>58.5</v>
      </c>
      <c r="D108">
        <f>_xlfn.XLOOKUP(A108,'Subbu- Mini Project EXcel Clean'!A108:A1107,'Subbu- Mini Project EXcel Clean'!D108:D1107,"Entry Level",0)</f>
        <v>59.9</v>
      </c>
      <c r="E108">
        <f>_xlfn.XLOOKUP(A108,'Subbu- Mini Project EXcel Clean'!A108:A1107,'Subbu- Mini Project EXcel Clean'!F108:F1107,"Entry Level",0)</f>
        <v>57.1</v>
      </c>
      <c r="F108">
        <f>_xlfn.XLOOKUP(A108,'Subbu- Mini Project EXcel Clean'!A108:A1107,'Subbu- Mini Project EXcel Clean'!G108:G1107," ",0)</f>
        <v>59.85</v>
      </c>
      <c r="G108" t="str">
        <f>_xlfn.XLOOKUP(A108,'Subbu- Mini Project EXcel Clean'!A108:A1107,'Subbu- Mini Project EXcel Clean'!H108:H1107," ",0)</f>
        <v>Pass</v>
      </c>
      <c r="H108" t="str">
        <f>VLOOKUP(A108,'Subbu- Mini Project EXcel Clean'!A107:R1107,18,)</f>
        <v>Bachelor</v>
      </c>
    </row>
    <row r="109" spans="1:8" x14ac:dyDescent="0.25">
      <c r="A109" t="s">
        <v>136</v>
      </c>
      <c r="B109">
        <f>VLOOKUP(A109,'Subbu- Mini Project EXcel Clean'!A108:R1108,2,FALSE)</f>
        <v>79.8</v>
      </c>
      <c r="C109">
        <f>VLOOKUP(A109,'Subbu- Mini Project EXcel Clean'!A108:R1108,3,FALSE)</f>
        <v>83.7</v>
      </c>
      <c r="D109">
        <f>_xlfn.XLOOKUP(A109,'Subbu- Mini Project EXcel Clean'!A109:A1108,'Subbu- Mini Project EXcel Clean'!D109:D1108,"Entry Level",0)</f>
        <v>88.5</v>
      </c>
      <c r="E109">
        <f>_xlfn.XLOOKUP(A109,'Subbu- Mini Project EXcel Clean'!A109:A1108,'Subbu- Mini Project EXcel Clean'!F109:F1108,"Entry Level",0)</f>
        <v>85.3</v>
      </c>
      <c r="F109">
        <f>_xlfn.XLOOKUP(A109,'Subbu- Mini Project EXcel Clean'!A109:A1108,'Subbu- Mini Project EXcel Clean'!G109:G1108," ",0)</f>
        <v>83.45</v>
      </c>
      <c r="G109" t="str">
        <f>_xlfn.XLOOKUP(A109,'Subbu- Mini Project EXcel Clean'!A109:A1108,'Subbu- Mini Project EXcel Clean'!H109:H1108," ",0)</f>
        <v>Pass</v>
      </c>
      <c r="H109" t="str">
        <f>VLOOKUP(A109,'Subbu- Mini Project EXcel Clean'!A108:R1108,18,)</f>
        <v>Bachelor</v>
      </c>
    </row>
    <row r="110" spans="1:8" x14ac:dyDescent="0.25">
      <c r="A110" t="s">
        <v>137</v>
      </c>
      <c r="B110">
        <f>VLOOKUP(A110,'Subbu- Mini Project EXcel Clean'!A109:R1109,2,FALSE)</f>
        <v>55.5</v>
      </c>
      <c r="C110">
        <f>VLOOKUP(A110,'Subbu- Mini Project EXcel Clean'!A109:R1109,3,FALSE)</f>
        <v>50.2</v>
      </c>
      <c r="D110">
        <f>_xlfn.XLOOKUP(A110,'Subbu- Mini Project EXcel Clean'!A110:A1109,'Subbu- Mini Project EXcel Clean'!D110:D1109,"Entry Level",0)</f>
        <v>50.7</v>
      </c>
      <c r="E110">
        <f>_xlfn.XLOOKUP(A110,'Subbu- Mini Project EXcel Clean'!A110:A1109,'Subbu- Mini Project EXcel Clean'!F110:F1109,"Entry Level",0)</f>
        <v>46.7</v>
      </c>
      <c r="F110">
        <f>_xlfn.XLOOKUP(A110,'Subbu- Mini Project EXcel Clean'!A110:A1109,'Subbu- Mini Project EXcel Clean'!G110:G1109," ",0)</f>
        <v>49.65</v>
      </c>
      <c r="G110" t="str">
        <f>_xlfn.XLOOKUP(A110,'Subbu- Mini Project EXcel Clean'!A110:A1109,'Subbu- Mini Project EXcel Clean'!H110:H1109," ",0)</f>
        <v>Fail</v>
      </c>
      <c r="H110" t="str">
        <f>VLOOKUP(A110,'Subbu- Mini Project EXcel Clean'!A109:R1109,18,)</f>
        <v>High School</v>
      </c>
    </row>
    <row r="111" spans="1:8" x14ac:dyDescent="0.25">
      <c r="A111" t="s">
        <v>138</v>
      </c>
      <c r="B111">
        <f>VLOOKUP(A111,'Subbu- Mini Project EXcel Clean'!A110:R1110,2,FALSE)</f>
        <v>49.8</v>
      </c>
      <c r="C111">
        <f>VLOOKUP(A111,'Subbu- Mini Project EXcel Clean'!A110:R1110,3,FALSE)</f>
        <v>44.2</v>
      </c>
      <c r="D111">
        <f>_xlfn.XLOOKUP(A111,'Subbu- Mini Project EXcel Clean'!A111:A1110,'Subbu- Mini Project EXcel Clean'!D111:D1110,"Entry Level",0)</f>
        <v>46.1</v>
      </c>
      <c r="E111">
        <f>_xlfn.XLOOKUP(A111,'Subbu- Mini Project EXcel Clean'!A111:A1110,'Subbu- Mini Project EXcel Clean'!F111:F1110,"Entry Level",0)</f>
        <v>57.2</v>
      </c>
      <c r="F111">
        <f>_xlfn.XLOOKUP(A111,'Subbu- Mini Project EXcel Clean'!A111:A1110,'Subbu- Mini Project EXcel Clean'!G111:G1110," ",0)</f>
        <v>50.7</v>
      </c>
      <c r="G111" t="str">
        <f>_xlfn.XLOOKUP(A111,'Subbu- Mini Project EXcel Clean'!A111:A1110,'Subbu- Mini Project EXcel Clean'!H111:H1110," ",0)</f>
        <v>Pass</v>
      </c>
      <c r="H111" t="str">
        <f>VLOOKUP(A111,'Subbu- Mini Project EXcel Clean'!A110:R1110,18,)</f>
        <v>Master</v>
      </c>
    </row>
    <row r="112" spans="1:8" x14ac:dyDescent="0.25">
      <c r="A112" t="s">
        <v>139</v>
      </c>
      <c r="B112">
        <f>VLOOKUP(A112,'Subbu- Mini Project EXcel Clean'!A111:R1111,2,FALSE)</f>
        <v>60</v>
      </c>
      <c r="C112">
        <f>VLOOKUP(A112,'Subbu- Mini Project EXcel Clean'!A111:R1111,3,FALSE)</f>
        <v>58.7</v>
      </c>
      <c r="D112">
        <f>_xlfn.XLOOKUP(A112,'Subbu- Mini Project EXcel Clean'!A112:A1111,'Subbu- Mini Project EXcel Clean'!D112:D1111,"Entry Level",0)</f>
        <v>56.6</v>
      </c>
      <c r="E112">
        <f>_xlfn.XLOOKUP(A112,'Subbu- Mini Project EXcel Clean'!A112:A1111,'Subbu- Mini Project EXcel Clean'!F112:F1111,"Entry Level",0)</f>
        <v>68.8</v>
      </c>
      <c r="F112">
        <f>_xlfn.XLOOKUP(A112,'Subbu- Mini Project EXcel Clean'!A112:A1111,'Subbu- Mini Project EXcel Clean'!G112:G1111," ",0)</f>
        <v>62.35</v>
      </c>
      <c r="G112" t="str">
        <f>_xlfn.XLOOKUP(A112,'Subbu- Mini Project EXcel Clean'!A112:A1111,'Subbu- Mini Project EXcel Clean'!H112:H1111," ",0)</f>
        <v>Pass</v>
      </c>
      <c r="H112" t="str">
        <f>VLOOKUP(A112,'Subbu- Mini Project EXcel Clean'!A111:R1111,18,)</f>
        <v>Bachelor</v>
      </c>
    </row>
    <row r="113" spans="1:8" x14ac:dyDescent="0.25">
      <c r="A113" t="s">
        <v>141</v>
      </c>
      <c r="B113">
        <f>VLOOKUP(A113,'Subbu- Mini Project EXcel Clean'!A112:R1112,2,FALSE)</f>
        <v>51.4</v>
      </c>
      <c r="C113">
        <f>VLOOKUP(A113,'Subbu- Mini Project EXcel Clean'!A112:R1112,3,FALSE)</f>
        <v>48.9</v>
      </c>
      <c r="D113">
        <f>_xlfn.XLOOKUP(A113,'Subbu- Mini Project EXcel Clean'!A113:A1112,'Subbu- Mini Project EXcel Clean'!D113:D1112,"Entry Level",0)</f>
        <v>38.200000000000003</v>
      </c>
      <c r="E113">
        <f>_xlfn.XLOOKUP(A113,'Subbu- Mini Project EXcel Clean'!A113:A1112,'Subbu- Mini Project EXcel Clean'!F113:F1112,"Entry Level",0)</f>
        <v>61.4</v>
      </c>
      <c r="F113">
        <f>_xlfn.XLOOKUP(A113,'Subbu- Mini Project EXcel Clean'!A113:A1112,'Subbu- Mini Project EXcel Clean'!G113:G1112," ",0)</f>
        <v>55.15</v>
      </c>
      <c r="G113" t="str">
        <f>_xlfn.XLOOKUP(A113,'Subbu- Mini Project EXcel Clean'!A113:A1112,'Subbu- Mini Project EXcel Clean'!H113:H1112," ",0)</f>
        <v>Pass</v>
      </c>
      <c r="H113" t="str">
        <f>VLOOKUP(A113,'Subbu- Mini Project EXcel Clean'!A112:R1112,18,)</f>
        <v>Master</v>
      </c>
    </row>
    <row r="114" spans="1:8" x14ac:dyDescent="0.25">
      <c r="A114" t="s">
        <v>142</v>
      </c>
      <c r="B114">
        <f>VLOOKUP(A114,'Subbu- Mini Project EXcel Clean'!A113:R1113,2,FALSE)</f>
        <v>96.5</v>
      </c>
      <c r="C114">
        <f>VLOOKUP(A114,'Subbu- Mini Project EXcel Clean'!A113:R1113,3,FALSE)</f>
        <v>89</v>
      </c>
      <c r="D114">
        <f>_xlfn.XLOOKUP(A114,'Subbu- Mini Project EXcel Clean'!A114:A1113,'Subbu- Mini Project EXcel Clean'!D114:D1113,"Entry Level",0)</f>
        <v>95</v>
      </c>
      <c r="E114">
        <f>_xlfn.XLOOKUP(A114,'Subbu- Mini Project EXcel Clean'!A114:A1113,'Subbu- Mini Project EXcel Clean'!F114:F1113,"Entry Level",0)</f>
        <v>78.3</v>
      </c>
      <c r="F114">
        <f>_xlfn.XLOOKUP(A114,'Subbu- Mini Project EXcel Clean'!A114:A1113,'Subbu- Mini Project EXcel Clean'!G114:G1113," ",0)</f>
        <v>84.7</v>
      </c>
      <c r="G114" t="str">
        <f>_xlfn.XLOOKUP(A114,'Subbu- Mini Project EXcel Clean'!A114:A1113,'Subbu- Mini Project EXcel Clean'!H114:H1113," ",0)</f>
        <v>Pass</v>
      </c>
      <c r="H114" t="str">
        <f>VLOOKUP(A114,'Subbu- Mini Project EXcel Clean'!A113:R1113,18,)</f>
        <v>High School</v>
      </c>
    </row>
    <row r="115" spans="1:8" x14ac:dyDescent="0.25">
      <c r="A115" t="s">
        <v>143</v>
      </c>
      <c r="B115">
        <f>VLOOKUP(A115,'Subbu- Mini Project EXcel Clean'!A114:R1114,2,FALSE)</f>
        <v>90.3</v>
      </c>
      <c r="C115">
        <f>VLOOKUP(A115,'Subbu- Mini Project EXcel Clean'!A114:R1114,3,FALSE)</f>
        <v>83.9</v>
      </c>
      <c r="D115">
        <f>_xlfn.XLOOKUP(A115,'Subbu- Mini Project EXcel Clean'!A115:A1114,'Subbu- Mini Project EXcel Clean'!D115:D1114,"Entry Level",0)</f>
        <v>85.5</v>
      </c>
      <c r="E115">
        <f>_xlfn.XLOOKUP(A115,'Subbu- Mini Project EXcel Clean'!A115:A1114,'Subbu- Mini Project EXcel Clean'!F115:F1114,"Entry Level",0)</f>
        <v>86.9</v>
      </c>
      <c r="F115">
        <f>_xlfn.XLOOKUP(A115,'Subbu- Mini Project EXcel Clean'!A115:A1114,'Subbu- Mini Project EXcel Clean'!G115:G1114," ",0)</f>
        <v>85.65</v>
      </c>
      <c r="G115" t="str">
        <f>_xlfn.XLOOKUP(A115,'Subbu- Mini Project EXcel Clean'!A115:A1114,'Subbu- Mini Project EXcel Clean'!H115:H1114," ",0)</f>
        <v>Pass</v>
      </c>
      <c r="H115" t="str">
        <f>VLOOKUP(A115,'Subbu- Mini Project EXcel Clean'!A114:R1114,18,)</f>
        <v>Master</v>
      </c>
    </row>
    <row r="116" spans="1:8" x14ac:dyDescent="0.25">
      <c r="A116" t="s">
        <v>144</v>
      </c>
      <c r="B116">
        <f>VLOOKUP(A116,'Subbu- Mini Project EXcel Clean'!A115:R1115,2,FALSE)</f>
        <v>81.7</v>
      </c>
      <c r="C116">
        <f>VLOOKUP(A116,'Subbu- Mini Project EXcel Clean'!A115:R1115,3,FALSE)</f>
        <v>74.400000000000006</v>
      </c>
      <c r="D116">
        <f>_xlfn.XLOOKUP(A116,'Subbu- Mini Project EXcel Clean'!A116:A1115,'Subbu- Mini Project EXcel Clean'!D116:D1115,"Entry Level",0)</f>
        <v>77.400000000000006</v>
      </c>
      <c r="E116">
        <f>_xlfn.XLOOKUP(A116,'Subbu- Mini Project EXcel Clean'!A116:A1115,'Subbu- Mini Project EXcel Clean'!F116:F1115,"Entry Level",0)</f>
        <v>82.3</v>
      </c>
      <c r="F116">
        <f>_xlfn.XLOOKUP(A116,'Subbu- Mini Project EXcel Clean'!A116:A1115,'Subbu- Mini Project EXcel Clean'!G116:G1115," ",0)</f>
        <v>78.55</v>
      </c>
      <c r="G116" t="str">
        <f>_xlfn.XLOOKUP(A116,'Subbu- Mini Project EXcel Clean'!A116:A1115,'Subbu- Mini Project EXcel Clean'!H116:H1115," ",0)</f>
        <v>Pass</v>
      </c>
      <c r="H116" t="str">
        <f>VLOOKUP(A116,'Subbu- Mini Project EXcel Clean'!A115:R1115,18,)</f>
        <v>Master</v>
      </c>
    </row>
    <row r="117" spans="1:8" x14ac:dyDescent="0.25">
      <c r="A117" t="s">
        <v>145</v>
      </c>
      <c r="B117">
        <f>VLOOKUP(A117,'Subbu- Mini Project EXcel Clean'!A116:R1116,2,FALSE)</f>
        <v>91.2</v>
      </c>
      <c r="C117">
        <f>VLOOKUP(A117,'Subbu- Mini Project EXcel Clean'!A116:R1116,3,FALSE)</f>
        <v>86.1</v>
      </c>
      <c r="D117">
        <f>_xlfn.XLOOKUP(A117,'Subbu- Mini Project EXcel Clean'!A117:A1116,'Subbu- Mini Project EXcel Clean'!D117:D1116,"Entry Level",0)</f>
        <v>107.6</v>
      </c>
      <c r="E117">
        <f>_xlfn.XLOOKUP(A117,'Subbu- Mini Project EXcel Clean'!A117:A1116,'Subbu- Mini Project EXcel Clean'!F117:F1116,"Entry Level",0)</f>
        <v>81</v>
      </c>
      <c r="F117">
        <f>_xlfn.XLOOKUP(A117,'Subbu- Mini Project EXcel Clean'!A117:A1116,'Subbu- Mini Project EXcel Clean'!G117:G1116," ",0)</f>
        <v>84.45</v>
      </c>
      <c r="G117" t="str">
        <f>_xlfn.XLOOKUP(A117,'Subbu- Mini Project EXcel Clean'!A117:A1116,'Subbu- Mini Project EXcel Clean'!H117:H1116," ",0)</f>
        <v>Pass</v>
      </c>
      <c r="H117" t="str">
        <f>VLOOKUP(A117,'Subbu- Mini Project EXcel Clean'!A116:R1116,18,)</f>
        <v>Master</v>
      </c>
    </row>
    <row r="118" spans="1:8" x14ac:dyDescent="0.25">
      <c r="A118" t="s">
        <v>146</v>
      </c>
      <c r="B118">
        <f>VLOOKUP(A118,'Subbu- Mini Project EXcel Clean'!A117:R1117,2,FALSE)</f>
        <v>83.4</v>
      </c>
      <c r="C118">
        <f>VLOOKUP(A118,'Subbu- Mini Project EXcel Clean'!A117:R1117,3,FALSE)</f>
        <v>82.9</v>
      </c>
      <c r="D118">
        <f>_xlfn.XLOOKUP(A118,'Subbu- Mini Project EXcel Clean'!A118:A1117,'Subbu- Mini Project EXcel Clean'!D118:D1117,"Entry Level",0)</f>
        <v>73.8</v>
      </c>
      <c r="E118">
        <f>_xlfn.XLOOKUP(A118,'Subbu- Mini Project EXcel Clean'!A118:A1117,'Subbu- Mini Project EXcel Clean'!F118:F1117,"Entry Level",0)</f>
        <v>96.6</v>
      </c>
      <c r="F118">
        <f>_xlfn.XLOOKUP(A118,'Subbu- Mini Project EXcel Clean'!A118:A1117,'Subbu- Mini Project EXcel Clean'!G118:G1117," ",0)</f>
        <v>90.4</v>
      </c>
      <c r="G118" t="str">
        <f>_xlfn.XLOOKUP(A118,'Subbu- Mini Project EXcel Clean'!A118:A1117,'Subbu- Mini Project EXcel Clean'!H118:H1117," ",0)</f>
        <v>Pass</v>
      </c>
      <c r="H118" t="str">
        <f>VLOOKUP(A118,'Subbu- Mini Project EXcel Clean'!A117:R1117,18,)</f>
        <v>Master</v>
      </c>
    </row>
    <row r="119" spans="1:8" x14ac:dyDescent="0.25">
      <c r="A119" t="s">
        <v>147</v>
      </c>
      <c r="B119">
        <f>VLOOKUP(A119,'Subbu- Mini Project EXcel Clean'!A118:R1118,2,FALSE)</f>
        <v>51</v>
      </c>
      <c r="C119">
        <f>VLOOKUP(A119,'Subbu- Mini Project EXcel Clean'!A118:R1118,3,FALSE)</f>
        <v>58.3</v>
      </c>
      <c r="D119">
        <f>_xlfn.XLOOKUP(A119,'Subbu- Mini Project EXcel Clean'!A119:A1118,'Subbu- Mini Project EXcel Clean'!D119:D1118,"Entry Level",0)</f>
        <v>58.9</v>
      </c>
      <c r="E119">
        <f>_xlfn.XLOOKUP(A119,'Subbu- Mini Project EXcel Clean'!A119:A1118,'Subbu- Mini Project EXcel Clean'!F119:F1118,"Entry Level",0)</f>
        <v>57.2</v>
      </c>
      <c r="F119">
        <f>_xlfn.XLOOKUP(A119,'Subbu- Mini Project EXcel Clean'!A119:A1118,'Subbu- Mini Project EXcel Clean'!G119:G1118," ",0)</f>
        <v>53.75</v>
      </c>
      <c r="G119" t="str">
        <f>_xlfn.XLOOKUP(A119,'Subbu- Mini Project EXcel Clean'!A119:A1118,'Subbu- Mini Project EXcel Clean'!H119:H1118," ",0)</f>
        <v>Pass</v>
      </c>
      <c r="H119" t="str">
        <f>VLOOKUP(A119,'Subbu- Mini Project EXcel Clean'!A118:R1118,18,)</f>
        <v>High School</v>
      </c>
    </row>
    <row r="120" spans="1:8" x14ac:dyDescent="0.25">
      <c r="A120" t="s">
        <v>148</v>
      </c>
      <c r="B120">
        <f>VLOOKUP(A120,'Subbu- Mini Project EXcel Clean'!A119:R1119,2,FALSE)</f>
        <v>95.1</v>
      </c>
      <c r="C120">
        <f>VLOOKUP(A120,'Subbu- Mini Project EXcel Clean'!A119:R1119,3,FALSE)</f>
        <v>91.9</v>
      </c>
      <c r="D120">
        <f>_xlfn.XLOOKUP(A120,'Subbu- Mini Project EXcel Clean'!A120:A1119,'Subbu- Mini Project EXcel Clean'!D120:D1119,"Entry Level",0)</f>
        <v>87.7</v>
      </c>
      <c r="E120">
        <f>_xlfn.XLOOKUP(A120,'Subbu- Mini Project EXcel Clean'!A120:A1119,'Subbu- Mini Project EXcel Clean'!F120:F1119,"Entry Level",0)</f>
        <v>88.7</v>
      </c>
      <c r="F120">
        <f>_xlfn.XLOOKUP(A120,'Subbu- Mini Project EXcel Clean'!A120:A1119,'Subbu- Mini Project EXcel Clean'!G120:G1119," ",0)</f>
        <v>88.9</v>
      </c>
      <c r="G120" t="str">
        <f>_xlfn.XLOOKUP(A120,'Subbu- Mini Project EXcel Clean'!A120:A1119,'Subbu- Mini Project EXcel Clean'!H120:H1119," ",0)</f>
        <v>Pass</v>
      </c>
      <c r="H120" t="str">
        <f>VLOOKUP(A120,'Subbu- Mini Project EXcel Clean'!A119:R1119,18,)</f>
        <v>High School</v>
      </c>
    </row>
    <row r="121" spans="1:8" x14ac:dyDescent="0.25">
      <c r="A121" t="s">
        <v>149</v>
      </c>
      <c r="B121">
        <f>VLOOKUP(A121,'Subbu- Mini Project EXcel Clean'!A120:R1120,2,FALSE)</f>
        <v>65.599999999999994</v>
      </c>
      <c r="C121">
        <f>VLOOKUP(A121,'Subbu- Mini Project EXcel Clean'!A120:R1120,3,FALSE)</f>
        <v>68.2</v>
      </c>
      <c r="D121">
        <f>_xlfn.XLOOKUP(A121,'Subbu- Mini Project EXcel Clean'!A121:A1120,'Subbu- Mini Project EXcel Clean'!D121:D1120,"Entry Level",0)</f>
        <v>71.099999999999994</v>
      </c>
      <c r="E121">
        <f>_xlfn.XLOOKUP(A121,'Subbu- Mini Project EXcel Clean'!A121:A1120,'Subbu- Mini Project EXcel Clean'!F121:F1120,"Entry Level",0)</f>
        <v>71.400000000000006</v>
      </c>
      <c r="F121">
        <f>_xlfn.XLOOKUP(A121,'Subbu- Mini Project EXcel Clean'!A121:A1120,'Subbu- Mini Project EXcel Clean'!G121:G1120," ",0)</f>
        <v>70.55</v>
      </c>
      <c r="G121" t="str">
        <f>_xlfn.XLOOKUP(A121,'Subbu- Mini Project EXcel Clean'!A121:A1120,'Subbu- Mini Project EXcel Clean'!H121:H1120," ",0)</f>
        <v>Pass</v>
      </c>
      <c r="H121" t="str">
        <f>VLOOKUP(A121,'Subbu- Mini Project EXcel Clean'!A120:R1120,18,)</f>
        <v>Master</v>
      </c>
    </row>
    <row r="122" spans="1:8" x14ac:dyDescent="0.25">
      <c r="A122" t="s">
        <v>150</v>
      </c>
      <c r="B122">
        <f>VLOOKUP(A122,'Subbu- Mini Project EXcel Clean'!A121:R1121,2,FALSE)</f>
        <v>86.3</v>
      </c>
      <c r="C122">
        <f>VLOOKUP(A122,'Subbu- Mini Project EXcel Clean'!A121:R1121,3,FALSE)</f>
        <v>87.9</v>
      </c>
      <c r="D122">
        <f>_xlfn.XLOOKUP(A122,'Subbu- Mini Project EXcel Clean'!A122:A1121,'Subbu- Mini Project EXcel Clean'!D122:D1121,"Entry Level",0)</f>
        <v>84.2</v>
      </c>
      <c r="E122">
        <f>_xlfn.XLOOKUP(A122,'Subbu- Mini Project EXcel Clean'!A122:A1121,'Subbu- Mini Project EXcel Clean'!F122:F1121,"Entry Level",0)</f>
        <v>82.3</v>
      </c>
      <c r="F122">
        <f>_xlfn.XLOOKUP(A122,'Subbu- Mini Project EXcel Clean'!A122:A1121,'Subbu- Mini Project EXcel Clean'!G122:G1121," ",0)</f>
        <v>83.35</v>
      </c>
      <c r="G122" t="str">
        <f>_xlfn.XLOOKUP(A122,'Subbu- Mini Project EXcel Clean'!A122:A1121,'Subbu- Mini Project EXcel Clean'!H122:H1121," ",0)</f>
        <v>Pass</v>
      </c>
      <c r="H122" t="str">
        <f>VLOOKUP(A122,'Subbu- Mini Project EXcel Clean'!A121:R1121,18,)</f>
        <v>High School</v>
      </c>
    </row>
    <row r="123" spans="1:8" x14ac:dyDescent="0.25">
      <c r="A123" t="s">
        <v>151</v>
      </c>
      <c r="B123">
        <f>VLOOKUP(A123,'Subbu- Mini Project EXcel Clean'!A122:R1122,2,FALSE)</f>
        <v>87.3</v>
      </c>
      <c r="C123">
        <f>VLOOKUP(A123,'Subbu- Mini Project EXcel Clean'!A122:R1122,3,FALSE)</f>
        <v>87.6</v>
      </c>
      <c r="D123">
        <f>_xlfn.XLOOKUP(A123,'Subbu- Mini Project EXcel Clean'!A123:A1122,'Subbu- Mini Project EXcel Clean'!D123:D1122,"Entry Level",0)</f>
        <v>87.2</v>
      </c>
      <c r="E123">
        <f>_xlfn.XLOOKUP(A123,'Subbu- Mini Project EXcel Clean'!A123:A1122,'Subbu- Mini Project EXcel Clean'!F123:F1122,"Entry Level",0)</f>
        <v>94.8</v>
      </c>
      <c r="F123">
        <f>_xlfn.XLOOKUP(A123,'Subbu- Mini Project EXcel Clean'!A123:A1122,'Subbu- Mini Project EXcel Clean'!G123:G1122," ",0)</f>
        <v>92.05</v>
      </c>
      <c r="G123" t="str">
        <f>_xlfn.XLOOKUP(A123,'Subbu- Mini Project EXcel Clean'!A123:A1122,'Subbu- Mini Project EXcel Clean'!H123:H1122," ",0)</f>
        <v>Pass</v>
      </c>
      <c r="H123" t="str">
        <f>VLOOKUP(A123,'Subbu- Mini Project EXcel Clean'!A122:R1122,18,)</f>
        <v>High School</v>
      </c>
    </row>
    <row r="124" spans="1:8" x14ac:dyDescent="0.25">
      <c r="A124" t="s">
        <v>152</v>
      </c>
      <c r="B124">
        <f>VLOOKUP(A124,'Subbu- Mini Project EXcel Clean'!A123:R1123,2,FALSE)</f>
        <v>57.6</v>
      </c>
      <c r="C124">
        <f>VLOOKUP(A124,'Subbu- Mini Project EXcel Clean'!A123:R1123,3,FALSE)</f>
        <v>63.4</v>
      </c>
      <c r="D124">
        <f>_xlfn.XLOOKUP(A124,'Subbu- Mini Project EXcel Clean'!A124:A1123,'Subbu- Mini Project EXcel Clean'!D124:D1123,"Entry Level",0)</f>
        <v>54.6</v>
      </c>
      <c r="E124">
        <f>_xlfn.XLOOKUP(A124,'Subbu- Mini Project EXcel Clean'!A124:A1123,'Subbu- Mini Project EXcel Clean'!F124:F1123,"Entry Level",0)</f>
        <v>64.599999999999994</v>
      </c>
      <c r="F124">
        <f>_xlfn.XLOOKUP(A124,'Subbu- Mini Project EXcel Clean'!A124:A1123,'Subbu- Mini Project EXcel Clean'!G124:G1123," ",0)</f>
        <v>61.05</v>
      </c>
      <c r="G124" t="str">
        <f>_xlfn.XLOOKUP(A124,'Subbu- Mini Project EXcel Clean'!A124:A1123,'Subbu- Mini Project EXcel Clean'!H124:H1123," ",0)</f>
        <v>Pass</v>
      </c>
      <c r="H124" t="str">
        <f>VLOOKUP(A124,'Subbu- Mini Project EXcel Clean'!A123:R1123,18,)</f>
        <v>Bachelor</v>
      </c>
    </row>
    <row r="125" spans="1:8" x14ac:dyDescent="0.25">
      <c r="A125" t="s">
        <v>153</v>
      </c>
      <c r="B125">
        <f>VLOOKUP(A125,'Subbu- Mini Project EXcel Clean'!A124:R1124,2,FALSE)</f>
        <v>52.4</v>
      </c>
      <c r="C125">
        <f>VLOOKUP(A125,'Subbu- Mini Project EXcel Clean'!A124:R1124,3,FALSE)</f>
        <v>47.9</v>
      </c>
      <c r="D125">
        <f>_xlfn.XLOOKUP(A125,'Subbu- Mini Project EXcel Clean'!A125:A1124,'Subbu- Mini Project EXcel Clean'!D125:D1124,"Entry Level",0)</f>
        <v>47.7</v>
      </c>
      <c r="E125">
        <f>_xlfn.XLOOKUP(A125,'Subbu- Mini Project EXcel Clean'!A125:A1124,'Subbu- Mini Project EXcel Clean'!F125:F1124,"Entry Level",0)</f>
        <v>46.7</v>
      </c>
      <c r="F125">
        <f>_xlfn.XLOOKUP(A125,'Subbu- Mini Project EXcel Clean'!A125:A1124,'Subbu- Mini Project EXcel Clean'!G125:G1124," ",0)</f>
        <v>46.4</v>
      </c>
      <c r="G125" t="str">
        <f>_xlfn.XLOOKUP(A125,'Subbu- Mini Project EXcel Clean'!A125:A1124,'Subbu- Mini Project EXcel Clean'!H125:H1124," ",0)</f>
        <v>Fail</v>
      </c>
      <c r="H125" t="str">
        <f>VLOOKUP(A125,'Subbu- Mini Project EXcel Clean'!A124:R1124,18,)</f>
        <v>High School</v>
      </c>
    </row>
    <row r="126" spans="1:8" x14ac:dyDescent="0.25">
      <c r="A126" t="s">
        <v>154</v>
      </c>
      <c r="B126">
        <f>VLOOKUP(A126,'Subbu- Mini Project EXcel Clean'!A125:R1125,2,FALSE)</f>
        <v>53.5</v>
      </c>
      <c r="C126">
        <f>VLOOKUP(A126,'Subbu- Mini Project EXcel Clean'!A125:R1125,3,FALSE)</f>
        <v>52</v>
      </c>
      <c r="D126">
        <f>_xlfn.XLOOKUP(A126,'Subbu- Mini Project EXcel Clean'!A126:A1125,'Subbu- Mini Project EXcel Clean'!D126:D1125,"Entry Level",0)</f>
        <v>45</v>
      </c>
      <c r="E126">
        <f>_xlfn.XLOOKUP(A126,'Subbu- Mini Project EXcel Clean'!A126:A1125,'Subbu- Mini Project EXcel Clean'!F126:F1125,"Entry Level",0)</f>
        <v>55.5</v>
      </c>
      <c r="F126">
        <f>_xlfn.XLOOKUP(A126,'Subbu- Mini Project EXcel Clean'!A126:A1125,'Subbu- Mini Project EXcel Clean'!G126:G1125," ",0)</f>
        <v>54</v>
      </c>
      <c r="G126" t="str">
        <f>_xlfn.XLOOKUP(A126,'Subbu- Mini Project EXcel Clean'!A126:A1125,'Subbu- Mini Project EXcel Clean'!H126:H1125," ",0)</f>
        <v>Pass</v>
      </c>
      <c r="H126" t="str">
        <f>VLOOKUP(A126,'Subbu- Mini Project EXcel Clean'!A125:R1125,18,)</f>
        <v>Master</v>
      </c>
    </row>
    <row r="127" spans="1:8" x14ac:dyDescent="0.25">
      <c r="A127" t="s">
        <v>155</v>
      </c>
      <c r="B127">
        <f>VLOOKUP(A127,'Subbu- Mini Project EXcel Clean'!A126:R1126,2,FALSE)</f>
        <v>63.7</v>
      </c>
      <c r="C127">
        <f>VLOOKUP(A127,'Subbu- Mini Project EXcel Clean'!A126:R1126,3,FALSE)</f>
        <v>65.7</v>
      </c>
      <c r="D127">
        <f>_xlfn.XLOOKUP(A127,'Subbu- Mini Project EXcel Clean'!A127:A1126,'Subbu- Mini Project EXcel Clean'!D127:D1126,"Entry Level",0)</f>
        <v>67.2</v>
      </c>
      <c r="E127">
        <f>_xlfn.XLOOKUP(A127,'Subbu- Mini Project EXcel Clean'!A127:A1126,'Subbu- Mini Project EXcel Clean'!F127:F1126,"Entry Level",0)</f>
        <v>75.7</v>
      </c>
      <c r="F127">
        <f>_xlfn.XLOOKUP(A127,'Subbu- Mini Project EXcel Clean'!A127:A1126,'Subbu- Mini Project EXcel Clean'!G127:G1126," ",0)</f>
        <v>69.599999999999994</v>
      </c>
      <c r="G127" t="str">
        <f>_xlfn.XLOOKUP(A127,'Subbu- Mini Project EXcel Clean'!A127:A1126,'Subbu- Mini Project EXcel Clean'!H127:H1126," ",0)</f>
        <v>Pass</v>
      </c>
      <c r="H127" t="str">
        <f>VLOOKUP(A127,'Subbu- Mini Project EXcel Clean'!A126:R1126,18,)</f>
        <v>High School</v>
      </c>
    </row>
    <row r="128" spans="1:8" x14ac:dyDescent="0.25">
      <c r="A128" t="s">
        <v>156</v>
      </c>
      <c r="B128">
        <f>VLOOKUP(A128,'Subbu- Mini Project EXcel Clean'!A127:R1127,2,FALSE)</f>
        <v>78.2</v>
      </c>
      <c r="C128">
        <f>VLOOKUP(A128,'Subbu- Mini Project EXcel Clean'!A127:R1127,3,FALSE)</f>
        <v>77.099999999999994</v>
      </c>
      <c r="D128">
        <f>_xlfn.XLOOKUP(A128,'Subbu- Mini Project EXcel Clean'!A128:A1127,'Subbu- Mini Project EXcel Clean'!D128:D1127,"Entry Level",0)</f>
        <v>82.9</v>
      </c>
      <c r="E128">
        <f>_xlfn.XLOOKUP(A128,'Subbu- Mini Project EXcel Clean'!A128:A1127,'Subbu- Mini Project EXcel Clean'!F128:F1127,"Entry Level",0)</f>
        <v>65.3</v>
      </c>
      <c r="F128">
        <f>_xlfn.XLOOKUP(A128,'Subbu- Mini Project EXcel Clean'!A128:A1127,'Subbu- Mini Project EXcel Clean'!G128:G1127," ",0)</f>
        <v>75.150000000000006</v>
      </c>
      <c r="G128" t="str">
        <f>_xlfn.XLOOKUP(A128,'Subbu- Mini Project EXcel Clean'!A128:A1127,'Subbu- Mini Project EXcel Clean'!H128:H1127," ",0)</f>
        <v>Pass</v>
      </c>
      <c r="H128" t="str">
        <f>VLOOKUP(A128,'Subbu- Mini Project EXcel Clean'!A127:R1127,18,)</f>
        <v>High School</v>
      </c>
    </row>
    <row r="129" spans="1:8" x14ac:dyDescent="0.25">
      <c r="A129" t="s">
        <v>157</v>
      </c>
      <c r="B129">
        <f>VLOOKUP(A129,'Subbu- Mini Project EXcel Clean'!A128:R1128,2,FALSE)</f>
        <v>91.1</v>
      </c>
      <c r="C129">
        <f>VLOOKUP(A129,'Subbu- Mini Project EXcel Clean'!A128:R1128,3,FALSE)</f>
        <v>81.7</v>
      </c>
      <c r="D129">
        <f>_xlfn.XLOOKUP(A129,'Subbu- Mini Project EXcel Clean'!A129:A1128,'Subbu- Mini Project EXcel Clean'!D129:D1128,"Entry Level",0)</f>
        <v>81.7</v>
      </c>
      <c r="E129">
        <f>_xlfn.XLOOKUP(A129,'Subbu- Mini Project EXcel Clean'!A129:A1128,'Subbu- Mini Project EXcel Clean'!F129:F1128,"Entry Level",0)</f>
        <v>80.099999999999994</v>
      </c>
      <c r="F129">
        <f>_xlfn.XLOOKUP(A129,'Subbu- Mini Project EXcel Clean'!A129:A1128,'Subbu- Mini Project EXcel Clean'!G129:G1128," ",0)</f>
        <v>83.7</v>
      </c>
      <c r="G129" t="str">
        <f>_xlfn.XLOOKUP(A129,'Subbu- Mini Project EXcel Clean'!A129:A1128,'Subbu- Mini Project EXcel Clean'!H129:H1128," ",0)</f>
        <v>Pass</v>
      </c>
      <c r="H129" t="str">
        <f>VLOOKUP(A129,'Subbu- Mini Project EXcel Clean'!A128:R1128,18,)</f>
        <v>High School</v>
      </c>
    </row>
    <row r="130" spans="1:8" x14ac:dyDescent="0.25">
      <c r="A130" t="s">
        <v>158</v>
      </c>
      <c r="B130">
        <f>VLOOKUP(A130,'Subbu- Mini Project EXcel Clean'!A129:R1129,2,FALSE)</f>
        <v>43.6</v>
      </c>
      <c r="C130">
        <f>VLOOKUP(A130,'Subbu- Mini Project EXcel Clean'!A129:R1129,3,FALSE)</f>
        <v>34.4</v>
      </c>
      <c r="D130">
        <f>_xlfn.XLOOKUP(A130,'Subbu- Mini Project EXcel Clean'!A130:A1129,'Subbu- Mini Project EXcel Clean'!D130:D1129,"Entry Level",0)</f>
        <v>38.1</v>
      </c>
      <c r="E130">
        <f>_xlfn.XLOOKUP(A130,'Subbu- Mini Project EXcel Clean'!A130:A1129,'Subbu- Mini Project EXcel Clean'!F130:F1129,"Entry Level",0)</f>
        <v>52.7</v>
      </c>
      <c r="F130">
        <f>_xlfn.XLOOKUP(A130,'Subbu- Mini Project EXcel Clean'!A130:A1129,'Subbu- Mini Project EXcel Clean'!G130:G1129," ",0)</f>
        <v>46.55</v>
      </c>
      <c r="G130" t="str">
        <f>_xlfn.XLOOKUP(A130,'Subbu- Mini Project EXcel Clean'!A130:A1129,'Subbu- Mini Project EXcel Clean'!H130:H1129," ",0)</f>
        <v>Fail</v>
      </c>
      <c r="H130" t="str">
        <f>VLOOKUP(A130,'Subbu- Mini Project EXcel Clean'!A129:R1129,18,)</f>
        <v>High School</v>
      </c>
    </row>
    <row r="131" spans="1:8" x14ac:dyDescent="0.25">
      <c r="A131" t="s">
        <v>159</v>
      </c>
      <c r="B131">
        <f>VLOOKUP(A131,'Subbu- Mini Project EXcel Clean'!A130:R1130,2,FALSE)</f>
        <v>78.900000000000006</v>
      </c>
      <c r="C131">
        <f>VLOOKUP(A131,'Subbu- Mini Project EXcel Clean'!A130:R1130,3,FALSE)</f>
        <v>68.8</v>
      </c>
      <c r="D131">
        <f>_xlfn.XLOOKUP(A131,'Subbu- Mini Project EXcel Clean'!A131:A1130,'Subbu- Mini Project EXcel Clean'!D131:D1130,"Entry Level",0)</f>
        <v>74.400000000000006</v>
      </c>
      <c r="E131">
        <f>_xlfn.XLOOKUP(A131,'Subbu- Mini Project EXcel Clean'!A131:A1130,'Subbu- Mini Project EXcel Clean'!F131:F1130,"Entry Level",0)</f>
        <v>85</v>
      </c>
      <c r="F131">
        <f>_xlfn.XLOOKUP(A131,'Subbu- Mini Project EXcel Clean'!A131:A1130,'Subbu- Mini Project EXcel Clean'!G131:G1130," ",0)</f>
        <v>76.55</v>
      </c>
      <c r="G131" t="str">
        <f>_xlfn.XLOOKUP(A131,'Subbu- Mini Project EXcel Clean'!A131:A1130,'Subbu- Mini Project EXcel Clean'!H131:H1130," ",0)</f>
        <v>Pass</v>
      </c>
      <c r="H131" t="str">
        <f>VLOOKUP(A131,'Subbu- Mini Project EXcel Clean'!A130:R1130,18,)</f>
        <v>Bachelor</v>
      </c>
    </row>
    <row r="132" spans="1:8" x14ac:dyDescent="0.25">
      <c r="A132" t="s">
        <v>160</v>
      </c>
      <c r="B132">
        <f>VLOOKUP(A132,'Subbu- Mini Project EXcel Clean'!A131:R1131,2,FALSE)</f>
        <v>61.4</v>
      </c>
      <c r="C132">
        <f>VLOOKUP(A132,'Subbu- Mini Project EXcel Clean'!A131:R1131,3,FALSE)</f>
        <v>71.599999999999994</v>
      </c>
      <c r="D132">
        <f>_xlfn.XLOOKUP(A132,'Subbu- Mini Project EXcel Clean'!A132:A1131,'Subbu- Mini Project EXcel Clean'!D132:D1131,"Entry Level",0)</f>
        <v>60.3</v>
      </c>
      <c r="E132">
        <f>_xlfn.XLOOKUP(A132,'Subbu- Mini Project EXcel Clean'!A132:A1131,'Subbu- Mini Project EXcel Clean'!F132:F1131,"Entry Level",0)</f>
        <v>85.6</v>
      </c>
      <c r="F132">
        <f>_xlfn.XLOOKUP(A132,'Subbu- Mini Project EXcel Clean'!A132:A1131,'Subbu- Mini Project EXcel Clean'!G132:G1131," ",0)</f>
        <v>74.3</v>
      </c>
      <c r="G132" t="str">
        <f>_xlfn.XLOOKUP(A132,'Subbu- Mini Project EXcel Clean'!A132:A1131,'Subbu- Mini Project EXcel Clean'!H132:H1131," ",0)</f>
        <v>Pass</v>
      </c>
      <c r="H132" t="str">
        <f>VLOOKUP(A132,'Subbu- Mini Project EXcel Clean'!A131:R1131,18,)</f>
        <v>Master</v>
      </c>
    </row>
    <row r="133" spans="1:8" x14ac:dyDescent="0.25">
      <c r="A133" t="s">
        <v>161</v>
      </c>
      <c r="B133">
        <f>VLOOKUP(A133,'Subbu- Mini Project EXcel Clean'!A132:R1132,2,FALSE)</f>
        <v>53.3</v>
      </c>
      <c r="C133">
        <f>VLOOKUP(A133,'Subbu- Mini Project EXcel Clean'!A132:R1132,3,FALSE)</f>
        <v>63.4</v>
      </c>
      <c r="D133">
        <f>_xlfn.XLOOKUP(A133,'Subbu- Mini Project EXcel Clean'!A133:A1132,'Subbu- Mini Project EXcel Clean'!D133:D1132,"Entry Level",0)</f>
        <v>54</v>
      </c>
      <c r="E133">
        <f>_xlfn.XLOOKUP(A133,'Subbu- Mini Project EXcel Clean'!A133:A1132,'Subbu- Mini Project EXcel Clean'!F133:F1132,"Entry Level",0)</f>
        <v>69.8</v>
      </c>
      <c r="F133">
        <f>_xlfn.XLOOKUP(A133,'Subbu- Mini Project EXcel Clean'!A133:A1132,'Subbu- Mini Project EXcel Clean'!G133:G1132," ",0)</f>
        <v>61</v>
      </c>
      <c r="G133" t="str">
        <f>_xlfn.XLOOKUP(A133,'Subbu- Mini Project EXcel Clean'!A133:A1132,'Subbu- Mini Project EXcel Clean'!H133:H1132," ",0)</f>
        <v>Pass</v>
      </c>
      <c r="H133" t="str">
        <f>VLOOKUP(A133,'Subbu- Mini Project EXcel Clean'!A132:R1132,18,)</f>
        <v>Master</v>
      </c>
    </row>
    <row r="134" spans="1:8" x14ac:dyDescent="0.25">
      <c r="A134" t="s">
        <v>162</v>
      </c>
      <c r="B134">
        <f>VLOOKUP(A134,'Subbu- Mini Project EXcel Clean'!A133:R1133,2,FALSE)</f>
        <v>47.8</v>
      </c>
      <c r="C134">
        <f>VLOOKUP(A134,'Subbu- Mini Project EXcel Clean'!A133:R1133,3,FALSE)</f>
        <v>49.8</v>
      </c>
      <c r="D134">
        <f>_xlfn.XLOOKUP(A134,'Subbu- Mini Project EXcel Clean'!A134:A1133,'Subbu- Mini Project EXcel Clean'!D134:D1133,"Entry Level",0)</f>
        <v>42.9</v>
      </c>
      <c r="E134">
        <f>_xlfn.XLOOKUP(A134,'Subbu- Mini Project EXcel Clean'!A134:A1133,'Subbu- Mini Project EXcel Clean'!F134:F1133,"Entry Level",0)</f>
        <v>53.5</v>
      </c>
      <c r="F134">
        <f>_xlfn.XLOOKUP(A134,'Subbu- Mini Project EXcel Clean'!A134:A1133,'Subbu- Mini Project EXcel Clean'!G134:G1133," ",0)</f>
        <v>50.05</v>
      </c>
      <c r="G134" t="str">
        <f>_xlfn.XLOOKUP(A134,'Subbu- Mini Project EXcel Clean'!A134:A1133,'Subbu- Mini Project EXcel Clean'!H134:H1133," ",0)</f>
        <v>Pass</v>
      </c>
      <c r="H134" t="str">
        <f>VLOOKUP(A134,'Subbu- Mini Project EXcel Clean'!A133:R1133,18,)</f>
        <v>High School</v>
      </c>
    </row>
    <row r="135" spans="1:8" x14ac:dyDescent="0.25">
      <c r="A135" t="s">
        <v>163</v>
      </c>
      <c r="B135">
        <f>VLOOKUP(A135,'Subbu- Mini Project EXcel Clean'!A134:R1134,2,FALSE)</f>
        <v>66.5</v>
      </c>
      <c r="C135">
        <f>VLOOKUP(A135,'Subbu- Mini Project EXcel Clean'!A134:R1134,3,FALSE)</f>
        <v>61.1</v>
      </c>
      <c r="D135">
        <f>_xlfn.XLOOKUP(A135,'Subbu- Mini Project EXcel Clean'!A135:A1134,'Subbu- Mini Project EXcel Clean'!D135:D1134,"Entry Level",0)</f>
        <v>62.4</v>
      </c>
      <c r="E135">
        <f>_xlfn.XLOOKUP(A135,'Subbu- Mini Project EXcel Clean'!A135:A1134,'Subbu- Mini Project EXcel Clean'!F135:F1134,"Entry Level",0)</f>
        <v>67.3</v>
      </c>
      <c r="F135">
        <f>_xlfn.XLOOKUP(A135,'Subbu- Mini Project EXcel Clean'!A135:A1134,'Subbu- Mini Project EXcel Clean'!G135:G1134," ",0)</f>
        <v>62.95</v>
      </c>
      <c r="G135" t="str">
        <f>_xlfn.XLOOKUP(A135,'Subbu- Mini Project EXcel Clean'!A135:A1134,'Subbu- Mini Project EXcel Clean'!H135:H1134," ",0)</f>
        <v>Pass</v>
      </c>
      <c r="H135" t="str">
        <f>VLOOKUP(A135,'Subbu- Mini Project EXcel Clean'!A134:R1134,18,)</f>
        <v>High School</v>
      </c>
    </row>
    <row r="136" spans="1:8" x14ac:dyDescent="0.25">
      <c r="A136" t="s">
        <v>164</v>
      </c>
      <c r="B136">
        <f>VLOOKUP(A136,'Subbu- Mini Project EXcel Clean'!A135:R1135,2,FALSE)</f>
        <v>91.4</v>
      </c>
      <c r="C136">
        <f>VLOOKUP(A136,'Subbu- Mini Project EXcel Clean'!A135:R1135,3,FALSE)</f>
        <v>82.9</v>
      </c>
      <c r="D136">
        <f>_xlfn.XLOOKUP(A136,'Subbu- Mini Project EXcel Clean'!A136:A1135,'Subbu- Mini Project EXcel Clean'!D136:D1135,"Entry Level",0)</f>
        <v>95.3</v>
      </c>
      <c r="E136">
        <f>_xlfn.XLOOKUP(A136,'Subbu- Mini Project EXcel Clean'!A136:A1135,'Subbu- Mini Project EXcel Clean'!F136:F1135,"Entry Level",0)</f>
        <v>81.5</v>
      </c>
      <c r="F136">
        <f>_xlfn.XLOOKUP(A136,'Subbu- Mini Project EXcel Clean'!A136:A1135,'Subbu- Mini Project EXcel Clean'!G136:G1135," ",0)</f>
        <v>86.7</v>
      </c>
      <c r="G136" t="str">
        <f>_xlfn.XLOOKUP(A136,'Subbu- Mini Project EXcel Clean'!A136:A1135,'Subbu- Mini Project EXcel Clean'!H136:H1135," ",0)</f>
        <v>Pass</v>
      </c>
      <c r="H136" t="str">
        <f>VLOOKUP(A136,'Subbu- Mini Project EXcel Clean'!A135:R1135,18,)</f>
        <v>Bachelor</v>
      </c>
    </row>
    <row r="137" spans="1:8" x14ac:dyDescent="0.25">
      <c r="A137" t="s">
        <v>165</v>
      </c>
      <c r="B137">
        <f>VLOOKUP(A137,'Subbu- Mini Project EXcel Clean'!A136:R1136,2,FALSE)</f>
        <v>59.2</v>
      </c>
      <c r="C137">
        <f>VLOOKUP(A137,'Subbu- Mini Project EXcel Clean'!A136:R1136,3,FALSE)</f>
        <v>55.1</v>
      </c>
      <c r="D137">
        <f>_xlfn.XLOOKUP(A137,'Subbu- Mini Project EXcel Clean'!A137:A1136,'Subbu- Mini Project EXcel Clean'!D137:D1136,"Entry Level",0)</f>
        <v>67</v>
      </c>
      <c r="E137">
        <f>_xlfn.XLOOKUP(A137,'Subbu- Mini Project EXcel Clean'!A137:A1136,'Subbu- Mini Project EXcel Clean'!F137:F1136,"Entry Level",0)</f>
        <v>50</v>
      </c>
      <c r="F137">
        <f>_xlfn.XLOOKUP(A137,'Subbu- Mini Project EXcel Clean'!A137:A1136,'Subbu- Mini Project EXcel Clean'!G137:G1136," ",0)</f>
        <v>53.9</v>
      </c>
      <c r="G137" t="str">
        <f>_xlfn.XLOOKUP(A137,'Subbu- Mini Project EXcel Clean'!A137:A1136,'Subbu- Mini Project EXcel Clean'!H137:H1136," ",0)</f>
        <v>Pass</v>
      </c>
      <c r="H137" t="str">
        <f>VLOOKUP(A137,'Subbu- Mini Project EXcel Clean'!A136:R1136,18,)</f>
        <v>High School</v>
      </c>
    </row>
    <row r="138" spans="1:8" x14ac:dyDescent="0.25">
      <c r="A138" t="s">
        <v>166</v>
      </c>
      <c r="B138">
        <f>VLOOKUP(A138,'Subbu- Mini Project EXcel Clean'!A137:R1137,2,FALSE)</f>
        <v>71.599999999999994</v>
      </c>
      <c r="C138">
        <f>VLOOKUP(A138,'Subbu- Mini Project EXcel Clean'!A137:R1137,3,FALSE)</f>
        <v>64.599999999999994</v>
      </c>
      <c r="D138">
        <f>_xlfn.XLOOKUP(A138,'Subbu- Mini Project EXcel Clean'!A138:A1137,'Subbu- Mini Project EXcel Clean'!D138:D1137,"Entry Level",0)</f>
        <v>67.7</v>
      </c>
      <c r="E138">
        <f>_xlfn.XLOOKUP(A138,'Subbu- Mini Project EXcel Clean'!A138:A1137,'Subbu- Mini Project EXcel Clean'!F138:F1137,"Entry Level",0)</f>
        <v>67.599999999999994</v>
      </c>
      <c r="F138">
        <f>_xlfn.XLOOKUP(A138,'Subbu- Mini Project EXcel Clean'!A138:A1137,'Subbu- Mini Project EXcel Clean'!G138:G1137," ",0)</f>
        <v>68.05</v>
      </c>
      <c r="G138" t="str">
        <f>_xlfn.XLOOKUP(A138,'Subbu- Mini Project EXcel Clean'!A138:A1137,'Subbu- Mini Project EXcel Clean'!H138:H1137," ",0)</f>
        <v>Pass</v>
      </c>
      <c r="H138" t="str">
        <f>VLOOKUP(A138,'Subbu- Mini Project EXcel Clean'!A137:R1137,18,)</f>
        <v>Bachelor</v>
      </c>
    </row>
    <row r="139" spans="1:8" x14ac:dyDescent="0.25">
      <c r="A139" t="s">
        <v>167</v>
      </c>
      <c r="B139">
        <f>VLOOKUP(A139,'Subbu- Mini Project EXcel Clean'!A138:R1138,2,FALSE)</f>
        <v>79.599999999999994</v>
      </c>
      <c r="C139">
        <f>VLOOKUP(A139,'Subbu- Mini Project EXcel Clean'!A138:R1138,3,FALSE)</f>
        <v>75.599999999999994</v>
      </c>
      <c r="D139">
        <f>_xlfn.XLOOKUP(A139,'Subbu- Mini Project EXcel Clean'!A139:A1138,'Subbu- Mini Project EXcel Clean'!D139:D1138,"Entry Level",0)</f>
        <v>82</v>
      </c>
      <c r="E139">
        <f>_xlfn.XLOOKUP(A139,'Subbu- Mini Project EXcel Clean'!A139:A1138,'Subbu- Mini Project EXcel Clean'!F139:F1138,"Entry Level",0)</f>
        <v>74.8</v>
      </c>
      <c r="F139">
        <f>_xlfn.XLOOKUP(A139,'Subbu- Mini Project EXcel Clean'!A139:A1138,'Subbu- Mini Project EXcel Clean'!G139:G1138," ",0)</f>
        <v>76.75</v>
      </c>
      <c r="G139" t="str">
        <f>_xlfn.XLOOKUP(A139,'Subbu- Mini Project EXcel Clean'!A139:A1138,'Subbu- Mini Project EXcel Clean'!H139:H1138," ",0)</f>
        <v>Pass</v>
      </c>
      <c r="H139" t="str">
        <f>VLOOKUP(A139,'Subbu- Mini Project EXcel Clean'!A138:R1138,18,)</f>
        <v>Master</v>
      </c>
    </row>
    <row r="140" spans="1:8" x14ac:dyDescent="0.25">
      <c r="A140" t="s">
        <v>168</v>
      </c>
      <c r="B140">
        <f>VLOOKUP(A140,'Subbu- Mini Project EXcel Clean'!A139:R1139,2,FALSE)</f>
        <v>57.8</v>
      </c>
      <c r="C140">
        <f>VLOOKUP(A140,'Subbu- Mini Project EXcel Clean'!A139:R1139,3,FALSE)</f>
        <v>59.2</v>
      </c>
      <c r="D140">
        <f>_xlfn.XLOOKUP(A140,'Subbu- Mini Project EXcel Clean'!A140:A1139,'Subbu- Mini Project EXcel Clean'!D140:D1139,"Entry Level",0)</f>
        <v>60.5</v>
      </c>
      <c r="E140">
        <f>_xlfn.XLOOKUP(A140,'Subbu- Mini Project EXcel Clean'!A140:A1139,'Subbu- Mini Project EXcel Clean'!F140:F1139,"Entry Level",0)</f>
        <v>80.3</v>
      </c>
      <c r="F140">
        <f>_xlfn.XLOOKUP(A140,'Subbu- Mini Project EXcel Clean'!A140:A1139,'Subbu- Mini Project EXcel Clean'!G140:G1139," ",0)</f>
        <v>70.150000000000006</v>
      </c>
      <c r="G140" t="str">
        <f>_xlfn.XLOOKUP(A140,'Subbu- Mini Project EXcel Clean'!A140:A1139,'Subbu- Mini Project EXcel Clean'!H140:H1139," ",0)</f>
        <v>Pass</v>
      </c>
      <c r="H140" t="str">
        <f>VLOOKUP(A140,'Subbu- Mini Project EXcel Clean'!A139:R1139,18,)</f>
        <v>Master</v>
      </c>
    </row>
    <row r="141" spans="1:8" x14ac:dyDescent="0.25">
      <c r="A141" t="s">
        <v>169</v>
      </c>
      <c r="B141">
        <f>VLOOKUP(A141,'Subbu- Mini Project EXcel Clean'!A140:R1140,2,FALSE)</f>
        <v>94.4</v>
      </c>
      <c r="C141">
        <f>VLOOKUP(A141,'Subbu- Mini Project EXcel Clean'!A140:R1140,3,FALSE)</f>
        <v>91.1</v>
      </c>
      <c r="D141">
        <f>_xlfn.XLOOKUP(A141,'Subbu- Mini Project EXcel Clean'!A141:A1140,'Subbu- Mini Project EXcel Clean'!D141:D1140,"Entry Level",0)</f>
        <v>99.9</v>
      </c>
      <c r="E141">
        <f>_xlfn.XLOOKUP(A141,'Subbu- Mini Project EXcel Clean'!A141:A1140,'Subbu- Mini Project EXcel Clean'!F141:F1140,"Entry Level",0)</f>
        <v>88.3</v>
      </c>
      <c r="F141">
        <f>_xlfn.XLOOKUP(A141,'Subbu- Mini Project EXcel Clean'!A141:A1140,'Subbu- Mini Project EXcel Clean'!G141:G1140," ",0)</f>
        <v>90.85</v>
      </c>
      <c r="G141" t="str">
        <f>_xlfn.XLOOKUP(A141,'Subbu- Mini Project EXcel Clean'!A141:A1140,'Subbu- Mini Project EXcel Clean'!H141:H1140," ",0)</f>
        <v>Pass</v>
      </c>
      <c r="H141" t="str">
        <f>VLOOKUP(A141,'Subbu- Mini Project EXcel Clean'!A140:R1140,18,)</f>
        <v>Bachelor</v>
      </c>
    </row>
    <row r="142" spans="1:8" x14ac:dyDescent="0.25">
      <c r="A142" t="s">
        <v>170</v>
      </c>
      <c r="B142">
        <f>VLOOKUP(A142,'Subbu- Mini Project EXcel Clean'!A141:R1141,2,FALSE)</f>
        <v>98.3</v>
      </c>
      <c r="C142">
        <f>VLOOKUP(A142,'Subbu- Mini Project EXcel Clean'!A141:R1141,3,FALSE)</f>
        <v>83</v>
      </c>
      <c r="D142">
        <f>_xlfn.XLOOKUP(A142,'Subbu- Mini Project EXcel Clean'!A142:A1141,'Subbu- Mini Project EXcel Clean'!D142:D1141,"Entry Level",0)</f>
        <v>89.3</v>
      </c>
      <c r="E142">
        <f>_xlfn.XLOOKUP(A142,'Subbu- Mini Project EXcel Clean'!A142:A1141,'Subbu- Mini Project EXcel Clean'!F142:F1141,"Entry Level",0)</f>
        <v>93.2</v>
      </c>
      <c r="F142">
        <f>_xlfn.XLOOKUP(A142,'Subbu- Mini Project EXcel Clean'!A142:A1141,'Subbu- Mini Project EXcel Clean'!G142:G1141," ",0)</f>
        <v>93.05</v>
      </c>
      <c r="G142" t="str">
        <f>_xlfn.XLOOKUP(A142,'Subbu- Mini Project EXcel Clean'!A142:A1141,'Subbu- Mini Project EXcel Clean'!H142:H1141," ",0)</f>
        <v>Pass</v>
      </c>
      <c r="H142" t="str">
        <f>VLOOKUP(A142,'Subbu- Mini Project EXcel Clean'!A141:R1141,18,)</f>
        <v>Master</v>
      </c>
    </row>
    <row r="143" spans="1:8" x14ac:dyDescent="0.25">
      <c r="A143" t="s">
        <v>171</v>
      </c>
      <c r="B143">
        <f>VLOOKUP(A143,'Subbu- Mini Project EXcel Clean'!A142:R1142,2,FALSE)</f>
        <v>48.7</v>
      </c>
      <c r="C143">
        <f>VLOOKUP(A143,'Subbu- Mini Project EXcel Clean'!A142:R1142,3,FALSE)</f>
        <v>57.6</v>
      </c>
      <c r="D143">
        <f>_xlfn.XLOOKUP(A143,'Subbu- Mini Project EXcel Clean'!A143:A1142,'Subbu- Mini Project EXcel Clean'!D143:D1142,"Entry Level",0)</f>
        <v>57.6</v>
      </c>
      <c r="E143">
        <f>_xlfn.XLOOKUP(A143,'Subbu- Mini Project EXcel Clean'!A143:A1142,'Subbu- Mini Project EXcel Clean'!F143:F1142,"Entry Level",0)</f>
        <v>56.8</v>
      </c>
      <c r="F143">
        <f>_xlfn.XLOOKUP(A143,'Subbu- Mini Project EXcel Clean'!A143:A1142,'Subbu- Mini Project EXcel Clean'!G143:G1142," ",0)</f>
        <v>55.3</v>
      </c>
      <c r="G143" t="str">
        <f>_xlfn.XLOOKUP(A143,'Subbu- Mini Project EXcel Clean'!A143:A1142,'Subbu- Mini Project EXcel Clean'!H143:H1142," ",0)</f>
        <v>Pass</v>
      </c>
      <c r="H143" t="str">
        <f>VLOOKUP(A143,'Subbu- Mini Project EXcel Clean'!A142:R1142,18,)</f>
        <v>High School</v>
      </c>
    </row>
    <row r="144" spans="1:8" x14ac:dyDescent="0.25">
      <c r="A144" t="s">
        <v>172</v>
      </c>
      <c r="B144">
        <f>VLOOKUP(A144,'Subbu- Mini Project EXcel Clean'!A143:R1143,2,FALSE)</f>
        <v>68</v>
      </c>
      <c r="C144">
        <f>VLOOKUP(A144,'Subbu- Mini Project EXcel Clean'!A143:R1143,3,FALSE)</f>
        <v>62</v>
      </c>
      <c r="D144">
        <f>_xlfn.XLOOKUP(A144,'Subbu- Mini Project EXcel Clean'!A144:A1143,'Subbu- Mini Project EXcel Clean'!D144:D1143,"Entry Level",0)</f>
        <v>66.400000000000006</v>
      </c>
      <c r="E144">
        <f>_xlfn.XLOOKUP(A144,'Subbu- Mini Project EXcel Clean'!A144:A1143,'Subbu- Mini Project EXcel Clean'!F144:F1143,"Entry Level",0)</f>
        <v>89.1</v>
      </c>
      <c r="F144">
        <f>_xlfn.XLOOKUP(A144,'Subbu- Mini Project EXcel Clean'!A144:A1143,'Subbu- Mini Project EXcel Clean'!G144:G1143," ",0)</f>
        <v>78.2</v>
      </c>
      <c r="G144" t="str">
        <f>_xlfn.XLOOKUP(A144,'Subbu- Mini Project EXcel Clean'!A144:A1143,'Subbu- Mini Project EXcel Clean'!H144:H1143," ",0)</f>
        <v>Pass</v>
      </c>
      <c r="H144" t="str">
        <f>VLOOKUP(A144,'Subbu- Mini Project EXcel Clean'!A143:R1143,18,)</f>
        <v>High School</v>
      </c>
    </row>
    <row r="145" spans="1:8" x14ac:dyDescent="0.25">
      <c r="A145" t="s">
        <v>173</v>
      </c>
      <c r="B145">
        <f>VLOOKUP(A145,'Subbu- Mini Project EXcel Clean'!A144:R1144,2,FALSE)</f>
        <v>53</v>
      </c>
      <c r="C145">
        <f>VLOOKUP(A145,'Subbu- Mini Project EXcel Clean'!A144:R1144,3,FALSE)</f>
        <v>57.7</v>
      </c>
      <c r="D145">
        <f>_xlfn.XLOOKUP(A145,'Subbu- Mini Project EXcel Clean'!A145:A1144,'Subbu- Mini Project EXcel Clean'!D145:D1144,"Entry Level",0)</f>
        <v>56.2</v>
      </c>
      <c r="E145">
        <f>_xlfn.XLOOKUP(A145,'Subbu- Mini Project EXcel Clean'!A145:A1144,'Subbu- Mini Project EXcel Clean'!F145:F1144,"Entry Level",0)</f>
        <v>62.9</v>
      </c>
      <c r="F145">
        <f>_xlfn.XLOOKUP(A145,'Subbu- Mini Project EXcel Clean'!A145:A1144,'Subbu- Mini Project EXcel Clean'!G145:G1144," ",0)</f>
        <v>59.7</v>
      </c>
      <c r="G145" t="str">
        <f>_xlfn.XLOOKUP(A145,'Subbu- Mini Project EXcel Clean'!A145:A1144,'Subbu- Mini Project EXcel Clean'!H145:H1144," ",0)</f>
        <v>Pass</v>
      </c>
      <c r="H145" t="str">
        <f>VLOOKUP(A145,'Subbu- Mini Project EXcel Clean'!A144:R1144,18,)</f>
        <v>Bachelor</v>
      </c>
    </row>
    <row r="146" spans="1:8" x14ac:dyDescent="0.25">
      <c r="A146" t="s">
        <v>174</v>
      </c>
      <c r="B146">
        <f>VLOOKUP(A146,'Subbu- Mini Project EXcel Clean'!A145:R1145,2,FALSE)</f>
        <v>61.6</v>
      </c>
      <c r="C146">
        <f>VLOOKUP(A146,'Subbu- Mini Project EXcel Clean'!A145:R1145,3,FALSE)</f>
        <v>66</v>
      </c>
      <c r="D146">
        <f>_xlfn.XLOOKUP(A146,'Subbu- Mini Project EXcel Clean'!A146:A1145,'Subbu- Mini Project EXcel Clean'!D146:D1145,"Entry Level",0)</f>
        <v>56.1</v>
      </c>
      <c r="E146">
        <f>_xlfn.XLOOKUP(A146,'Subbu- Mini Project EXcel Clean'!A146:A1145,'Subbu- Mini Project EXcel Clean'!F146:F1145,"Entry Level",0)</f>
        <v>66</v>
      </c>
      <c r="F146">
        <f>_xlfn.XLOOKUP(A146,'Subbu- Mini Project EXcel Clean'!A146:A1145,'Subbu- Mini Project EXcel Clean'!G146:G1145," ",0)</f>
        <v>60.85</v>
      </c>
      <c r="G146" t="str">
        <f>_xlfn.XLOOKUP(A146,'Subbu- Mini Project EXcel Clean'!A146:A1145,'Subbu- Mini Project EXcel Clean'!H146:H1145," ",0)</f>
        <v>Pass</v>
      </c>
      <c r="H146" t="str">
        <f>VLOOKUP(A146,'Subbu- Mini Project EXcel Clean'!A145:R1145,18,)</f>
        <v>Master</v>
      </c>
    </row>
    <row r="147" spans="1:8" x14ac:dyDescent="0.25">
      <c r="A147" t="s">
        <v>175</v>
      </c>
      <c r="B147">
        <f>VLOOKUP(A147,'Subbu- Mini Project EXcel Clean'!A146:R1146,2,FALSE)</f>
        <v>34.4</v>
      </c>
      <c r="C147">
        <f>VLOOKUP(A147,'Subbu- Mini Project EXcel Clean'!A146:R1146,3,FALSE)</f>
        <v>37.4</v>
      </c>
      <c r="D147">
        <f>_xlfn.XLOOKUP(A147,'Subbu- Mini Project EXcel Clean'!A147:A1146,'Subbu- Mini Project EXcel Clean'!D147:D1146,"Entry Level",0)</f>
        <v>43.3</v>
      </c>
      <c r="E147">
        <f>_xlfn.XLOOKUP(A147,'Subbu- Mini Project EXcel Clean'!A147:A1146,'Subbu- Mini Project EXcel Clean'!F147:F1146,"Entry Level",0)</f>
        <v>50.1</v>
      </c>
      <c r="F147">
        <f>_xlfn.XLOOKUP(A147,'Subbu- Mini Project EXcel Clean'!A147:A1146,'Subbu- Mini Project EXcel Clean'!G147:G1146," ",0)</f>
        <v>46.05</v>
      </c>
      <c r="G147" t="str">
        <f>_xlfn.XLOOKUP(A147,'Subbu- Mini Project EXcel Clean'!A147:A1146,'Subbu- Mini Project EXcel Clean'!H147:H1146," ",0)</f>
        <v>Fail</v>
      </c>
      <c r="H147" t="str">
        <f>VLOOKUP(A147,'Subbu- Mini Project EXcel Clean'!A146:R1146,18,)</f>
        <v>Master</v>
      </c>
    </row>
    <row r="148" spans="1:8" x14ac:dyDescent="0.25">
      <c r="A148" t="s">
        <v>176</v>
      </c>
      <c r="B148">
        <f>VLOOKUP(A148,'Subbu- Mini Project EXcel Clean'!A147:R1147,2,FALSE)</f>
        <v>70.7</v>
      </c>
      <c r="C148">
        <f>VLOOKUP(A148,'Subbu- Mini Project EXcel Clean'!A147:R1147,3,FALSE)</f>
        <v>60.9</v>
      </c>
      <c r="D148">
        <f>_xlfn.XLOOKUP(A148,'Subbu- Mini Project EXcel Clean'!A148:A1147,'Subbu- Mini Project EXcel Clean'!D148:D1147,"Entry Level",0)</f>
        <v>72.900000000000006</v>
      </c>
      <c r="E148">
        <f>_xlfn.XLOOKUP(A148,'Subbu- Mini Project EXcel Clean'!A148:A1147,'Subbu- Mini Project EXcel Clean'!F148:F1147,"Entry Level",0)</f>
        <v>79.599999999999994</v>
      </c>
      <c r="F148">
        <f>_xlfn.XLOOKUP(A148,'Subbu- Mini Project EXcel Clean'!A148:A1147,'Subbu- Mini Project EXcel Clean'!G148:G1147," ",0)</f>
        <v>76.55</v>
      </c>
      <c r="G148" t="str">
        <f>_xlfn.XLOOKUP(A148,'Subbu- Mini Project EXcel Clean'!A148:A1147,'Subbu- Mini Project EXcel Clean'!H148:H1147," ",0)</f>
        <v>Pass</v>
      </c>
      <c r="H148" t="str">
        <f>VLOOKUP(A148,'Subbu- Mini Project EXcel Clean'!A147:R1147,18,)</f>
        <v>Bachelor</v>
      </c>
    </row>
    <row r="149" spans="1:8" x14ac:dyDescent="0.25">
      <c r="A149" t="s">
        <v>177</v>
      </c>
      <c r="B149">
        <f>VLOOKUP(A149,'Subbu- Mini Project EXcel Clean'!A148:R1148,2,FALSE)</f>
        <v>69.5</v>
      </c>
      <c r="C149">
        <f>VLOOKUP(A149,'Subbu- Mini Project EXcel Clean'!A148:R1148,3,FALSE)</f>
        <v>66.2</v>
      </c>
      <c r="D149">
        <f>_xlfn.XLOOKUP(A149,'Subbu- Mini Project EXcel Clean'!A149:A1148,'Subbu- Mini Project EXcel Clean'!D149:D1148,"Entry Level",0)</f>
        <v>68.7</v>
      </c>
      <c r="E149">
        <f>_xlfn.XLOOKUP(A149,'Subbu- Mini Project EXcel Clean'!A149:A1148,'Subbu- Mini Project EXcel Clean'!F149:F1148,"Entry Level",0)</f>
        <v>54</v>
      </c>
      <c r="F149">
        <f>_xlfn.XLOOKUP(A149,'Subbu- Mini Project EXcel Clean'!A149:A1148,'Subbu- Mini Project EXcel Clean'!G149:G1148," ",0)</f>
        <v>60.8</v>
      </c>
      <c r="G149" t="str">
        <f>_xlfn.XLOOKUP(A149,'Subbu- Mini Project EXcel Clean'!A149:A1148,'Subbu- Mini Project EXcel Clean'!H149:H1148," ",0)</f>
        <v>Pass</v>
      </c>
      <c r="H149" t="str">
        <f>VLOOKUP(A149,'Subbu- Mini Project EXcel Clean'!A148:R1148,18,)</f>
        <v>Bachelor</v>
      </c>
    </row>
    <row r="150" spans="1:8" x14ac:dyDescent="0.25">
      <c r="A150" t="s">
        <v>178</v>
      </c>
      <c r="B150">
        <f>VLOOKUP(A150,'Subbu- Mini Project EXcel Clean'!A149:R1149,2,FALSE)</f>
        <v>50.7</v>
      </c>
      <c r="C150">
        <f>VLOOKUP(A150,'Subbu- Mini Project EXcel Clean'!A149:R1149,3,FALSE)</f>
        <v>48.3</v>
      </c>
      <c r="D150">
        <f>_xlfn.XLOOKUP(A150,'Subbu- Mini Project EXcel Clean'!A150:A1149,'Subbu- Mini Project EXcel Clean'!D150:D1149,"Entry Level",0)</f>
        <v>50.7</v>
      </c>
      <c r="E150">
        <f>_xlfn.XLOOKUP(A150,'Subbu- Mini Project EXcel Clean'!A150:A1149,'Subbu- Mini Project EXcel Clean'!F150:F1149,"Entry Level",0)</f>
        <v>57.8</v>
      </c>
      <c r="F150">
        <f>_xlfn.XLOOKUP(A150,'Subbu- Mini Project EXcel Clean'!A150:A1149,'Subbu- Mini Project EXcel Clean'!G150:G1149," ",0)</f>
        <v>50.3</v>
      </c>
      <c r="G150" t="str">
        <f>_xlfn.XLOOKUP(A150,'Subbu- Mini Project EXcel Clean'!A150:A1149,'Subbu- Mini Project EXcel Clean'!H150:H1149," ",0)</f>
        <v>Pass</v>
      </c>
      <c r="H150" t="str">
        <f>VLOOKUP(A150,'Subbu- Mini Project EXcel Clean'!A149:R1149,18,)</f>
        <v>Master</v>
      </c>
    </row>
    <row r="151" spans="1:8" x14ac:dyDescent="0.25">
      <c r="A151" t="s">
        <v>179</v>
      </c>
      <c r="B151">
        <f>VLOOKUP(A151,'Subbu- Mini Project EXcel Clean'!A150:R1150,2,FALSE)</f>
        <v>55</v>
      </c>
      <c r="C151">
        <f>VLOOKUP(A151,'Subbu- Mini Project EXcel Clean'!A150:R1150,3,FALSE)</f>
        <v>65.099999999999994</v>
      </c>
      <c r="D151">
        <f>_xlfn.XLOOKUP(A151,'Subbu- Mini Project EXcel Clean'!A151:A1150,'Subbu- Mini Project EXcel Clean'!D151:D1150,"Entry Level",0)</f>
        <v>60.3</v>
      </c>
      <c r="E151">
        <f>_xlfn.XLOOKUP(A151,'Subbu- Mini Project EXcel Clean'!A151:A1150,'Subbu- Mini Project EXcel Clean'!F151:F1150,"Entry Level",0)</f>
        <v>60.4</v>
      </c>
      <c r="F151">
        <f>_xlfn.XLOOKUP(A151,'Subbu- Mini Project EXcel Clean'!A151:A1150,'Subbu- Mini Project EXcel Clean'!G151:G1150," ",0)</f>
        <v>57.85</v>
      </c>
      <c r="G151" t="str">
        <f>_xlfn.XLOOKUP(A151,'Subbu- Mini Project EXcel Clean'!A151:A1150,'Subbu- Mini Project EXcel Clean'!H151:H1150," ",0)</f>
        <v>Pass</v>
      </c>
      <c r="H151" t="str">
        <f>VLOOKUP(A151,'Subbu- Mini Project EXcel Clean'!A150:R1150,18,)</f>
        <v>Bachelor</v>
      </c>
    </row>
    <row r="152" spans="1:8" x14ac:dyDescent="0.25">
      <c r="A152" t="s">
        <v>180</v>
      </c>
      <c r="B152">
        <f>VLOOKUP(A152,'Subbu- Mini Project EXcel Clean'!A151:R1151,2,FALSE)</f>
        <v>87.2</v>
      </c>
      <c r="C152">
        <f>VLOOKUP(A152,'Subbu- Mini Project EXcel Clean'!A151:R1151,3,FALSE)</f>
        <v>83.8</v>
      </c>
      <c r="D152">
        <f>_xlfn.XLOOKUP(A152,'Subbu- Mini Project EXcel Clean'!A152:A1151,'Subbu- Mini Project EXcel Clean'!D152:D1151,"Entry Level",0)</f>
        <v>94.3</v>
      </c>
      <c r="E152">
        <f>_xlfn.XLOOKUP(A152,'Subbu- Mini Project EXcel Clean'!A152:A1151,'Subbu- Mini Project EXcel Clean'!F152:F1151,"Entry Level",0)</f>
        <v>82.2</v>
      </c>
      <c r="F152">
        <f>_xlfn.XLOOKUP(A152,'Subbu- Mini Project EXcel Clean'!A152:A1151,'Subbu- Mini Project EXcel Clean'!G152:G1151," ",0)</f>
        <v>86.1</v>
      </c>
      <c r="G152" t="str">
        <f>_xlfn.XLOOKUP(A152,'Subbu- Mini Project EXcel Clean'!A152:A1151,'Subbu- Mini Project EXcel Clean'!H152:H1151," ",0)</f>
        <v>Pass</v>
      </c>
      <c r="H152" t="str">
        <f>VLOOKUP(A152,'Subbu- Mini Project EXcel Clean'!A151:R1151,18,)</f>
        <v>High School</v>
      </c>
    </row>
    <row r="153" spans="1:8" x14ac:dyDescent="0.25">
      <c r="A153" t="s">
        <v>181</v>
      </c>
      <c r="B153">
        <f>VLOOKUP(A153,'Subbu- Mini Project EXcel Clean'!A152:R1152,2,FALSE)</f>
        <v>62.6</v>
      </c>
      <c r="C153">
        <f>VLOOKUP(A153,'Subbu- Mini Project EXcel Clean'!A152:R1152,3,FALSE)</f>
        <v>55.7</v>
      </c>
      <c r="D153">
        <f>_xlfn.XLOOKUP(A153,'Subbu- Mini Project EXcel Clean'!A153:A1152,'Subbu- Mini Project EXcel Clean'!D153:D1152,"Entry Level",0)</f>
        <v>50.9</v>
      </c>
      <c r="E153">
        <f>_xlfn.XLOOKUP(A153,'Subbu- Mini Project EXcel Clean'!A153:A1152,'Subbu- Mini Project EXcel Clean'!F153:F1152,"Entry Level",0)</f>
        <v>69.5</v>
      </c>
      <c r="F153">
        <f>_xlfn.XLOOKUP(A153,'Subbu- Mini Project EXcel Clean'!A153:A1152,'Subbu- Mini Project EXcel Clean'!G153:G1152," ",0)</f>
        <v>61.35</v>
      </c>
      <c r="G153" t="str">
        <f>_xlfn.XLOOKUP(A153,'Subbu- Mini Project EXcel Clean'!A153:A1152,'Subbu- Mini Project EXcel Clean'!H153:H1152," ",0)</f>
        <v>Pass</v>
      </c>
      <c r="H153" t="str">
        <f>VLOOKUP(A153,'Subbu- Mini Project EXcel Clean'!A152:R1152,18,)</f>
        <v>Master</v>
      </c>
    </row>
    <row r="154" spans="1:8" x14ac:dyDescent="0.25">
      <c r="A154" t="s">
        <v>182</v>
      </c>
      <c r="B154">
        <f>VLOOKUP(A154,'Subbu- Mini Project EXcel Clean'!A153:R1153,2,FALSE)</f>
        <v>40.700000000000003</v>
      </c>
      <c r="C154">
        <f>VLOOKUP(A154,'Subbu- Mini Project EXcel Clean'!A153:R1153,3,FALSE)</f>
        <v>45.6</v>
      </c>
      <c r="D154">
        <f>_xlfn.XLOOKUP(A154,'Subbu- Mini Project EXcel Clean'!A154:A1153,'Subbu- Mini Project EXcel Clean'!D154:D1153,"Entry Level",0)</f>
        <v>43.5</v>
      </c>
      <c r="E154">
        <f>_xlfn.XLOOKUP(A154,'Subbu- Mini Project EXcel Clean'!A154:A1153,'Subbu- Mini Project EXcel Clean'!F154:F1153,"Entry Level",0)</f>
        <v>56.9</v>
      </c>
      <c r="F154">
        <f>_xlfn.XLOOKUP(A154,'Subbu- Mini Project EXcel Clean'!A154:A1153,'Subbu- Mini Project EXcel Clean'!G154:G1153," ",0)</f>
        <v>52.45</v>
      </c>
      <c r="G154" t="str">
        <f>_xlfn.XLOOKUP(A154,'Subbu- Mini Project EXcel Clean'!A154:A1153,'Subbu- Mini Project EXcel Clean'!H154:H1153," ",0)</f>
        <v>Pass</v>
      </c>
      <c r="H154" t="str">
        <f>VLOOKUP(A154,'Subbu- Mini Project EXcel Clean'!A153:R1153,18,)</f>
        <v>Bachelor</v>
      </c>
    </row>
    <row r="155" spans="1:8" x14ac:dyDescent="0.25">
      <c r="A155" t="s">
        <v>183</v>
      </c>
      <c r="B155">
        <f>VLOOKUP(A155,'Subbu- Mini Project EXcel Clean'!A154:R1154,2,FALSE)</f>
        <v>55.9</v>
      </c>
      <c r="C155">
        <f>VLOOKUP(A155,'Subbu- Mini Project EXcel Clean'!A154:R1154,3,FALSE)</f>
        <v>66.400000000000006</v>
      </c>
      <c r="D155">
        <f>_xlfn.XLOOKUP(A155,'Subbu- Mini Project EXcel Clean'!A155:A1154,'Subbu- Mini Project EXcel Clean'!D155:D1154,"Entry Level",0)</f>
        <v>71.7</v>
      </c>
      <c r="E155">
        <f>_xlfn.XLOOKUP(A155,'Subbu- Mini Project EXcel Clean'!A155:A1154,'Subbu- Mini Project EXcel Clean'!F155:F1154,"Entry Level",0)</f>
        <v>62.1</v>
      </c>
      <c r="F155">
        <f>_xlfn.XLOOKUP(A155,'Subbu- Mini Project EXcel Clean'!A155:A1154,'Subbu- Mini Project EXcel Clean'!G155:G1154," ",0)</f>
        <v>64.5</v>
      </c>
      <c r="G155" t="str">
        <f>_xlfn.XLOOKUP(A155,'Subbu- Mini Project EXcel Clean'!A155:A1154,'Subbu- Mini Project EXcel Clean'!H155:H1154," ",0)</f>
        <v>Pass</v>
      </c>
      <c r="H155" t="str">
        <f>VLOOKUP(A155,'Subbu- Mini Project EXcel Clean'!A154:R1154,18,)</f>
        <v>Bachelor</v>
      </c>
    </row>
    <row r="156" spans="1:8" x14ac:dyDescent="0.25">
      <c r="A156" t="s">
        <v>184</v>
      </c>
      <c r="B156">
        <f>VLOOKUP(A156,'Subbu- Mini Project EXcel Clean'!A155:R1155,2,FALSE)</f>
        <v>96.4</v>
      </c>
      <c r="C156">
        <f>VLOOKUP(A156,'Subbu- Mini Project EXcel Clean'!A155:R1155,3,FALSE)</f>
        <v>107.4</v>
      </c>
      <c r="D156">
        <f>_xlfn.XLOOKUP(A156,'Subbu- Mini Project EXcel Clean'!A156:A1155,'Subbu- Mini Project EXcel Clean'!D156:D1155,"Entry Level",0)</f>
        <v>98.6</v>
      </c>
      <c r="E156">
        <f>_xlfn.XLOOKUP(A156,'Subbu- Mini Project EXcel Clean'!A156:A1155,'Subbu- Mini Project EXcel Clean'!F156:F1155,"Entry Level",0)</f>
        <v>100</v>
      </c>
      <c r="F156">
        <f>_xlfn.XLOOKUP(A156,'Subbu- Mini Project EXcel Clean'!A156:A1155,'Subbu- Mini Project EXcel Clean'!G156:G1155," ",0)</f>
        <v>97.1</v>
      </c>
      <c r="G156" t="str">
        <f>_xlfn.XLOOKUP(A156,'Subbu- Mini Project EXcel Clean'!A156:A1155,'Subbu- Mini Project EXcel Clean'!H156:H1155," ",0)</f>
        <v>Pass</v>
      </c>
      <c r="H156" t="str">
        <f>VLOOKUP(A156,'Subbu- Mini Project EXcel Clean'!A155:R1155,18,)</f>
        <v>Bachelor</v>
      </c>
    </row>
    <row r="157" spans="1:8" x14ac:dyDescent="0.25">
      <c r="A157" t="s">
        <v>185</v>
      </c>
      <c r="B157">
        <f>VLOOKUP(A157,'Subbu- Mini Project EXcel Clean'!A156:R1156,2,FALSE)</f>
        <v>50.8</v>
      </c>
      <c r="C157">
        <f>VLOOKUP(A157,'Subbu- Mini Project EXcel Clean'!A156:R1156,3,FALSE)</f>
        <v>45.8</v>
      </c>
      <c r="D157">
        <f>_xlfn.XLOOKUP(A157,'Subbu- Mini Project EXcel Clean'!A157:A1156,'Subbu- Mini Project EXcel Clean'!D157:D1156,"Entry Level",0)</f>
        <v>60.7</v>
      </c>
      <c r="E157">
        <f>_xlfn.XLOOKUP(A157,'Subbu- Mini Project EXcel Clean'!A157:A1156,'Subbu- Mini Project EXcel Clean'!F157:F1156,"Entry Level",0)</f>
        <v>63.4</v>
      </c>
      <c r="F157">
        <f>_xlfn.XLOOKUP(A157,'Subbu- Mini Project EXcel Clean'!A157:A1156,'Subbu- Mini Project EXcel Clean'!G157:G1156," ",0)</f>
        <v>58.35</v>
      </c>
      <c r="G157" t="str">
        <f>_xlfn.XLOOKUP(A157,'Subbu- Mini Project EXcel Clean'!A157:A1156,'Subbu- Mini Project EXcel Clean'!H157:H1156," ",0)</f>
        <v>Pass</v>
      </c>
      <c r="H157" t="str">
        <f>VLOOKUP(A157,'Subbu- Mini Project EXcel Clean'!A156:R1156,18,)</f>
        <v>Master</v>
      </c>
    </row>
    <row r="158" spans="1:8" x14ac:dyDescent="0.25">
      <c r="A158" t="s">
        <v>186</v>
      </c>
      <c r="B158">
        <f>VLOOKUP(A158,'Subbu- Mini Project EXcel Clean'!A157:R1157,2,FALSE)</f>
        <v>71.900000000000006</v>
      </c>
      <c r="C158">
        <f>VLOOKUP(A158,'Subbu- Mini Project EXcel Clean'!A157:R1157,3,FALSE)</f>
        <v>78.2</v>
      </c>
      <c r="D158">
        <f>_xlfn.XLOOKUP(A158,'Subbu- Mini Project EXcel Clean'!A158:A1157,'Subbu- Mini Project EXcel Clean'!D158:D1157,"Entry Level",0)</f>
        <v>73.900000000000006</v>
      </c>
      <c r="E158">
        <f>_xlfn.XLOOKUP(A158,'Subbu- Mini Project EXcel Clean'!A158:A1157,'Subbu- Mini Project EXcel Clean'!F158:F1157,"Entry Level",0)</f>
        <v>77.599999999999994</v>
      </c>
      <c r="F158">
        <f>_xlfn.XLOOKUP(A158,'Subbu- Mini Project EXcel Clean'!A158:A1157,'Subbu- Mini Project EXcel Clean'!G158:G1157," ",0)</f>
        <v>77.3</v>
      </c>
      <c r="G158" t="str">
        <f>_xlfn.XLOOKUP(A158,'Subbu- Mini Project EXcel Clean'!A158:A1157,'Subbu- Mini Project EXcel Clean'!H158:H1157," ",0)</f>
        <v>Pass</v>
      </c>
      <c r="H158" t="str">
        <f>VLOOKUP(A158,'Subbu- Mini Project EXcel Clean'!A157:R1157,18,)</f>
        <v>High School</v>
      </c>
    </row>
    <row r="159" spans="1:8" x14ac:dyDescent="0.25">
      <c r="A159" t="s">
        <v>187</v>
      </c>
      <c r="B159">
        <f>VLOOKUP(A159,'Subbu- Mini Project EXcel Clean'!A158:R1158,2,FALSE)</f>
        <v>85.4</v>
      </c>
      <c r="C159">
        <f>VLOOKUP(A159,'Subbu- Mini Project EXcel Clean'!A158:R1158,3,FALSE)</f>
        <v>84.2</v>
      </c>
      <c r="D159">
        <f>_xlfn.XLOOKUP(A159,'Subbu- Mini Project EXcel Clean'!A159:A1158,'Subbu- Mini Project EXcel Clean'!D159:D1158,"Entry Level",0)</f>
        <v>80.7</v>
      </c>
      <c r="E159">
        <f>_xlfn.XLOOKUP(A159,'Subbu- Mini Project EXcel Clean'!A159:A1158,'Subbu- Mini Project EXcel Clean'!F159:F1158,"Entry Level",0)</f>
        <v>70.099999999999994</v>
      </c>
      <c r="F159">
        <f>_xlfn.XLOOKUP(A159,'Subbu- Mini Project EXcel Clean'!A159:A1158,'Subbu- Mini Project EXcel Clean'!G159:G1158," ",0)</f>
        <v>76</v>
      </c>
      <c r="G159" t="str">
        <f>_xlfn.XLOOKUP(A159,'Subbu- Mini Project EXcel Clean'!A159:A1158,'Subbu- Mini Project EXcel Clean'!H159:H1158," ",0)</f>
        <v>Pass</v>
      </c>
      <c r="H159" t="str">
        <f>VLOOKUP(A159,'Subbu- Mini Project EXcel Clean'!A158:R1158,18,)</f>
        <v>High School</v>
      </c>
    </row>
    <row r="160" spans="1:8" x14ac:dyDescent="0.25">
      <c r="A160" t="s">
        <v>188</v>
      </c>
      <c r="B160">
        <f>VLOOKUP(A160,'Subbu- Mini Project EXcel Clean'!A159:R1159,2,FALSE)</f>
        <v>54.3</v>
      </c>
      <c r="C160">
        <f>VLOOKUP(A160,'Subbu- Mini Project EXcel Clean'!A159:R1159,3,FALSE)</f>
        <v>58.5</v>
      </c>
      <c r="D160">
        <f>_xlfn.XLOOKUP(A160,'Subbu- Mini Project EXcel Clean'!A160:A1159,'Subbu- Mini Project EXcel Clean'!D160:D1159,"Entry Level",0)</f>
        <v>44.9</v>
      </c>
      <c r="E160">
        <f>_xlfn.XLOOKUP(A160,'Subbu- Mini Project EXcel Clean'!A160:A1159,'Subbu- Mini Project EXcel Clean'!F160:F1159,"Entry Level",0)</f>
        <v>60.7</v>
      </c>
      <c r="F160">
        <f>_xlfn.XLOOKUP(A160,'Subbu- Mini Project EXcel Clean'!A160:A1159,'Subbu- Mini Project EXcel Clean'!G160:G1159," ",0)</f>
        <v>56.9</v>
      </c>
      <c r="G160" t="str">
        <f>_xlfn.XLOOKUP(A160,'Subbu- Mini Project EXcel Clean'!A160:A1159,'Subbu- Mini Project EXcel Clean'!H160:H1159," ",0)</f>
        <v>Pass</v>
      </c>
      <c r="H160" t="str">
        <f>VLOOKUP(A160,'Subbu- Mini Project EXcel Clean'!A159:R1159,18,)</f>
        <v>Master</v>
      </c>
    </row>
    <row r="161" spans="1:8" x14ac:dyDescent="0.25">
      <c r="A161" t="s">
        <v>189</v>
      </c>
      <c r="B161">
        <f>VLOOKUP(A161,'Subbu- Mini Project EXcel Clean'!A160:R1160,2,FALSE)</f>
        <v>77.2</v>
      </c>
      <c r="C161">
        <f>VLOOKUP(A161,'Subbu- Mini Project EXcel Clean'!A160:R1160,3,FALSE)</f>
        <v>80.5</v>
      </c>
      <c r="D161">
        <f>_xlfn.XLOOKUP(A161,'Subbu- Mini Project EXcel Clean'!A161:A1160,'Subbu- Mini Project EXcel Clean'!D161:D1160,"Entry Level",0)</f>
        <v>78.099999999999994</v>
      </c>
      <c r="E161">
        <f>_xlfn.XLOOKUP(A161,'Subbu- Mini Project EXcel Clean'!A161:A1160,'Subbu- Mini Project EXcel Clean'!F161:F1160,"Entry Level",0)</f>
        <v>80</v>
      </c>
      <c r="F161">
        <f>_xlfn.XLOOKUP(A161,'Subbu- Mini Project EXcel Clean'!A161:A1160,'Subbu- Mini Project EXcel Clean'!G161:G1160," ",0)</f>
        <v>80.05</v>
      </c>
      <c r="G161" t="str">
        <f>_xlfn.XLOOKUP(A161,'Subbu- Mini Project EXcel Clean'!A161:A1160,'Subbu- Mini Project EXcel Clean'!H161:H1160," ",0)</f>
        <v>Pass</v>
      </c>
      <c r="H161" t="str">
        <f>VLOOKUP(A161,'Subbu- Mini Project EXcel Clean'!A160:R1160,18,)</f>
        <v>Bachelor</v>
      </c>
    </row>
    <row r="162" spans="1:8" x14ac:dyDescent="0.25">
      <c r="A162" t="s">
        <v>190</v>
      </c>
      <c r="B162">
        <f>VLOOKUP(A162,'Subbu- Mini Project EXcel Clean'!A161:R1161,2,FALSE)</f>
        <v>53.8</v>
      </c>
      <c r="C162">
        <f>VLOOKUP(A162,'Subbu- Mini Project EXcel Clean'!A161:R1161,3,FALSE)</f>
        <v>61.8</v>
      </c>
      <c r="D162">
        <f>_xlfn.XLOOKUP(A162,'Subbu- Mini Project EXcel Clean'!A162:A1161,'Subbu- Mini Project EXcel Clean'!D162:D1161,"Entry Level",0)</f>
        <v>65.2</v>
      </c>
      <c r="E162">
        <f>_xlfn.XLOOKUP(A162,'Subbu- Mini Project EXcel Clean'!A162:A1161,'Subbu- Mini Project EXcel Clean'!F162:F1161,"Entry Level",0)</f>
        <v>68.2</v>
      </c>
      <c r="F162">
        <f>_xlfn.XLOOKUP(A162,'Subbu- Mini Project EXcel Clean'!A162:A1161,'Subbu- Mini Project EXcel Clean'!G162:G1161," ",0)</f>
        <v>64.2</v>
      </c>
      <c r="G162" t="str">
        <f>_xlfn.XLOOKUP(A162,'Subbu- Mini Project EXcel Clean'!A162:A1161,'Subbu- Mini Project EXcel Clean'!H162:H1161," ",0)</f>
        <v>Pass</v>
      </c>
      <c r="H162" t="str">
        <f>VLOOKUP(A162,'Subbu- Mini Project EXcel Clean'!A161:R1161,18,)</f>
        <v>Master</v>
      </c>
    </row>
    <row r="163" spans="1:8" x14ac:dyDescent="0.25">
      <c r="A163" t="s">
        <v>191</v>
      </c>
      <c r="B163">
        <f>VLOOKUP(A163,'Subbu- Mini Project EXcel Clean'!A162:R1162,2,FALSE)</f>
        <v>79.099999999999994</v>
      </c>
      <c r="C163">
        <f>VLOOKUP(A163,'Subbu- Mini Project EXcel Clean'!A162:R1162,3,FALSE)</f>
        <v>72.8</v>
      </c>
      <c r="D163">
        <f>_xlfn.XLOOKUP(A163,'Subbu- Mini Project EXcel Clean'!A163:A1162,'Subbu- Mini Project EXcel Clean'!D163:D1162,"Entry Level",0)</f>
        <v>72.400000000000006</v>
      </c>
      <c r="E163">
        <f>_xlfn.XLOOKUP(A163,'Subbu- Mini Project EXcel Clean'!A163:A1162,'Subbu- Mini Project EXcel Clean'!F163:F1162,"Entry Level",0)</f>
        <v>76.8</v>
      </c>
      <c r="F163">
        <f>_xlfn.XLOOKUP(A163,'Subbu- Mini Project EXcel Clean'!A163:A1162,'Subbu- Mini Project EXcel Clean'!G163:G1162," ",0)</f>
        <v>75.8</v>
      </c>
      <c r="G163" t="str">
        <f>_xlfn.XLOOKUP(A163,'Subbu- Mini Project EXcel Clean'!A163:A1162,'Subbu- Mini Project EXcel Clean'!H163:H1162," ",0)</f>
        <v>Pass</v>
      </c>
      <c r="H163" t="str">
        <f>VLOOKUP(A163,'Subbu- Mini Project EXcel Clean'!A162:R1162,18,)</f>
        <v>Master</v>
      </c>
    </row>
    <row r="164" spans="1:8" x14ac:dyDescent="0.25">
      <c r="A164" t="s">
        <v>192</v>
      </c>
      <c r="B164">
        <f>VLOOKUP(A164,'Subbu- Mini Project EXcel Clean'!A163:R1163,2,FALSE)</f>
        <v>78.099999999999994</v>
      </c>
      <c r="C164">
        <f>VLOOKUP(A164,'Subbu- Mini Project EXcel Clean'!A163:R1163,3,FALSE)</f>
        <v>76.2</v>
      </c>
      <c r="D164">
        <f>_xlfn.XLOOKUP(A164,'Subbu- Mini Project EXcel Clean'!A164:A1163,'Subbu- Mini Project EXcel Clean'!D164:D1163,"Entry Level",0)</f>
        <v>78</v>
      </c>
      <c r="E164">
        <f>_xlfn.XLOOKUP(A164,'Subbu- Mini Project EXcel Clean'!A164:A1163,'Subbu- Mini Project EXcel Clean'!F164:F1163,"Entry Level",0)</f>
        <v>72.3</v>
      </c>
      <c r="F164">
        <f>_xlfn.XLOOKUP(A164,'Subbu- Mini Project EXcel Clean'!A164:A1163,'Subbu- Mini Project EXcel Clean'!G164:G1163," ",0)</f>
        <v>73.55</v>
      </c>
      <c r="G164" t="str">
        <f>_xlfn.XLOOKUP(A164,'Subbu- Mini Project EXcel Clean'!A164:A1163,'Subbu- Mini Project EXcel Clean'!H164:H1163," ",0)</f>
        <v>Pass</v>
      </c>
      <c r="H164" t="str">
        <f>VLOOKUP(A164,'Subbu- Mini Project EXcel Clean'!A163:R1163,18,)</f>
        <v>Bachelor</v>
      </c>
    </row>
    <row r="165" spans="1:8" x14ac:dyDescent="0.25">
      <c r="A165" t="s">
        <v>193</v>
      </c>
      <c r="B165">
        <f>VLOOKUP(A165,'Subbu- Mini Project EXcel Clean'!A164:R1164,2,FALSE)</f>
        <v>69</v>
      </c>
      <c r="C165">
        <f>VLOOKUP(A165,'Subbu- Mini Project EXcel Clean'!A164:R1164,3,FALSE)</f>
        <v>67.8</v>
      </c>
      <c r="D165">
        <f>_xlfn.XLOOKUP(A165,'Subbu- Mini Project EXcel Clean'!A165:A1164,'Subbu- Mini Project EXcel Clean'!D165:D1164,"Entry Level",0)</f>
        <v>68.5</v>
      </c>
      <c r="E165">
        <f>_xlfn.XLOOKUP(A165,'Subbu- Mini Project EXcel Clean'!A165:A1164,'Subbu- Mini Project EXcel Clean'!F165:F1164,"Entry Level",0)</f>
        <v>70</v>
      </c>
      <c r="F165">
        <f>_xlfn.XLOOKUP(A165,'Subbu- Mini Project EXcel Clean'!A165:A1164,'Subbu- Mini Project EXcel Clean'!G165:G1164," ",0)</f>
        <v>69.75</v>
      </c>
      <c r="G165" t="str">
        <f>_xlfn.XLOOKUP(A165,'Subbu- Mini Project EXcel Clean'!A165:A1164,'Subbu- Mini Project EXcel Clean'!H165:H1164," ",0)</f>
        <v>Pass</v>
      </c>
      <c r="H165" t="str">
        <f>VLOOKUP(A165,'Subbu- Mini Project EXcel Clean'!A164:R1164,18,)</f>
        <v>Master</v>
      </c>
    </row>
    <row r="166" spans="1:8" x14ac:dyDescent="0.25">
      <c r="A166" t="s">
        <v>194</v>
      </c>
      <c r="B166">
        <f>VLOOKUP(A166,'Subbu- Mini Project EXcel Clean'!A165:R1165,2,FALSE)</f>
        <v>54.2</v>
      </c>
      <c r="C166">
        <f>VLOOKUP(A166,'Subbu- Mini Project EXcel Clean'!A165:R1165,3,FALSE)</f>
        <v>48.1</v>
      </c>
      <c r="D166">
        <f>_xlfn.XLOOKUP(A166,'Subbu- Mini Project EXcel Clean'!A166:A1165,'Subbu- Mini Project EXcel Clean'!D166:D1165,"Entry Level",0)</f>
        <v>46.6</v>
      </c>
      <c r="E166">
        <f>_xlfn.XLOOKUP(A166,'Subbu- Mini Project EXcel Clean'!A166:A1165,'Subbu- Mini Project EXcel Clean'!F166:F1165,"Entry Level",0)</f>
        <v>56.8</v>
      </c>
      <c r="F166">
        <f>_xlfn.XLOOKUP(A166,'Subbu- Mini Project EXcel Clean'!A166:A1165,'Subbu- Mini Project EXcel Clean'!G166:G1165," ",0)</f>
        <v>50.9</v>
      </c>
      <c r="G166" t="str">
        <f>_xlfn.XLOOKUP(A166,'Subbu- Mini Project EXcel Clean'!A166:A1165,'Subbu- Mini Project EXcel Clean'!H166:H1165," ",0)</f>
        <v>Pass</v>
      </c>
      <c r="H166" t="str">
        <f>VLOOKUP(A166,'Subbu- Mini Project EXcel Clean'!A165:R1165,18,)</f>
        <v>High School</v>
      </c>
    </row>
    <row r="167" spans="1:8" x14ac:dyDescent="0.25">
      <c r="A167" t="s">
        <v>195</v>
      </c>
      <c r="B167">
        <f>VLOOKUP(A167,'Subbu- Mini Project EXcel Clean'!A166:R1166,2,FALSE)</f>
        <v>80.599999999999994</v>
      </c>
      <c r="C167">
        <f>VLOOKUP(A167,'Subbu- Mini Project EXcel Clean'!A166:R1166,3,FALSE)</f>
        <v>84.1</v>
      </c>
      <c r="D167">
        <f>_xlfn.XLOOKUP(A167,'Subbu- Mini Project EXcel Clean'!A167:A1166,'Subbu- Mini Project EXcel Clean'!D167:D1166,"Entry Level",0)</f>
        <v>80.2</v>
      </c>
      <c r="E167">
        <f>_xlfn.XLOOKUP(A167,'Subbu- Mini Project EXcel Clean'!A167:A1166,'Subbu- Mini Project EXcel Clean'!F167:F1166,"Entry Level",0)</f>
        <v>100</v>
      </c>
      <c r="F167">
        <f>_xlfn.XLOOKUP(A167,'Subbu- Mini Project EXcel Clean'!A167:A1166,'Subbu- Mini Project EXcel Clean'!G167:G1166," ",0)</f>
        <v>92.95</v>
      </c>
      <c r="G167" t="str">
        <f>_xlfn.XLOOKUP(A167,'Subbu- Mini Project EXcel Clean'!A167:A1166,'Subbu- Mini Project EXcel Clean'!H167:H1166," ",0)</f>
        <v>Pass</v>
      </c>
      <c r="H167" t="str">
        <f>VLOOKUP(A167,'Subbu- Mini Project EXcel Clean'!A166:R1166,18,)</f>
        <v>Master</v>
      </c>
    </row>
    <row r="168" spans="1:8" x14ac:dyDescent="0.25">
      <c r="A168" t="s">
        <v>196</v>
      </c>
      <c r="B168">
        <f>VLOOKUP(A168,'Subbu- Mini Project EXcel Clean'!A167:R1167,2,FALSE)</f>
        <v>50</v>
      </c>
      <c r="C168">
        <f>VLOOKUP(A168,'Subbu- Mini Project EXcel Clean'!A167:R1167,3,FALSE)</f>
        <v>59.5</v>
      </c>
      <c r="D168">
        <f>_xlfn.XLOOKUP(A168,'Subbu- Mini Project EXcel Clean'!A168:A1167,'Subbu- Mini Project EXcel Clean'!D168:D1167,"Entry Level",0)</f>
        <v>58.1</v>
      </c>
      <c r="E168">
        <f>_xlfn.XLOOKUP(A168,'Subbu- Mini Project EXcel Clean'!A168:A1167,'Subbu- Mini Project EXcel Clean'!F168:F1167,"Entry Level",0)</f>
        <v>54.1</v>
      </c>
      <c r="F168">
        <f>_xlfn.XLOOKUP(A168,'Subbu- Mini Project EXcel Clean'!A168:A1167,'Subbu- Mini Project EXcel Clean'!G168:G1167," ",0)</f>
        <v>55.85</v>
      </c>
      <c r="G168" t="str">
        <f>_xlfn.XLOOKUP(A168,'Subbu- Mini Project EXcel Clean'!A168:A1167,'Subbu- Mini Project EXcel Clean'!H168:H1167," ",0)</f>
        <v>Pass</v>
      </c>
      <c r="H168" t="str">
        <f>VLOOKUP(A168,'Subbu- Mini Project EXcel Clean'!A167:R1167,18,)</f>
        <v>Bachelor</v>
      </c>
    </row>
    <row r="169" spans="1:8" x14ac:dyDescent="0.25">
      <c r="A169" t="s">
        <v>197</v>
      </c>
      <c r="B169">
        <f>VLOOKUP(A169,'Subbu- Mini Project EXcel Clean'!A168:R1168,2,FALSE)</f>
        <v>46.8</v>
      </c>
      <c r="C169">
        <f>VLOOKUP(A169,'Subbu- Mini Project EXcel Clean'!A168:R1168,3,FALSE)</f>
        <v>50.1</v>
      </c>
      <c r="D169">
        <f>_xlfn.XLOOKUP(A169,'Subbu- Mini Project EXcel Clean'!A169:A1168,'Subbu- Mini Project EXcel Clean'!D169:D1168,"Entry Level",0)</f>
        <v>35.299999999999997</v>
      </c>
      <c r="E169">
        <f>_xlfn.XLOOKUP(A169,'Subbu- Mini Project EXcel Clean'!A169:A1168,'Subbu- Mini Project EXcel Clean'!F169:F1168,"Entry Level",0)</f>
        <v>49.2</v>
      </c>
      <c r="F169">
        <f>_xlfn.XLOOKUP(A169,'Subbu- Mini Project EXcel Clean'!A169:A1168,'Subbu- Mini Project EXcel Clean'!G169:G1168," ",0)</f>
        <v>49.75</v>
      </c>
      <c r="G169" t="str">
        <f>_xlfn.XLOOKUP(A169,'Subbu- Mini Project EXcel Clean'!A169:A1168,'Subbu- Mini Project EXcel Clean'!H169:H1168," ",0)</f>
        <v>Fail</v>
      </c>
      <c r="H169" t="str">
        <f>VLOOKUP(A169,'Subbu- Mini Project EXcel Clean'!A168:R1168,18,)</f>
        <v>Master</v>
      </c>
    </row>
    <row r="170" spans="1:8" x14ac:dyDescent="0.25">
      <c r="A170" t="s">
        <v>198</v>
      </c>
      <c r="B170">
        <f>VLOOKUP(A170,'Subbu- Mini Project EXcel Clean'!A169:R1169,2,FALSE)</f>
        <v>42</v>
      </c>
      <c r="C170">
        <f>VLOOKUP(A170,'Subbu- Mini Project EXcel Clean'!A169:R1169,3,FALSE)</f>
        <v>47.9</v>
      </c>
      <c r="D170">
        <f>_xlfn.XLOOKUP(A170,'Subbu- Mini Project EXcel Clean'!A170:A1169,'Subbu- Mini Project EXcel Clean'!D170:D1169,"Entry Level",0)</f>
        <v>41.3</v>
      </c>
      <c r="E170">
        <f>_xlfn.XLOOKUP(A170,'Subbu- Mini Project EXcel Clean'!A170:A1169,'Subbu- Mini Project EXcel Clean'!F170:F1169,"Entry Level",0)</f>
        <v>49.5</v>
      </c>
      <c r="F170">
        <f>_xlfn.XLOOKUP(A170,'Subbu- Mini Project EXcel Clean'!A170:A1169,'Subbu- Mini Project EXcel Clean'!G170:G1169," ",0)</f>
        <v>45.85</v>
      </c>
      <c r="G170" t="str">
        <f>_xlfn.XLOOKUP(A170,'Subbu- Mini Project EXcel Clean'!A170:A1169,'Subbu- Mini Project EXcel Clean'!H170:H1169," ",0)</f>
        <v>Fail</v>
      </c>
      <c r="H170" t="str">
        <f>VLOOKUP(A170,'Subbu- Mini Project EXcel Clean'!A169:R1169,18,)</f>
        <v>High School</v>
      </c>
    </row>
    <row r="171" spans="1:8" x14ac:dyDescent="0.25">
      <c r="A171" t="s">
        <v>199</v>
      </c>
      <c r="B171">
        <f>VLOOKUP(A171,'Subbu- Mini Project EXcel Clean'!A170:R1170,2,FALSE)</f>
        <v>73.7</v>
      </c>
      <c r="C171">
        <f>VLOOKUP(A171,'Subbu- Mini Project EXcel Clean'!A170:R1170,3,FALSE)</f>
        <v>72.2</v>
      </c>
      <c r="D171">
        <f>_xlfn.XLOOKUP(A171,'Subbu- Mini Project EXcel Clean'!A171:A1170,'Subbu- Mini Project EXcel Clean'!D171:D1170,"Entry Level",0)</f>
        <v>64.3</v>
      </c>
      <c r="E171">
        <f>_xlfn.XLOOKUP(A171,'Subbu- Mini Project EXcel Clean'!A171:A1170,'Subbu- Mini Project EXcel Clean'!F171:F1170,"Entry Level",0)</f>
        <v>73.8</v>
      </c>
      <c r="F171">
        <f>_xlfn.XLOOKUP(A171,'Subbu- Mini Project EXcel Clean'!A171:A1170,'Subbu- Mini Project EXcel Clean'!G171:G1170," ",0)</f>
        <v>73.150000000000006</v>
      </c>
      <c r="G171" t="str">
        <f>_xlfn.XLOOKUP(A171,'Subbu- Mini Project EXcel Clean'!A171:A1170,'Subbu- Mini Project EXcel Clean'!H171:H1170," ",0)</f>
        <v>Pass</v>
      </c>
      <c r="H171" t="str">
        <f>VLOOKUP(A171,'Subbu- Mini Project EXcel Clean'!A170:R1170,18,)</f>
        <v>Master</v>
      </c>
    </row>
    <row r="172" spans="1:8" x14ac:dyDescent="0.25">
      <c r="A172" t="s">
        <v>200</v>
      </c>
      <c r="B172">
        <f>VLOOKUP(A172,'Subbu- Mini Project EXcel Clean'!A171:R1171,2,FALSE)</f>
        <v>76.099999999999994</v>
      </c>
      <c r="C172">
        <f>VLOOKUP(A172,'Subbu- Mini Project EXcel Clean'!A171:R1171,3,FALSE)</f>
        <v>68.400000000000006</v>
      </c>
      <c r="D172">
        <f>_xlfn.XLOOKUP(A172,'Subbu- Mini Project EXcel Clean'!A172:A1171,'Subbu- Mini Project EXcel Clean'!D172:D1171,"Entry Level",0)</f>
        <v>83.3</v>
      </c>
      <c r="E172">
        <f>_xlfn.XLOOKUP(A172,'Subbu- Mini Project EXcel Clean'!A172:A1171,'Subbu- Mini Project EXcel Clean'!F172:F1171,"Entry Level",0)</f>
        <v>84.7</v>
      </c>
      <c r="F172">
        <f>_xlfn.XLOOKUP(A172,'Subbu- Mini Project EXcel Clean'!A172:A1171,'Subbu- Mini Project EXcel Clean'!G172:G1171," ",0)</f>
        <v>81</v>
      </c>
      <c r="G172" t="str">
        <f>_xlfn.XLOOKUP(A172,'Subbu- Mini Project EXcel Clean'!A172:A1171,'Subbu- Mini Project EXcel Clean'!H172:H1171," ",0)</f>
        <v>Pass</v>
      </c>
      <c r="H172" t="str">
        <f>VLOOKUP(A172,'Subbu- Mini Project EXcel Clean'!A171:R1171,18,)</f>
        <v>Master</v>
      </c>
    </row>
    <row r="173" spans="1:8" x14ac:dyDescent="0.25">
      <c r="A173" t="s">
        <v>201</v>
      </c>
      <c r="B173">
        <f>VLOOKUP(A173,'Subbu- Mini Project EXcel Clean'!A172:R1172,2,FALSE)</f>
        <v>42.7</v>
      </c>
      <c r="C173">
        <f>VLOOKUP(A173,'Subbu- Mini Project EXcel Clean'!A172:R1172,3,FALSE)</f>
        <v>47.2</v>
      </c>
      <c r="D173">
        <f>_xlfn.XLOOKUP(A173,'Subbu- Mini Project EXcel Clean'!A173:A1172,'Subbu- Mini Project EXcel Clean'!D173:D1172,"Entry Level",0)</f>
        <v>44.8</v>
      </c>
      <c r="E173">
        <f>_xlfn.XLOOKUP(A173,'Subbu- Mini Project EXcel Clean'!A173:A1172,'Subbu- Mini Project EXcel Clean'!F173:F1172,"Entry Level",0)</f>
        <v>45.5</v>
      </c>
      <c r="F173">
        <f>_xlfn.XLOOKUP(A173,'Subbu- Mini Project EXcel Clean'!A173:A1172,'Subbu- Mini Project EXcel Clean'!G173:G1172," ",0)</f>
        <v>43.2</v>
      </c>
      <c r="G173" t="str">
        <f>_xlfn.XLOOKUP(A173,'Subbu- Mini Project EXcel Clean'!A173:A1172,'Subbu- Mini Project EXcel Clean'!H173:H1172," ",0)</f>
        <v>Fail</v>
      </c>
      <c r="H173" t="str">
        <f>VLOOKUP(A173,'Subbu- Mini Project EXcel Clean'!A172:R1172,18,)</f>
        <v>Master</v>
      </c>
    </row>
    <row r="174" spans="1:8" x14ac:dyDescent="0.25">
      <c r="A174" t="s">
        <v>202</v>
      </c>
      <c r="B174">
        <f>VLOOKUP(A174,'Subbu- Mini Project EXcel Clean'!A173:R1173,2,FALSE)</f>
        <v>61.9</v>
      </c>
      <c r="C174">
        <f>VLOOKUP(A174,'Subbu- Mini Project EXcel Clean'!A173:R1173,3,FALSE)</f>
        <v>63.6</v>
      </c>
      <c r="D174">
        <f>_xlfn.XLOOKUP(A174,'Subbu- Mini Project EXcel Clean'!A174:A1173,'Subbu- Mini Project EXcel Clean'!D174:D1173,"Entry Level",0)</f>
        <v>70.5</v>
      </c>
      <c r="E174">
        <f>_xlfn.XLOOKUP(A174,'Subbu- Mini Project EXcel Clean'!A174:A1173,'Subbu- Mini Project EXcel Clean'!F174:F1173,"Entry Level",0)</f>
        <v>65.099999999999994</v>
      </c>
      <c r="F174">
        <f>_xlfn.XLOOKUP(A174,'Subbu- Mini Project EXcel Clean'!A174:A1173,'Subbu- Mini Project EXcel Clean'!G174:G1173," ",0)</f>
        <v>66.650000000000006</v>
      </c>
      <c r="G174" t="str">
        <f>_xlfn.XLOOKUP(A174,'Subbu- Mini Project EXcel Clean'!A174:A1173,'Subbu- Mini Project EXcel Clean'!H174:H1173," ",0)</f>
        <v>Pass</v>
      </c>
      <c r="H174" t="str">
        <f>VLOOKUP(A174,'Subbu- Mini Project EXcel Clean'!A173:R1173,18,)</f>
        <v>Master</v>
      </c>
    </row>
    <row r="175" spans="1:8" x14ac:dyDescent="0.25">
      <c r="A175" t="s">
        <v>203</v>
      </c>
      <c r="B175">
        <f>VLOOKUP(A175,'Subbu- Mini Project EXcel Clean'!A174:R1174,2,FALSE)</f>
        <v>59.7</v>
      </c>
      <c r="C175">
        <f>VLOOKUP(A175,'Subbu- Mini Project EXcel Clean'!A174:R1174,3,FALSE)</f>
        <v>49.2</v>
      </c>
      <c r="D175">
        <f>_xlfn.XLOOKUP(A175,'Subbu- Mini Project EXcel Clean'!A175:A1174,'Subbu- Mini Project EXcel Clean'!D175:D1174,"Entry Level",0)</f>
        <v>60.1</v>
      </c>
      <c r="E175">
        <f>_xlfn.XLOOKUP(A175,'Subbu- Mini Project EXcel Clean'!A175:A1174,'Subbu- Mini Project EXcel Clean'!F175:F1174,"Entry Level",0)</f>
        <v>68.8</v>
      </c>
      <c r="F175">
        <f>_xlfn.XLOOKUP(A175,'Subbu- Mini Project EXcel Clean'!A175:A1174,'Subbu- Mini Project EXcel Clean'!G175:G1174," ",0)</f>
        <v>60.65</v>
      </c>
      <c r="G175" t="str">
        <f>_xlfn.XLOOKUP(A175,'Subbu- Mini Project EXcel Clean'!A175:A1174,'Subbu- Mini Project EXcel Clean'!H175:H1174," ",0)</f>
        <v>Pass</v>
      </c>
      <c r="H175" t="str">
        <f>VLOOKUP(A175,'Subbu- Mini Project EXcel Clean'!A174:R1174,18,)</f>
        <v>Bachelor</v>
      </c>
    </row>
    <row r="176" spans="1:8" x14ac:dyDescent="0.25">
      <c r="A176" t="s">
        <v>204</v>
      </c>
      <c r="B176">
        <f>VLOOKUP(A176,'Subbu- Mini Project EXcel Clean'!A175:R1175,2,FALSE)</f>
        <v>75.099999999999994</v>
      </c>
      <c r="C176">
        <f>VLOOKUP(A176,'Subbu- Mini Project EXcel Clean'!A175:R1175,3,FALSE)</f>
        <v>72.5</v>
      </c>
      <c r="D176">
        <f>_xlfn.XLOOKUP(A176,'Subbu- Mini Project EXcel Clean'!A176:A1175,'Subbu- Mini Project EXcel Clean'!D176:D1175,"Entry Level",0)</f>
        <v>70.7</v>
      </c>
      <c r="E176">
        <f>_xlfn.XLOOKUP(A176,'Subbu- Mini Project EXcel Clean'!A176:A1175,'Subbu- Mini Project EXcel Clean'!F176:F1175,"Entry Level",0)</f>
        <v>80.599999999999994</v>
      </c>
      <c r="F176">
        <f>_xlfn.XLOOKUP(A176,'Subbu- Mini Project EXcel Clean'!A176:A1175,'Subbu- Mini Project EXcel Clean'!G176:G1175," ",0)</f>
        <v>78.05</v>
      </c>
      <c r="G176" t="str">
        <f>_xlfn.XLOOKUP(A176,'Subbu- Mini Project EXcel Clean'!A176:A1175,'Subbu- Mini Project EXcel Clean'!H176:H1175," ",0)</f>
        <v>Pass</v>
      </c>
      <c r="H176" t="str">
        <f>VLOOKUP(A176,'Subbu- Mini Project EXcel Clean'!A175:R1175,18,)</f>
        <v>High School</v>
      </c>
    </row>
    <row r="177" spans="1:8" x14ac:dyDescent="0.25">
      <c r="A177" t="s">
        <v>205</v>
      </c>
      <c r="B177">
        <f>VLOOKUP(A177,'Subbu- Mini Project EXcel Clean'!A176:R1176,2,FALSE)</f>
        <v>55.2</v>
      </c>
      <c r="C177">
        <f>VLOOKUP(A177,'Subbu- Mini Project EXcel Clean'!A176:R1176,3,FALSE)</f>
        <v>56.5</v>
      </c>
      <c r="D177">
        <f>_xlfn.XLOOKUP(A177,'Subbu- Mini Project EXcel Clean'!A177:A1176,'Subbu- Mini Project EXcel Clean'!D177:D1176,"Entry Level",0)</f>
        <v>58.3</v>
      </c>
      <c r="E177">
        <f>_xlfn.XLOOKUP(A177,'Subbu- Mini Project EXcel Clean'!A177:A1176,'Subbu- Mini Project EXcel Clean'!F177:F1176,"Entry Level",0)</f>
        <v>59.6</v>
      </c>
      <c r="F177">
        <f>_xlfn.XLOOKUP(A177,'Subbu- Mini Project EXcel Clean'!A177:A1176,'Subbu- Mini Project EXcel Clean'!G177:G1176," ",0)</f>
        <v>54.6</v>
      </c>
      <c r="G177" t="str">
        <f>_xlfn.XLOOKUP(A177,'Subbu- Mini Project EXcel Clean'!A177:A1176,'Subbu- Mini Project EXcel Clean'!H177:H1176," ",0)</f>
        <v>Pass</v>
      </c>
      <c r="H177" t="str">
        <f>VLOOKUP(A177,'Subbu- Mini Project EXcel Clean'!A176:R1176,18,)</f>
        <v>High School</v>
      </c>
    </row>
    <row r="178" spans="1:8" x14ac:dyDescent="0.25">
      <c r="A178" t="s">
        <v>206</v>
      </c>
      <c r="B178">
        <f>VLOOKUP(A178,'Subbu- Mini Project EXcel Clean'!A177:R1177,2,FALSE)</f>
        <v>79.7</v>
      </c>
      <c r="C178">
        <f>VLOOKUP(A178,'Subbu- Mini Project EXcel Clean'!A177:R1177,3,FALSE)</f>
        <v>67.3</v>
      </c>
      <c r="D178">
        <f>_xlfn.XLOOKUP(A178,'Subbu- Mini Project EXcel Clean'!A178:A1177,'Subbu- Mini Project EXcel Clean'!D178:D1177,"Entry Level",0)</f>
        <v>82.7</v>
      </c>
      <c r="E178">
        <f>_xlfn.XLOOKUP(A178,'Subbu- Mini Project EXcel Clean'!A178:A1177,'Subbu- Mini Project EXcel Clean'!F178:F1177,"Entry Level",0)</f>
        <v>84.6</v>
      </c>
      <c r="F178">
        <f>_xlfn.XLOOKUP(A178,'Subbu- Mini Project EXcel Clean'!A178:A1177,'Subbu- Mini Project EXcel Clean'!G178:G1177," ",0)</f>
        <v>81.3</v>
      </c>
      <c r="G178" t="str">
        <f>_xlfn.XLOOKUP(A178,'Subbu- Mini Project EXcel Clean'!A178:A1177,'Subbu- Mini Project EXcel Clean'!H178:H1177," ",0)</f>
        <v>Pass</v>
      </c>
      <c r="H178" t="str">
        <f>VLOOKUP(A178,'Subbu- Mini Project EXcel Clean'!A177:R1177,18,)</f>
        <v>High School</v>
      </c>
    </row>
    <row r="179" spans="1:8" x14ac:dyDescent="0.25">
      <c r="A179" t="s">
        <v>207</v>
      </c>
      <c r="B179">
        <f>VLOOKUP(A179,'Subbu- Mini Project EXcel Clean'!A178:R1178,2,FALSE)</f>
        <v>63.6</v>
      </c>
      <c r="C179">
        <f>VLOOKUP(A179,'Subbu- Mini Project EXcel Clean'!A178:R1178,3,FALSE)</f>
        <v>77</v>
      </c>
      <c r="D179">
        <f>_xlfn.XLOOKUP(A179,'Subbu- Mini Project EXcel Clean'!A179:A1178,'Subbu- Mini Project EXcel Clean'!D179:D1178,"Entry Level",0)</f>
        <v>60.1</v>
      </c>
      <c r="E179">
        <f>_xlfn.XLOOKUP(A179,'Subbu- Mini Project EXcel Clean'!A179:A1178,'Subbu- Mini Project EXcel Clean'!F179:F1178,"Entry Level",0)</f>
        <v>67.400000000000006</v>
      </c>
      <c r="F179">
        <f>_xlfn.XLOOKUP(A179,'Subbu- Mini Project EXcel Clean'!A179:A1178,'Subbu- Mini Project EXcel Clean'!G179:G1178," ",0)</f>
        <v>64.349999999999994</v>
      </c>
      <c r="G179" t="str">
        <f>_xlfn.XLOOKUP(A179,'Subbu- Mini Project EXcel Clean'!A179:A1178,'Subbu- Mini Project EXcel Clean'!H179:H1178," ",0)</f>
        <v>Pass</v>
      </c>
      <c r="H179" t="str">
        <f>VLOOKUP(A179,'Subbu- Mini Project EXcel Clean'!A178:R1178,18,)</f>
        <v>Master</v>
      </c>
    </row>
    <row r="180" spans="1:8" x14ac:dyDescent="0.25">
      <c r="A180" t="s">
        <v>208</v>
      </c>
      <c r="B180">
        <f>VLOOKUP(A180,'Subbu- Mini Project EXcel Clean'!A179:R1179,2,FALSE)</f>
        <v>94.4</v>
      </c>
      <c r="C180">
        <f>VLOOKUP(A180,'Subbu- Mini Project EXcel Clean'!A179:R1179,3,FALSE)</f>
        <v>96.8</v>
      </c>
      <c r="D180">
        <f>_xlfn.XLOOKUP(A180,'Subbu- Mini Project EXcel Clean'!A180:A1179,'Subbu- Mini Project EXcel Clean'!D180:D1179,"Entry Level",0)</f>
        <v>97.2</v>
      </c>
      <c r="E180">
        <f>_xlfn.XLOOKUP(A180,'Subbu- Mini Project EXcel Clean'!A180:A1179,'Subbu- Mini Project EXcel Clean'!F180:F1179,"Entry Level",0)</f>
        <v>100</v>
      </c>
      <c r="F180">
        <f>_xlfn.XLOOKUP(A180,'Subbu- Mini Project EXcel Clean'!A180:A1179,'Subbu- Mini Project EXcel Clean'!G180:G1179," ",0)</f>
        <v>95.75</v>
      </c>
      <c r="G180" t="str">
        <f>_xlfn.XLOOKUP(A180,'Subbu- Mini Project EXcel Clean'!A180:A1179,'Subbu- Mini Project EXcel Clean'!H180:H1179," ",0)</f>
        <v>Pass</v>
      </c>
      <c r="H180" t="str">
        <f>VLOOKUP(A180,'Subbu- Mini Project EXcel Clean'!A179:R1179,18,)</f>
        <v>High School</v>
      </c>
    </row>
    <row r="181" spans="1:8" x14ac:dyDescent="0.25">
      <c r="A181" t="s">
        <v>209</v>
      </c>
      <c r="B181">
        <f>VLOOKUP(A181,'Subbu- Mini Project EXcel Clean'!A180:R1180,2,FALSE)</f>
        <v>49.8</v>
      </c>
      <c r="C181">
        <f>VLOOKUP(A181,'Subbu- Mini Project EXcel Clean'!A180:R1180,3,FALSE)</f>
        <v>48.7</v>
      </c>
      <c r="D181">
        <f>_xlfn.XLOOKUP(A181,'Subbu- Mini Project EXcel Clean'!A181:A1180,'Subbu- Mini Project EXcel Clean'!D181:D1180,"Entry Level",0)</f>
        <v>42</v>
      </c>
      <c r="E181">
        <f>_xlfn.XLOOKUP(A181,'Subbu- Mini Project EXcel Clean'!A181:A1180,'Subbu- Mini Project EXcel Clean'!F181:F1180,"Entry Level",0)</f>
        <v>55.4</v>
      </c>
      <c r="F181">
        <f>_xlfn.XLOOKUP(A181,'Subbu- Mini Project EXcel Clean'!A181:A1180,'Subbu- Mini Project EXcel Clean'!G181:G1180," ",0)</f>
        <v>51.5</v>
      </c>
      <c r="G181" t="str">
        <f>_xlfn.XLOOKUP(A181,'Subbu- Mini Project EXcel Clean'!A181:A1180,'Subbu- Mini Project EXcel Clean'!H181:H1180," ",0)</f>
        <v>Pass</v>
      </c>
      <c r="H181" t="str">
        <f>VLOOKUP(A181,'Subbu- Mini Project EXcel Clean'!A180:R1180,18,)</f>
        <v>Bachelor</v>
      </c>
    </row>
    <row r="182" spans="1:8" x14ac:dyDescent="0.25">
      <c r="A182" t="s">
        <v>210</v>
      </c>
      <c r="B182">
        <f>VLOOKUP(A182,'Subbu- Mini Project EXcel Clean'!A181:R1181,2,FALSE)</f>
        <v>62</v>
      </c>
      <c r="C182">
        <f>VLOOKUP(A182,'Subbu- Mini Project EXcel Clean'!A181:R1181,3,FALSE)</f>
        <v>58.5</v>
      </c>
      <c r="D182">
        <f>_xlfn.XLOOKUP(A182,'Subbu- Mini Project EXcel Clean'!A182:A1181,'Subbu- Mini Project EXcel Clean'!D182:D1181,"Entry Level",0)</f>
        <v>54.6</v>
      </c>
      <c r="E182">
        <f>_xlfn.XLOOKUP(A182,'Subbu- Mini Project EXcel Clean'!A182:A1181,'Subbu- Mini Project EXcel Clean'!F182:F1181,"Entry Level",0)</f>
        <v>70.3</v>
      </c>
      <c r="F182">
        <f>_xlfn.XLOOKUP(A182,'Subbu- Mini Project EXcel Clean'!A182:A1181,'Subbu- Mini Project EXcel Clean'!G182:G1181," ",0)</f>
        <v>64.55</v>
      </c>
      <c r="G182" t="str">
        <f>_xlfn.XLOOKUP(A182,'Subbu- Mini Project EXcel Clean'!A182:A1181,'Subbu- Mini Project EXcel Clean'!H182:H1181," ",0)</f>
        <v>Pass</v>
      </c>
      <c r="H182" t="str">
        <f>VLOOKUP(A182,'Subbu- Mini Project EXcel Clean'!A181:R1181,18,)</f>
        <v>Master</v>
      </c>
    </row>
    <row r="183" spans="1:8" x14ac:dyDescent="0.25">
      <c r="A183" t="s">
        <v>211</v>
      </c>
      <c r="B183">
        <f>VLOOKUP(A183,'Subbu- Mini Project EXcel Clean'!A182:R1182,2,FALSE)</f>
        <v>52.9</v>
      </c>
      <c r="C183">
        <f>VLOOKUP(A183,'Subbu- Mini Project EXcel Clean'!A182:R1182,3,FALSE)</f>
        <v>47.7</v>
      </c>
      <c r="D183">
        <f>_xlfn.XLOOKUP(A183,'Subbu- Mini Project EXcel Clean'!A183:A1182,'Subbu- Mini Project EXcel Clean'!D183:D1182,"Entry Level",0)</f>
        <v>43.2</v>
      </c>
      <c r="E183">
        <f>_xlfn.XLOOKUP(A183,'Subbu- Mini Project EXcel Clean'!A183:A1182,'Subbu- Mini Project EXcel Clean'!F183:F1182,"Entry Level",0)</f>
        <v>64.8</v>
      </c>
      <c r="F183">
        <f>_xlfn.XLOOKUP(A183,'Subbu- Mini Project EXcel Clean'!A183:A1182,'Subbu- Mini Project EXcel Clean'!G183:G1182," ",0)</f>
        <v>55.5</v>
      </c>
      <c r="G183" t="str">
        <f>_xlfn.XLOOKUP(A183,'Subbu- Mini Project EXcel Clean'!A183:A1182,'Subbu- Mini Project EXcel Clean'!H183:H1182," ",0)</f>
        <v>Pass</v>
      </c>
      <c r="H183" t="str">
        <f>VLOOKUP(A183,'Subbu- Mini Project EXcel Clean'!A182:R1182,18,)</f>
        <v>Master</v>
      </c>
    </row>
    <row r="184" spans="1:8" x14ac:dyDescent="0.25">
      <c r="A184" t="s">
        <v>212</v>
      </c>
      <c r="B184">
        <f>VLOOKUP(A184,'Subbu- Mini Project EXcel Clean'!A183:R1183,2,FALSE)</f>
        <v>91.8</v>
      </c>
      <c r="C184">
        <f>VLOOKUP(A184,'Subbu- Mini Project EXcel Clean'!A183:R1183,3,FALSE)</f>
        <v>93.5</v>
      </c>
      <c r="D184">
        <f>_xlfn.XLOOKUP(A184,'Subbu- Mini Project EXcel Clean'!A184:A1183,'Subbu- Mini Project EXcel Clean'!D184:D1183,"Entry Level",0)</f>
        <v>88.2</v>
      </c>
      <c r="E184">
        <f>_xlfn.XLOOKUP(A184,'Subbu- Mini Project EXcel Clean'!A184:A1183,'Subbu- Mini Project EXcel Clean'!F184:F1183,"Entry Level",0)</f>
        <v>90.7</v>
      </c>
      <c r="F184">
        <f>_xlfn.XLOOKUP(A184,'Subbu- Mini Project EXcel Clean'!A184:A1183,'Subbu- Mini Project EXcel Clean'!G184:G1183," ",0)</f>
        <v>90.8</v>
      </c>
      <c r="G184" t="str">
        <f>_xlfn.XLOOKUP(A184,'Subbu- Mini Project EXcel Clean'!A184:A1183,'Subbu- Mini Project EXcel Clean'!H184:H1183," ",0)</f>
        <v>Pass</v>
      </c>
      <c r="H184" t="str">
        <f>VLOOKUP(A184,'Subbu- Mini Project EXcel Clean'!A183:R1183,18,)</f>
        <v>High School</v>
      </c>
    </row>
    <row r="185" spans="1:8" x14ac:dyDescent="0.25">
      <c r="A185" t="s">
        <v>213</v>
      </c>
      <c r="B185">
        <f>VLOOKUP(A185,'Subbu- Mini Project EXcel Clean'!A184:R1184,2,FALSE)</f>
        <v>91.8</v>
      </c>
      <c r="C185">
        <f>VLOOKUP(A185,'Subbu- Mini Project EXcel Clean'!A184:R1184,3,FALSE)</f>
        <v>91.5</v>
      </c>
      <c r="D185">
        <f>_xlfn.XLOOKUP(A185,'Subbu- Mini Project EXcel Clean'!A185:A1184,'Subbu- Mini Project EXcel Clean'!D185:D1184,"Entry Level",0)</f>
        <v>83</v>
      </c>
      <c r="E185">
        <f>_xlfn.XLOOKUP(A185,'Subbu- Mini Project EXcel Clean'!A185:A1184,'Subbu- Mini Project EXcel Clean'!F185:F1184,"Entry Level",0)</f>
        <v>93.9</v>
      </c>
      <c r="F185">
        <f>_xlfn.XLOOKUP(A185,'Subbu- Mini Project EXcel Clean'!A185:A1184,'Subbu- Mini Project EXcel Clean'!G185:G1184," ",0)</f>
        <v>91.1</v>
      </c>
      <c r="G185" t="str">
        <f>_xlfn.XLOOKUP(A185,'Subbu- Mini Project EXcel Clean'!A185:A1184,'Subbu- Mini Project EXcel Clean'!H185:H1184," ",0)</f>
        <v>Pass</v>
      </c>
      <c r="H185" t="str">
        <f>VLOOKUP(A185,'Subbu- Mini Project EXcel Clean'!A184:R1184,18,)</f>
        <v>Master</v>
      </c>
    </row>
    <row r="186" spans="1:8" x14ac:dyDescent="0.25">
      <c r="A186" t="s">
        <v>214</v>
      </c>
      <c r="B186">
        <f>VLOOKUP(A186,'Subbu- Mini Project EXcel Clean'!A185:R1185,2,FALSE)</f>
        <v>53.7</v>
      </c>
      <c r="C186">
        <f>VLOOKUP(A186,'Subbu- Mini Project EXcel Clean'!A185:R1185,3,FALSE)</f>
        <v>57</v>
      </c>
      <c r="D186">
        <f>_xlfn.XLOOKUP(A186,'Subbu- Mini Project EXcel Clean'!A186:A1185,'Subbu- Mini Project EXcel Clean'!D186:D1185,"Entry Level",0)</f>
        <v>60.3</v>
      </c>
      <c r="E186">
        <f>_xlfn.XLOOKUP(A186,'Subbu- Mini Project EXcel Clean'!A186:A1185,'Subbu- Mini Project EXcel Clean'!F186:F1185,"Entry Level",0)</f>
        <v>60.8</v>
      </c>
      <c r="F186">
        <f>_xlfn.XLOOKUP(A186,'Subbu- Mini Project EXcel Clean'!A186:A1185,'Subbu- Mini Project EXcel Clean'!G186:G1185," ",0)</f>
        <v>57.5</v>
      </c>
      <c r="G186" t="str">
        <f>_xlfn.XLOOKUP(A186,'Subbu- Mini Project EXcel Clean'!A186:A1185,'Subbu- Mini Project EXcel Clean'!H186:H1185," ",0)</f>
        <v>Pass</v>
      </c>
      <c r="H186" t="str">
        <f>VLOOKUP(A186,'Subbu- Mini Project EXcel Clean'!A185:R1185,18,)</f>
        <v>Master</v>
      </c>
    </row>
    <row r="187" spans="1:8" x14ac:dyDescent="0.25">
      <c r="A187" t="s">
        <v>215</v>
      </c>
      <c r="B187">
        <f>VLOOKUP(A187,'Subbu- Mini Project EXcel Clean'!A186:R1186,2,FALSE)</f>
        <v>83.5</v>
      </c>
      <c r="C187">
        <f>VLOOKUP(A187,'Subbu- Mini Project EXcel Clean'!A186:R1186,3,FALSE)</f>
        <v>76.7</v>
      </c>
      <c r="D187">
        <f>_xlfn.XLOOKUP(A187,'Subbu- Mini Project EXcel Clean'!A187:A1186,'Subbu- Mini Project EXcel Clean'!D187:D1186,"Entry Level",0)</f>
        <v>75</v>
      </c>
      <c r="E187">
        <f>_xlfn.XLOOKUP(A187,'Subbu- Mini Project EXcel Clean'!A187:A1186,'Subbu- Mini Project EXcel Clean'!F187:F1186,"Entry Level",0)</f>
        <v>82</v>
      </c>
      <c r="F187">
        <f>_xlfn.XLOOKUP(A187,'Subbu- Mini Project EXcel Clean'!A187:A1186,'Subbu- Mini Project EXcel Clean'!G187:G1186," ",0)</f>
        <v>79.150000000000006</v>
      </c>
      <c r="G187" t="str">
        <f>_xlfn.XLOOKUP(A187,'Subbu- Mini Project EXcel Clean'!A187:A1186,'Subbu- Mini Project EXcel Clean'!H187:H1186," ",0)</f>
        <v>Pass</v>
      </c>
      <c r="H187" t="str">
        <f>VLOOKUP(A187,'Subbu- Mini Project EXcel Clean'!A186:R1186,18,)</f>
        <v>High School</v>
      </c>
    </row>
    <row r="188" spans="1:8" x14ac:dyDescent="0.25">
      <c r="A188" t="s">
        <v>216</v>
      </c>
      <c r="B188">
        <f>VLOOKUP(A188,'Subbu- Mini Project EXcel Clean'!A187:R1187,2,FALSE)</f>
        <v>81.599999999999994</v>
      </c>
      <c r="C188">
        <f>VLOOKUP(A188,'Subbu- Mini Project EXcel Clean'!A187:R1187,3,FALSE)</f>
        <v>84</v>
      </c>
      <c r="D188">
        <f>_xlfn.XLOOKUP(A188,'Subbu- Mini Project EXcel Clean'!A188:A1187,'Subbu- Mini Project EXcel Clean'!D188:D1187,"Entry Level",0)</f>
        <v>86.7</v>
      </c>
      <c r="E188">
        <f>_xlfn.XLOOKUP(A188,'Subbu- Mini Project EXcel Clean'!A188:A1187,'Subbu- Mini Project EXcel Clean'!F188:F1187,"Entry Level",0)</f>
        <v>77.599999999999994</v>
      </c>
      <c r="F188">
        <f>_xlfn.XLOOKUP(A188,'Subbu- Mini Project EXcel Clean'!A188:A1187,'Subbu- Mini Project EXcel Clean'!G188:G1187," ",0)</f>
        <v>81.25</v>
      </c>
      <c r="G188" t="str">
        <f>_xlfn.XLOOKUP(A188,'Subbu- Mini Project EXcel Clean'!A188:A1187,'Subbu- Mini Project EXcel Clean'!H188:H1187," ",0)</f>
        <v>Pass</v>
      </c>
      <c r="H188" t="str">
        <f>VLOOKUP(A188,'Subbu- Mini Project EXcel Clean'!A187:R1187,18,)</f>
        <v>Bachelor</v>
      </c>
    </row>
    <row r="189" spans="1:8" x14ac:dyDescent="0.25">
      <c r="A189" t="s">
        <v>217</v>
      </c>
      <c r="B189">
        <f>VLOOKUP(A189,'Subbu- Mini Project EXcel Clean'!A188:R1188,2,FALSE)</f>
        <v>79.5</v>
      </c>
      <c r="C189">
        <f>VLOOKUP(A189,'Subbu- Mini Project EXcel Clean'!A188:R1188,3,FALSE)</f>
        <v>69.8</v>
      </c>
      <c r="D189">
        <f>_xlfn.XLOOKUP(A189,'Subbu- Mini Project EXcel Clean'!A189:A1188,'Subbu- Mini Project EXcel Clean'!D189:D1188,"Entry Level",0)</f>
        <v>67.7</v>
      </c>
      <c r="E189">
        <f>_xlfn.XLOOKUP(A189,'Subbu- Mini Project EXcel Clean'!A189:A1188,'Subbu- Mini Project EXcel Clean'!F189:F1188,"Entry Level",0)</f>
        <v>75.5</v>
      </c>
      <c r="F189">
        <f>_xlfn.XLOOKUP(A189,'Subbu- Mini Project EXcel Clean'!A189:A1188,'Subbu- Mini Project EXcel Clean'!G189:G1188," ",0)</f>
        <v>73</v>
      </c>
      <c r="G189" t="str">
        <f>_xlfn.XLOOKUP(A189,'Subbu- Mini Project EXcel Clean'!A189:A1188,'Subbu- Mini Project EXcel Clean'!H189:H1188," ",0)</f>
        <v>Pass</v>
      </c>
      <c r="H189" t="str">
        <f>VLOOKUP(A189,'Subbu- Mini Project EXcel Clean'!A188:R1188,18,)</f>
        <v>Bachelor</v>
      </c>
    </row>
    <row r="190" spans="1:8" x14ac:dyDescent="0.25">
      <c r="A190" t="s">
        <v>218</v>
      </c>
      <c r="B190">
        <f>VLOOKUP(A190,'Subbu- Mini Project EXcel Clean'!A189:R1189,2,FALSE)</f>
        <v>68.900000000000006</v>
      </c>
      <c r="C190">
        <f>VLOOKUP(A190,'Subbu- Mini Project EXcel Clean'!A189:R1189,3,FALSE)</f>
        <v>68.2</v>
      </c>
      <c r="D190">
        <f>_xlfn.XLOOKUP(A190,'Subbu- Mini Project EXcel Clean'!A190:A1189,'Subbu- Mini Project EXcel Clean'!D190:D1189,"Entry Level",0)</f>
        <v>60</v>
      </c>
      <c r="E190">
        <f>_xlfn.XLOOKUP(A190,'Subbu- Mini Project EXcel Clean'!A190:A1189,'Subbu- Mini Project EXcel Clean'!F190:F1189,"Entry Level",0)</f>
        <v>63.6</v>
      </c>
      <c r="F190">
        <f>_xlfn.XLOOKUP(A190,'Subbu- Mini Project EXcel Clean'!A190:A1189,'Subbu- Mini Project EXcel Clean'!G190:G1189," ",0)</f>
        <v>66.349999999999994</v>
      </c>
      <c r="G190" t="str">
        <f>_xlfn.XLOOKUP(A190,'Subbu- Mini Project EXcel Clean'!A190:A1189,'Subbu- Mini Project EXcel Clean'!H190:H1189," ",0)</f>
        <v>Pass</v>
      </c>
      <c r="H190" t="str">
        <f>VLOOKUP(A190,'Subbu- Mini Project EXcel Clean'!A189:R1189,18,)</f>
        <v>High School</v>
      </c>
    </row>
    <row r="191" spans="1:8" x14ac:dyDescent="0.25">
      <c r="A191" t="s">
        <v>219</v>
      </c>
      <c r="B191">
        <f>VLOOKUP(A191,'Subbu- Mini Project EXcel Clean'!A190:R1190,2,FALSE)</f>
        <v>46.1</v>
      </c>
      <c r="C191">
        <f>VLOOKUP(A191,'Subbu- Mini Project EXcel Clean'!A190:R1190,3,FALSE)</f>
        <v>59</v>
      </c>
      <c r="D191">
        <f>_xlfn.XLOOKUP(A191,'Subbu- Mini Project EXcel Clean'!A191:A1190,'Subbu- Mini Project EXcel Clean'!D191:D1190,"Entry Level",0)</f>
        <v>54.7</v>
      </c>
      <c r="E191">
        <f>_xlfn.XLOOKUP(A191,'Subbu- Mini Project EXcel Clean'!A191:A1190,'Subbu- Mini Project EXcel Clean'!F191:F1190,"Entry Level",0)</f>
        <v>54.7</v>
      </c>
      <c r="F191">
        <f>_xlfn.XLOOKUP(A191,'Subbu- Mini Project EXcel Clean'!A191:A1190,'Subbu- Mini Project EXcel Clean'!G191:G1190," ",0)</f>
        <v>54</v>
      </c>
      <c r="G191" t="str">
        <f>_xlfn.XLOOKUP(A191,'Subbu- Mini Project EXcel Clean'!A191:A1190,'Subbu- Mini Project EXcel Clean'!H191:H1190," ",0)</f>
        <v>Pass</v>
      </c>
      <c r="H191" t="str">
        <f>VLOOKUP(A191,'Subbu- Mini Project EXcel Clean'!A190:R1190,18,)</f>
        <v>Bachelor</v>
      </c>
    </row>
    <row r="192" spans="1:8" x14ac:dyDescent="0.25">
      <c r="A192" t="s">
        <v>220</v>
      </c>
      <c r="B192">
        <f>VLOOKUP(A192,'Subbu- Mini Project EXcel Clean'!A191:R1191,2,FALSE)</f>
        <v>45.8</v>
      </c>
      <c r="C192">
        <f>VLOOKUP(A192,'Subbu- Mini Project EXcel Clean'!A191:R1191,3,FALSE)</f>
        <v>48.1</v>
      </c>
      <c r="D192">
        <f>_xlfn.XLOOKUP(A192,'Subbu- Mini Project EXcel Clean'!A192:A1191,'Subbu- Mini Project EXcel Clean'!D192:D1191,"Entry Level",0)</f>
        <v>35.6</v>
      </c>
      <c r="E192">
        <f>_xlfn.XLOOKUP(A192,'Subbu- Mini Project EXcel Clean'!A192:A1191,'Subbu- Mini Project EXcel Clean'!F192:F1191,"Entry Level",0)</f>
        <v>68.2</v>
      </c>
      <c r="F192">
        <f>_xlfn.XLOOKUP(A192,'Subbu- Mini Project EXcel Clean'!A192:A1191,'Subbu- Mini Project EXcel Clean'!G192:G1191," ",0)</f>
        <v>56.65</v>
      </c>
      <c r="G192" t="str">
        <f>_xlfn.XLOOKUP(A192,'Subbu- Mini Project EXcel Clean'!A192:A1191,'Subbu- Mini Project EXcel Clean'!H192:H1191," ",0)</f>
        <v>Pass</v>
      </c>
      <c r="H192" t="str">
        <f>VLOOKUP(A192,'Subbu- Mini Project EXcel Clean'!A191:R1191,18,)</f>
        <v>Bachelor</v>
      </c>
    </row>
    <row r="193" spans="1:8" x14ac:dyDescent="0.25">
      <c r="A193" t="s">
        <v>221</v>
      </c>
      <c r="B193">
        <f>VLOOKUP(A193,'Subbu- Mini Project EXcel Clean'!A192:R1192,2,FALSE)</f>
        <v>85.9</v>
      </c>
      <c r="C193">
        <f>VLOOKUP(A193,'Subbu- Mini Project EXcel Clean'!A192:R1192,3,FALSE)</f>
        <v>74.599999999999994</v>
      </c>
      <c r="D193">
        <f>_xlfn.XLOOKUP(A193,'Subbu- Mini Project EXcel Clean'!A193:A1192,'Subbu- Mini Project EXcel Clean'!D193:D1192,"Entry Level",0)</f>
        <v>89</v>
      </c>
      <c r="E193">
        <f>_xlfn.XLOOKUP(A193,'Subbu- Mini Project EXcel Clean'!A193:A1192,'Subbu- Mini Project EXcel Clean'!F193:F1192,"Entry Level",0)</f>
        <v>72.599999999999994</v>
      </c>
      <c r="F193">
        <f>_xlfn.XLOOKUP(A193,'Subbu- Mini Project EXcel Clean'!A193:A1192,'Subbu- Mini Project EXcel Clean'!G193:G1192," ",0)</f>
        <v>80.95</v>
      </c>
      <c r="G193" t="str">
        <f>_xlfn.XLOOKUP(A193,'Subbu- Mini Project EXcel Clean'!A193:A1192,'Subbu- Mini Project EXcel Clean'!H193:H1192," ",0)</f>
        <v>Pass</v>
      </c>
      <c r="H193" t="str">
        <f>VLOOKUP(A193,'Subbu- Mini Project EXcel Clean'!A192:R1192,18,)</f>
        <v>Bachelor</v>
      </c>
    </row>
    <row r="194" spans="1:8" x14ac:dyDescent="0.25">
      <c r="A194" t="s">
        <v>222</v>
      </c>
      <c r="B194">
        <f>VLOOKUP(A194,'Subbu- Mini Project EXcel Clean'!A193:R1193,2,FALSE)</f>
        <v>93.7</v>
      </c>
      <c r="C194">
        <f>VLOOKUP(A194,'Subbu- Mini Project EXcel Clean'!A193:R1193,3,FALSE)</f>
        <v>92.8</v>
      </c>
      <c r="D194">
        <f>_xlfn.XLOOKUP(A194,'Subbu- Mini Project EXcel Clean'!A194:A1193,'Subbu- Mini Project EXcel Clean'!D194:D1193,"Entry Level",0)</f>
        <v>82.7</v>
      </c>
      <c r="E194">
        <f>_xlfn.XLOOKUP(A194,'Subbu- Mini Project EXcel Clean'!A194:A1193,'Subbu- Mini Project EXcel Clean'!F194:F1193,"Entry Level",0)</f>
        <v>96.8</v>
      </c>
      <c r="F194">
        <f>_xlfn.XLOOKUP(A194,'Subbu- Mini Project EXcel Clean'!A194:A1193,'Subbu- Mini Project EXcel Clean'!G194:G1193," ",0)</f>
        <v>93.15</v>
      </c>
      <c r="G194" t="str">
        <f>_xlfn.XLOOKUP(A194,'Subbu- Mini Project EXcel Clean'!A194:A1193,'Subbu- Mini Project EXcel Clean'!H194:H1193," ",0)</f>
        <v>Pass</v>
      </c>
      <c r="H194" t="str">
        <f>VLOOKUP(A194,'Subbu- Mini Project EXcel Clean'!A193:R1193,18,)</f>
        <v>Master</v>
      </c>
    </row>
    <row r="195" spans="1:8" x14ac:dyDescent="0.25">
      <c r="A195" t="s">
        <v>223</v>
      </c>
      <c r="B195">
        <f>VLOOKUP(A195,'Subbu- Mini Project EXcel Clean'!A194:R1194,2,FALSE)</f>
        <v>71.599999999999994</v>
      </c>
      <c r="C195">
        <f>VLOOKUP(A195,'Subbu- Mini Project EXcel Clean'!A194:R1194,3,FALSE)</f>
        <v>75.8</v>
      </c>
      <c r="D195">
        <f>_xlfn.XLOOKUP(A195,'Subbu- Mini Project EXcel Clean'!A195:A1194,'Subbu- Mini Project EXcel Clean'!D195:D1194,"Entry Level",0)</f>
        <v>84.8</v>
      </c>
      <c r="E195">
        <f>_xlfn.XLOOKUP(A195,'Subbu- Mini Project EXcel Clean'!A195:A1194,'Subbu- Mini Project EXcel Clean'!F195:F1194,"Entry Level",0)</f>
        <v>78.599999999999994</v>
      </c>
      <c r="F195">
        <f>_xlfn.XLOOKUP(A195,'Subbu- Mini Project EXcel Clean'!A195:A1194,'Subbu- Mini Project EXcel Clean'!G195:G1194," ",0)</f>
        <v>76.7</v>
      </c>
      <c r="G195" t="str">
        <f>_xlfn.XLOOKUP(A195,'Subbu- Mini Project EXcel Clean'!A195:A1194,'Subbu- Mini Project EXcel Clean'!H195:H1194," ",0)</f>
        <v>Pass</v>
      </c>
      <c r="H195" t="str">
        <f>VLOOKUP(A195,'Subbu- Mini Project EXcel Clean'!A194:R1194,18,)</f>
        <v>Master</v>
      </c>
    </row>
    <row r="196" spans="1:8" x14ac:dyDescent="0.25">
      <c r="A196" t="s">
        <v>224</v>
      </c>
      <c r="B196">
        <f>VLOOKUP(A196,'Subbu- Mini Project EXcel Clean'!A195:R1195,2,FALSE)</f>
        <v>56.4</v>
      </c>
      <c r="C196">
        <f>VLOOKUP(A196,'Subbu- Mini Project EXcel Clean'!A195:R1195,3,FALSE)</f>
        <v>58.6</v>
      </c>
      <c r="D196">
        <f>_xlfn.XLOOKUP(A196,'Subbu- Mini Project EXcel Clean'!A196:A1195,'Subbu- Mini Project EXcel Clean'!D196:D1195,"Entry Level",0)</f>
        <v>63.2</v>
      </c>
      <c r="E196">
        <f>_xlfn.XLOOKUP(A196,'Subbu- Mini Project EXcel Clean'!A196:A1195,'Subbu- Mini Project EXcel Clean'!F196:F1195,"Entry Level",0)</f>
        <v>62.1</v>
      </c>
      <c r="F196">
        <f>_xlfn.XLOOKUP(A196,'Subbu- Mini Project EXcel Clean'!A196:A1195,'Subbu- Mini Project EXcel Clean'!G196:G1195," ",0)</f>
        <v>60.35</v>
      </c>
      <c r="G196" t="str">
        <f>_xlfn.XLOOKUP(A196,'Subbu- Mini Project EXcel Clean'!A196:A1195,'Subbu- Mini Project EXcel Clean'!H196:H1195," ",0)</f>
        <v>Pass</v>
      </c>
      <c r="H196" t="str">
        <f>VLOOKUP(A196,'Subbu- Mini Project EXcel Clean'!A195:R1195,18,)</f>
        <v>Master</v>
      </c>
    </row>
    <row r="197" spans="1:8" x14ac:dyDescent="0.25">
      <c r="A197" t="s">
        <v>225</v>
      </c>
      <c r="B197">
        <f>VLOOKUP(A197,'Subbu- Mini Project EXcel Clean'!A196:R1196,2,FALSE)</f>
        <v>49.8</v>
      </c>
      <c r="C197">
        <f>VLOOKUP(A197,'Subbu- Mini Project EXcel Clean'!A196:R1196,3,FALSE)</f>
        <v>57.3</v>
      </c>
      <c r="D197">
        <f>_xlfn.XLOOKUP(A197,'Subbu- Mini Project EXcel Clean'!A197:A1196,'Subbu- Mini Project EXcel Clean'!D197:D1196,"Entry Level",0)</f>
        <v>59.7</v>
      </c>
      <c r="E197">
        <f>_xlfn.XLOOKUP(A197,'Subbu- Mini Project EXcel Clean'!A197:A1196,'Subbu- Mini Project EXcel Clean'!F197:F1196,"Entry Level",0)</f>
        <v>47.2</v>
      </c>
      <c r="F197">
        <f>_xlfn.XLOOKUP(A197,'Subbu- Mini Project EXcel Clean'!A197:A1196,'Subbu- Mini Project EXcel Clean'!G197:G1196," ",0)</f>
        <v>53.2</v>
      </c>
      <c r="G197" t="str">
        <f>_xlfn.XLOOKUP(A197,'Subbu- Mini Project EXcel Clean'!A197:A1196,'Subbu- Mini Project EXcel Clean'!H197:H1196," ",0)</f>
        <v>Pass</v>
      </c>
      <c r="H197" t="str">
        <f>VLOOKUP(A197,'Subbu- Mini Project EXcel Clean'!A196:R1196,18,)</f>
        <v>Bachelor</v>
      </c>
    </row>
    <row r="198" spans="1:8" x14ac:dyDescent="0.25">
      <c r="A198" t="s">
        <v>226</v>
      </c>
      <c r="B198">
        <f>VLOOKUP(A198,'Subbu- Mini Project EXcel Clean'!A197:R1197,2,FALSE)</f>
        <v>77.7</v>
      </c>
      <c r="C198">
        <f>VLOOKUP(A198,'Subbu- Mini Project EXcel Clean'!A197:R1197,3,FALSE)</f>
        <v>85.5</v>
      </c>
      <c r="D198">
        <f>_xlfn.XLOOKUP(A198,'Subbu- Mini Project EXcel Clean'!A198:A1197,'Subbu- Mini Project EXcel Clean'!D198:D1197,"Entry Level",0)</f>
        <v>86.2</v>
      </c>
      <c r="E198">
        <f>_xlfn.XLOOKUP(A198,'Subbu- Mini Project EXcel Clean'!A198:A1197,'Subbu- Mini Project EXcel Clean'!F198:F1197,"Entry Level",0)</f>
        <v>93.7</v>
      </c>
      <c r="F198">
        <f>_xlfn.XLOOKUP(A198,'Subbu- Mini Project EXcel Clean'!A198:A1197,'Subbu- Mini Project EXcel Clean'!G198:G1197," ",0)</f>
        <v>86.8</v>
      </c>
      <c r="G198" t="str">
        <f>_xlfn.XLOOKUP(A198,'Subbu- Mini Project EXcel Clean'!A198:A1197,'Subbu- Mini Project EXcel Clean'!H198:H1197," ",0)</f>
        <v>Pass</v>
      </c>
      <c r="H198" t="str">
        <f>VLOOKUP(A198,'Subbu- Mini Project EXcel Clean'!A197:R1197,18,)</f>
        <v>Master</v>
      </c>
    </row>
    <row r="199" spans="1:8" x14ac:dyDescent="0.25">
      <c r="A199" t="s">
        <v>227</v>
      </c>
      <c r="B199">
        <f>VLOOKUP(A199,'Subbu- Mini Project EXcel Clean'!A198:R1198,2,FALSE)</f>
        <v>77.2</v>
      </c>
      <c r="C199">
        <f>VLOOKUP(A199,'Subbu- Mini Project EXcel Clean'!A198:R1198,3,FALSE)</f>
        <v>94.1</v>
      </c>
      <c r="D199">
        <f>_xlfn.XLOOKUP(A199,'Subbu- Mini Project EXcel Clean'!A199:A1198,'Subbu- Mini Project EXcel Clean'!D199:D1198,"Entry Level",0)</f>
        <v>85.1</v>
      </c>
      <c r="E199">
        <f>_xlfn.XLOOKUP(A199,'Subbu- Mini Project EXcel Clean'!A199:A1198,'Subbu- Mini Project EXcel Clean'!F199:F1198,"Entry Level",0)</f>
        <v>87</v>
      </c>
      <c r="F199">
        <f>_xlfn.XLOOKUP(A199,'Subbu- Mini Project EXcel Clean'!A199:A1198,'Subbu- Mini Project EXcel Clean'!G199:G1198," ",0)</f>
        <v>88.15</v>
      </c>
      <c r="G199" t="str">
        <f>_xlfn.XLOOKUP(A199,'Subbu- Mini Project EXcel Clean'!A199:A1198,'Subbu- Mini Project EXcel Clean'!H199:H1198," ",0)</f>
        <v>Pass</v>
      </c>
      <c r="H199" t="str">
        <f>VLOOKUP(A199,'Subbu- Mini Project EXcel Clean'!A198:R1198,18,)</f>
        <v>Bachelor</v>
      </c>
    </row>
    <row r="200" spans="1:8" x14ac:dyDescent="0.25">
      <c r="A200" t="s">
        <v>228</v>
      </c>
      <c r="B200">
        <f>VLOOKUP(A200,'Subbu- Mini Project EXcel Clean'!A199:R1199,2,FALSE)</f>
        <v>80.900000000000006</v>
      </c>
      <c r="C200">
        <f>VLOOKUP(A200,'Subbu- Mini Project EXcel Clean'!A199:R1199,3,FALSE)</f>
        <v>84.9</v>
      </c>
      <c r="D200">
        <f>_xlfn.XLOOKUP(A200,'Subbu- Mini Project EXcel Clean'!A200:A1199,'Subbu- Mini Project EXcel Clean'!D200:D1199,"Entry Level",0)</f>
        <v>91.5</v>
      </c>
      <c r="E200">
        <f>_xlfn.XLOOKUP(A200,'Subbu- Mini Project EXcel Clean'!A200:A1199,'Subbu- Mini Project EXcel Clean'!F200:F1199,"Entry Level",0)</f>
        <v>90.6</v>
      </c>
      <c r="F200">
        <f>_xlfn.XLOOKUP(A200,'Subbu- Mini Project EXcel Clean'!A200:A1199,'Subbu- Mini Project EXcel Clean'!G200:G1199," ",0)</f>
        <v>89.7</v>
      </c>
      <c r="G200" t="str">
        <f>_xlfn.XLOOKUP(A200,'Subbu- Mini Project EXcel Clean'!A200:A1199,'Subbu- Mini Project EXcel Clean'!H200:H1199," ",0)</f>
        <v>Pass</v>
      </c>
      <c r="H200" t="str">
        <f>VLOOKUP(A200,'Subbu- Mini Project EXcel Clean'!A199:R1199,18,)</f>
        <v>High School</v>
      </c>
    </row>
    <row r="201" spans="1:8" x14ac:dyDescent="0.25">
      <c r="A201" t="s">
        <v>229</v>
      </c>
      <c r="B201">
        <f>VLOOKUP(A201,'Subbu- Mini Project EXcel Clean'!A200:R1200,2,FALSE)</f>
        <v>86.7</v>
      </c>
      <c r="C201">
        <f>VLOOKUP(A201,'Subbu- Mini Project EXcel Clean'!A200:R1200,3,FALSE)</f>
        <v>84.9</v>
      </c>
      <c r="D201">
        <f>_xlfn.XLOOKUP(A201,'Subbu- Mini Project EXcel Clean'!A201:A1200,'Subbu- Mini Project EXcel Clean'!D201:D1200,"Entry Level",0)</f>
        <v>83.9</v>
      </c>
      <c r="E201">
        <f>_xlfn.XLOOKUP(A201,'Subbu- Mini Project EXcel Clean'!A201:A1200,'Subbu- Mini Project EXcel Clean'!F201:F1200,"Entry Level",0)</f>
        <v>88.5</v>
      </c>
      <c r="F201">
        <f>_xlfn.XLOOKUP(A201,'Subbu- Mini Project EXcel Clean'!A201:A1200,'Subbu- Mini Project EXcel Clean'!G201:G1200," ",0)</f>
        <v>85.7</v>
      </c>
      <c r="G201" t="str">
        <f>_xlfn.XLOOKUP(A201,'Subbu- Mini Project EXcel Clean'!A201:A1200,'Subbu- Mini Project EXcel Clean'!H201:H1200," ",0)</f>
        <v>Pass</v>
      </c>
      <c r="H201" t="str">
        <f>VLOOKUP(A201,'Subbu- Mini Project EXcel Clean'!A200:R1200,18,)</f>
        <v>Bachelor</v>
      </c>
    </row>
    <row r="202" spans="1:8" x14ac:dyDescent="0.25">
      <c r="A202" t="s">
        <v>230</v>
      </c>
      <c r="B202">
        <f>VLOOKUP(A202,'Subbu- Mini Project EXcel Clean'!A201:R1201,2,FALSE)</f>
        <v>79.2</v>
      </c>
      <c r="C202">
        <f>VLOOKUP(A202,'Subbu- Mini Project EXcel Clean'!A201:R1201,3,FALSE)</f>
        <v>70.5</v>
      </c>
      <c r="D202">
        <f>_xlfn.XLOOKUP(A202,'Subbu- Mini Project EXcel Clean'!A202:A1201,'Subbu- Mini Project EXcel Clean'!D202:D1201,"Entry Level",0)</f>
        <v>76.599999999999994</v>
      </c>
      <c r="E202">
        <f>_xlfn.XLOOKUP(A202,'Subbu- Mini Project EXcel Clean'!A202:A1201,'Subbu- Mini Project EXcel Clean'!F202:F1201,"Entry Level",0)</f>
        <v>82.2</v>
      </c>
      <c r="F202">
        <f>_xlfn.XLOOKUP(A202,'Subbu- Mini Project EXcel Clean'!A202:A1201,'Subbu- Mini Project EXcel Clean'!G202:G1201," ",0)</f>
        <v>78.75</v>
      </c>
      <c r="G202" t="str">
        <f>_xlfn.XLOOKUP(A202,'Subbu- Mini Project EXcel Clean'!A202:A1201,'Subbu- Mini Project EXcel Clean'!H202:H1201," ",0)</f>
        <v>Pass</v>
      </c>
      <c r="H202" t="str">
        <f>VLOOKUP(A202,'Subbu- Mini Project EXcel Clean'!A201:R1201,18,)</f>
        <v>Master</v>
      </c>
    </row>
    <row r="203" spans="1:8" x14ac:dyDescent="0.25">
      <c r="A203" t="s">
        <v>231</v>
      </c>
      <c r="B203">
        <f>VLOOKUP(A203,'Subbu- Mini Project EXcel Clean'!A202:R1202,2,FALSE)</f>
        <v>46.8</v>
      </c>
      <c r="C203">
        <f>VLOOKUP(A203,'Subbu- Mini Project EXcel Clean'!A202:R1202,3,FALSE)</f>
        <v>37.700000000000003</v>
      </c>
      <c r="D203">
        <f>_xlfn.XLOOKUP(A203,'Subbu- Mini Project EXcel Clean'!A203:A1202,'Subbu- Mini Project EXcel Clean'!D203:D1202,"Entry Level",0)</f>
        <v>51</v>
      </c>
      <c r="E203">
        <f>_xlfn.XLOOKUP(A203,'Subbu- Mini Project EXcel Clean'!A203:A1202,'Subbu- Mini Project EXcel Clean'!F203:F1202,"Entry Level",0)</f>
        <v>54.6</v>
      </c>
      <c r="F203">
        <f>_xlfn.XLOOKUP(A203,'Subbu- Mini Project EXcel Clean'!A203:A1202,'Subbu- Mini Project EXcel Clean'!G203:G1202," ",0)</f>
        <v>49.6</v>
      </c>
      <c r="G203" t="str">
        <f>_xlfn.XLOOKUP(A203,'Subbu- Mini Project EXcel Clean'!A203:A1202,'Subbu- Mini Project EXcel Clean'!H203:H1202," ",0)</f>
        <v>Fail</v>
      </c>
      <c r="H203" t="str">
        <f>VLOOKUP(A203,'Subbu- Mini Project EXcel Clean'!A202:R1202,18,)</f>
        <v>Bachelor</v>
      </c>
    </row>
    <row r="204" spans="1:8" x14ac:dyDescent="0.25">
      <c r="A204" t="s">
        <v>232</v>
      </c>
      <c r="B204">
        <f>VLOOKUP(A204,'Subbu- Mini Project EXcel Clean'!A203:R1203,2,FALSE)</f>
        <v>44.1</v>
      </c>
      <c r="C204">
        <f>VLOOKUP(A204,'Subbu- Mini Project EXcel Clean'!A203:R1203,3,FALSE)</f>
        <v>45.8</v>
      </c>
      <c r="D204">
        <f>_xlfn.XLOOKUP(A204,'Subbu- Mini Project EXcel Clean'!A204:A1203,'Subbu- Mini Project EXcel Clean'!D204:D1203,"Entry Level",0)</f>
        <v>52.6</v>
      </c>
      <c r="E204">
        <f>_xlfn.XLOOKUP(A204,'Subbu- Mini Project EXcel Clean'!A204:A1203,'Subbu- Mini Project EXcel Clean'!F204:F1203,"Entry Level",0)</f>
        <v>56.1</v>
      </c>
      <c r="F204">
        <f>_xlfn.XLOOKUP(A204,'Subbu- Mini Project EXcel Clean'!A204:A1203,'Subbu- Mini Project EXcel Clean'!G204:G1203," ",0)</f>
        <v>52.5</v>
      </c>
      <c r="G204" t="str">
        <f>_xlfn.XLOOKUP(A204,'Subbu- Mini Project EXcel Clean'!A204:A1203,'Subbu- Mini Project EXcel Clean'!H204:H1203," ",0)</f>
        <v>Pass</v>
      </c>
      <c r="H204" t="str">
        <f>VLOOKUP(A204,'Subbu- Mini Project EXcel Clean'!A203:R1203,18,)</f>
        <v>Master</v>
      </c>
    </row>
    <row r="205" spans="1:8" x14ac:dyDescent="0.25">
      <c r="A205" t="s">
        <v>233</v>
      </c>
      <c r="B205">
        <f>VLOOKUP(A205,'Subbu- Mini Project EXcel Clean'!A204:R1204,2,FALSE)</f>
        <v>89.2</v>
      </c>
      <c r="C205">
        <f>VLOOKUP(A205,'Subbu- Mini Project EXcel Clean'!A204:R1204,3,FALSE)</f>
        <v>93.7</v>
      </c>
      <c r="D205">
        <f>_xlfn.XLOOKUP(A205,'Subbu- Mini Project EXcel Clean'!A205:A1204,'Subbu- Mini Project EXcel Clean'!D205:D1204,"Entry Level",0)</f>
        <v>90.9</v>
      </c>
      <c r="E205">
        <f>_xlfn.XLOOKUP(A205,'Subbu- Mini Project EXcel Clean'!A205:A1204,'Subbu- Mini Project EXcel Clean'!F205:F1204,"Entry Level",0)</f>
        <v>83.9</v>
      </c>
      <c r="F205">
        <f>_xlfn.XLOOKUP(A205,'Subbu- Mini Project EXcel Clean'!A205:A1204,'Subbu- Mini Project EXcel Clean'!G205:G1204," ",0)</f>
        <v>86.65</v>
      </c>
      <c r="G205" t="str">
        <f>_xlfn.XLOOKUP(A205,'Subbu- Mini Project EXcel Clean'!A205:A1204,'Subbu- Mini Project EXcel Clean'!H205:H1204," ",0)</f>
        <v>Pass</v>
      </c>
      <c r="H205" t="str">
        <f>VLOOKUP(A205,'Subbu- Mini Project EXcel Clean'!A204:R1204,18,)</f>
        <v>Master</v>
      </c>
    </row>
    <row r="206" spans="1:8" x14ac:dyDescent="0.25">
      <c r="A206" t="s">
        <v>234</v>
      </c>
      <c r="B206">
        <f>VLOOKUP(A206,'Subbu- Mini Project EXcel Clean'!A205:R1205,2,FALSE)</f>
        <v>73.3</v>
      </c>
      <c r="C206">
        <f>VLOOKUP(A206,'Subbu- Mini Project EXcel Clean'!A205:R1205,3,FALSE)</f>
        <v>78.099999999999994</v>
      </c>
      <c r="D206">
        <f>_xlfn.XLOOKUP(A206,'Subbu- Mini Project EXcel Clean'!A206:A1205,'Subbu- Mini Project EXcel Clean'!D206:D1205,"Entry Level",0)</f>
        <v>65.099999999999994</v>
      </c>
      <c r="E206">
        <f>_xlfn.XLOOKUP(A206,'Subbu- Mini Project EXcel Clean'!A206:A1205,'Subbu- Mini Project EXcel Clean'!F206:F1205,"Entry Level",0)</f>
        <v>73.099999999999994</v>
      </c>
      <c r="F206">
        <f>_xlfn.XLOOKUP(A206,'Subbu- Mini Project EXcel Clean'!A206:A1205,'Subbu- Mini Project EXcel Clean'!G206:G1205," ",0)</f>
        <v>73.25</v>
      </c>
      <c r="G206" t="str">
        <f>_xlfn.XLOOKUP(A206,'Subbu- Mini Project EXcel Clean'!A206:A1205,'Subbu- Mini Project EXcel Clean'!H206:H1205," ",0)</f>
        <v>Pass</v>
      </c>
      <c r="H206" t="str">
        <f>VLOOKUP(A206,'Subbu- Mini Project EXcel Clean'!A205:R1205,18,)</f>
        <v>High School</v>
      </c>
    </row>
    <row r="207" spans="1:8" x14ac:dyDescent="0.25">
      <c r="A207" t="s">
        <v>235</v>
      </c>
      <c r="B207">
        <f>VLOOKUP(A207,'Subbu- Mini Project EXcel Clean'!A206:R1206,2,FALSE)</f>
        <v>34.700000000000003</v>
      </c>
      <c r="C207">
        <f>VLOOKUP(A207,'Subbu- Mini Project EXcel Clean'!A206:R1206,3,FALSE)</f>
        <v>43.1</v>
      </c>
      <c r="D207">
        <f>_xlfn.XLOOKUP(A207,'Subbu- Mini Project EXcel Clean'!A207:A1206,'Subbu- Mini Project EXcel Clean'!D207:D1206,"Entry Level",0)</f>
        <v>35.700000000000003</v>
      </c>
      <c r="E207">
        <f>_xlfn.XLOOKUP(A207,'Subbu- Mini Project EXcel Clean'!A207:A1206,'Subbu- Mini Project EXcel Clean'!F207:F1206,"Entry Level",0)</f>
        <v>60.5</v>
      </c>
      <c r="F207">
        <f>_xlfn.XLOOKUP(A207,'Subbu- Mini Project EXcel Clean'!A207:A1206,'Subbu- Mini Project EXcel Clean'!G207:G1206," ",0)</f>
        <v>50.5</v>
      </c>
      <c r="G207" t="str">
        <f>_xlfn.XLOOKUP(A207,'Subbu- Mini Project EXcel Clean'!A207:A1206,'Subbu- Mini Project EXcel Clean'!H207:H1206," ",0)</f>
        <v>Pass</v>
      </c>
      <c r="H207" t="str">
        <f>VLOOKUP(A207,'Subbu- Mini Project EXcel Clean'!A206:R1206,18,)</f>
        <v>High School</v>
      </c>
    </row>
    <row r="208" spans="1:8" x14ac:dyDescent="0.25">
      <c r="A208" t="s">
        <v>236</v>
      </c>
      <c r="B208">
        <f>VLOOKUP(A208,'Subbu- Mini Project EXcel Clean'!A207:R1207,2,FALSE)</f>
        <v>53.1</v>
      </c>
      <c r="C208">
        <f>VLOOKUP(A208,'Subbu- Mini Project EXcel Clean'!A207:R1207,3,FALSE)</f>
        <v>49.2</v>
      </c>
      <c r="D208">
        <f>_xlfn.XLOOKUP(A208,'Subbu- Mini Project EXcel Clean'!A208:A1207,'Subbu- Mini Project EXcel Clean'!D208:D1207,"Entry Level",0)</f>
        <v>45</v>
      </c>
      <c r="E208">
        <f>_xlfn.XLOOKUP(A208,'Subbu- Mini Project EXcel Clean'!A208:A1207,'Subbu- Mini Project EXcel Clean'!F208:F1207,"Entry Level",0)</f>
        <v>59.1</v>
      </c>
      <c r="F208">
        <f>_xlfn.XLOOKUP(A208,'Subbu- Mini Project EXcel Clean'!A208:A1207,'Subbu- Mini Project EXcel Clean'!G208:G1207," ",0)</f>
        <v>52.35</v>
      </c>
      <c r="G208" t="str">
        <f>_xlfn.XLOOKUP(A208,'Subbu- Mini Project EXcel Clean'!A208:A1207,'Subbu- Mini Project EXcel Clean'!H208:H1207," ",0)</f>
        <v>Pass</v>
      </c>
      <c r="H208" t="str">
        <f>VLOOKUP(A208,'Subbu- Mini Project EXcel Clean'!A207:R1207,18,)</f>
        <v>Master</v>
      </c>
    </row>
    <row r="209" spans="1:8" x14ac:dyDescent="0.25">
      <c r="A209" t="s">
        <v>237</v>
      </c>
      <c r="B209">
        <f>VLOOKUP(A209,'Subbu- Mini Project EXcel Clean'!A208:R1208,2,FALSE)</f>
        <v>80.900000000000006</v>
      </c>
      <c r="C209">
        <f>VLOOKUP(A209,'Subbu- Mini Project EXcel Clean'!A208:R1208,3,FALSE)</f>
        <v>79.099999999999994</v>
      </c>
      <c r="D209">
        <f>_xlfn.XLOOKUP(A209,'Subbu- Mini Project EXcel Clean'!A209:A1208,'Subbu- Mini Project EXcel Clean'!D209:D1208,"Entry Level",0)</f>
        <v>77</v>
      </c>
      <c r="E209">
        <f>_xlfn.XLOOKUP(A209,'Subbu- Mini Project EXcel Clean'!A209:A1208,'Subbu- Mini Project EXcel Clean'!F209:F1208,"Entry Level",0)</f>
        <v>72.8</v>
      </c>
      <c r="F209">
        <f>_xlfn.XLOOKUP(A209,'Subbu- Mini Project EXcel Clean'!A209:A1208,'Subbu- Mini Project EXcel Clean'!G209:G1208," ",0)</f>
        <v>74.650000000000006</v>
      </c>
      <c r="G209" t="str">
        <f>_xlfn.XLOOKUP(A209,'Subbu- Mini Project EXcel Clean'!A209:A1208,'Subbu- Mini Project EXcel Clean'!H209:H1208," ",0)</f>
        <v>Pass</v>
      </c>
      <c r="H209" t="str">
        <f>VLOOKUP(A209,'Subbu- Mini Project EXcel Clean'!A208:R1208,18,)</f>
        <v>Bachelor</v>
      </c>
    </row>
    <row r="210" spans="1:8" x14ac:dyDescent="0.25">
      <c r="A210" t="s">
        <v>238</v>
      </c>
      <c r="B210">
        <f>VLOOKUP(A210,'Subbu- Mini Project EXcel Clean'!A209:R1209,2,FALSE)</f>
        <v>39.200000000000003</v>
      </c>
      <c r="C210">
        <f>VLOOKUP(A210,'Subbu- Mini Project EXcel Clean'!A209:R1209,3,FALSE)</f>
        <v>37.1</v>
      </c>
      <c r="D210">
        <f>_xlfn.XLOOKUP(A210,'Subbu- Mini Project EXcel Clean'!A210:A1209,'Subbu- Mini Project EXcel Clean'!D210:D1209,"Entry Level",0)</f>
        <v>34.6</v>
      </c>
      <c r="E210">
        <f>_xlfn.XLOOKUP(A210,'Subbu- Mini Project EXcel Clean'!A210:A1209,'Subbu- Mini Project EXcel Clean'!F210:F1209,"Entry Level",0)</f>
        <v>42.7</v>
      </c>
      <c r="F210">
        <f>_xlfn.XLOOKUP(A210,'Subbu- Mini Project EXcel Clean'!A210:A1209,'Subbu- Mini Project EXcel Clean'!G210:G1209," ",0)</f>
        <v>41.5</v>
      </c>
      <c r="G210" t="str">
        <f>_xlfn.XLOOKUP(A210,'Subbu- Mini Project EXcel Clean'!A210:A1209,'Subbu- Mini Project EXcel Clean'!H210:H1209," ",0)</f>
        <v>Fail</v>
      </c>
      <c r="H210" t="str">
        <f>VLOOKUP(A210,'Subbu- Mini Project EXcel Clean'!A209:R1209,18,)</f>
        <v>High School</v>
      </c>
    </row>
    <row r="211" spans="1:8" x14ac:dyDescent="0.25">
      <c r="A211" t="s">
        <v>239</v>
      </c>
      <c r="B211">
        <f>VLOOKUP(A211,'Subbu- Mini Project EXcel Clean'!A210:R1210,2,FALSE)</f>
        <v>49</v>
      </c>
      <c r="C211">
        <f>VLOOKUP(A211,'Subbu- Mini Project EXcel Clean'!A210:R1210,3,FALSE)</f>
        <v>51</v>
      </c>
      <c r="D211">
        <f>_xlfn.XLOOKUP(A211,'Subbu- Mini Project EXcel Clean'!A211:A1210,'Subbu- Mini Project EXcel Clean'!D211:D1210,"Entry Level",0)</f>
        <v>60.9</v>
      </c>
      <c r="E211">
        <f>_xlfn.XLOOKUP(A211,'Subbu- Mini Project EXcel Clean'!A211:A1210,'Subbu- Mini Project EXcel Clean'!F211:F1210,"Entry Level",0)</f>
        <v>58.1</v>
      </c>
      <c r="F211">
        <f>_xlfn.XLOOKUP(A211,'Subbu- Mini Project EXcel Clean'!A211:A1210,'Subbu- Mini Project EXcel Clean'!G211:G1210," ",0)</f>
        <v>53.45</v>
      </c>
      <c r="G211" t="str">
        <f>_xlfn.XLOOKUP(A211,'Subbu- Mini Project EXcel Clean'!A211:A1210,'Subbu- Mini Project EXcel Clean'!H211:H1210," ",0)</f>
        <v>Pass</v>
      </c>
      <c r="H211" t="str">
        <f>VLOOKUP(A211,'Subbu- Mini Project EXcel Clean'!A210:R1210,18,)</f>
        <v>High School</v>
      </c>
    </row>
    <row r="212" spans="1:8" x14ac:dyDescent="0.25">
      <c r="A212" t="s">
        <v>240</v>
      </c>
      <c r="B212">
        <f>VLOOKUP(A212,'Subbu- Mini Project EXcel Clean'!A211:R1211,2,FALSE)</f>
        <v>71.2</v>
      </c>
      <c r="C212">
        <f>VLOOKUP(A212,'Subbu- Mini Project EXcel Clean'!A211:R1211,3,FALSE)</f>
        <v>74.2</v>
      </c>
      <c r="D212">
        <f>_xlfn.XLOOKUP(A212,'Subbu- Mini Project EXcel Clean'!A212:A1211,'Subbu- Mini Project EXcel Clean'!D212:D1211,"Entry Level",0)</f>
        <v>77.8</v>
      </c>
      <c r="E212">
        <f>_xlfn.XLOOKUP(A212,'Subbu- Mini Project EXcel Clean'!A212:A1211,'Subbu- Mini Project EXcel Clean'!F212:F1211,"Entry Level",0)</f>
        <v>77.2</v>
      </c>
      <c r="F212">
        <f>_xlfn.XLOOKUP(A212,'Subbu- Mini Project EXcel Clean'!A212:A1211,'Subbu- Mini Project EXcel Clean'!G212:G1211," ",0)</f>
        <v>73.7</v>
      </c>
      <c r="G212" t="str">
        <f>_xlfn.XLOOKUP(A212,'Subbu- Mini Project EXcel Clean'!A212:A1211,'Subbu- Mini Project EXcel Clean'!H212:H1211," ",0)</f>
        <v>Pass</v>
      </c>
      <c r="H212" t="str">
        <f>VLOOKUP(A212,'Subbu- Mini Project EXcel Clean'!A211:R1211,18,)</f>
        <v>Master</v>
      </c>
    </row>
    <row r="213" spans="1:8" x14ac:dyDescent="0.25">
      <c r="A213" t="s">
        <v>241</v>
      </c>
      <c r="B213">
        <f>VLOOKUP(A213,'Subbu- Mini Project EXcel Clean'!A212:R1212,2,FALSE)</f>
        <v>67.8</v>
      </c>
      <c r="C213">
        <f>VLOOKUP(A213,'Subbu- Mini Project EXcel Clean'!A212:R1212,3,FALSE)</f>
        <v>81.8</v>
      </c>
      <c r="D213">
        <f>_xlfn.XLOOKUP(A213,'Subbu- Mini Project EXcel Clean'!A213:A1212,'Subbu- Mini Project EXcel Clean'!D213:D1212,"Entry Level",0)</f>
        <v>81.099999999999994</v>
      </c>
      <c r="E213">
        <f>_xlfn.XLOOKUP(A213,'Subbu- Mini Project EXcel Clean'!A213:A1212,'Subbu- Mini Project EXcel Clean'!F213:F1212,"Entry Level",0)</f>
        <v>82.3</v>
      </c>
      <c r="F213">
        <f>_xlfn.XLOOKUP(A213,'Subbu- Mini Project EXcel Clean'!A213:A1212,'Subbu- Mini Project EXcel Clean'!G213:G1212," ",0)</f>
        <v>80.2</v>
      </c>
      <c r="G213" t="str">
        <f>_xlfn.XLOOKUP(A213,'Subbu- Mini Project EXcel Clean'!A213:A1212,'Subbu- Mini Project EXcel Clean'!H213:H1212," ",0)</f>
        <v>Pass</v>
      </c>
      <c r="H213" t="str">
        <f>VLOOKUP(A213,'Subbu- Mini Project EXcel Clean'!A212:R1212,18,)</f>
        <v>Bachelor</v>
      </c>
    </row>
    <row r="214" spans="1:8" x14ac:dyDescent="0.25">
      <c r="A214" t="s">
        <v>242</v>
      </c>
      <c r="B214">
        <f>VLOOKUP(A214,'Subbu- Mini Project EXcel Clean'!A213:R1213,2,FALSE)</f>
        <v>74.599999999999994</v>
      </c>
      <c r="C214">
        <f>VLOOKUP(A214,'Subbu- Mini Project EXcel Clean'!A213:R1213,3,FALSE)</f>
        <v>81.8</v>
      </c>
      <c r="D214">
        <f>_xlfn.XLOOKUP(A214,'Subbu- Mini Project EXcel Clean'!A214:A1213,'Subbu- Mini Project EXcel Clean'!D214:D1213,"Entry Level",0)</f>
        <v>76.2</v>
      </c>
      <c r="E214">
        <f>_xlfn.XLOOKUP(A214,'Subbu- Mini Project EXcel Clean'!A214:A1213,'Subbu- Mini Project EXcel Clean'!F214:F1213,"Entry Level",0)</f>
        <v>72.599999999999994</v>
      </c>
      <c r="F214">
        <f>_xlfn.XLOOKUP(A214,'Subbu- Mini Project EXcel Clean'!A214:A1213,'Subbu- Mini Project EXcel Clean'!G214:G1213," ",0)</f>
        <v>74.25</v>
      </c>
      <c r="G214" t="str">
        <f>_xlfn.XLOOKUP(A214,'Subbu- Mini Project EXcel Clean'!A214:A1213,'Subbu- Mini Project EXcel Clean'!H214:H1213," ",0)</f>
        <v>Pass</v>
      </c>
      <c r="H214" t="str">
        <f>VLOOKUP(A214,'Subbu- Mini Project EXcel Clean'!A213:R1213,18,)</f>
        <v>High School</v>
      </c>
    </row>
    <row r="215" spans="1:8" x14ac:dyDescent="0.25">
      <c r="A215" t="s">
        <v>243</v>
      </c>
      <c r="B215">
        <f>VLOOKUP(A215,'Subbu- Mini Project EXcel Clean'!A214:R1214,2,FALSE)</f>
        <v>48.9</v>
      </c>
      <c r="C215">
        <f>VLOOKUP(A215,'Subbu- Mini Project EXcel Clean'!A214:R1214,3,FALSE)</f>
        <v>55.9</v>
      </c>
      <c r="D215">
        <f>_xlfn.XLOOKUP(A215,'Subbu- Mini Project EXcel Clean'!A215:A1214,'Subbu- Mini Project EXcel Clean'!D215:D1214,"Entry Level",0)</f>
        <v>51.3</v>
      </c>
      <c r="E215">
        <f>_xlfn.XLOOKUP(A215,'Subbu- Mini Project EXcel Clean'!A215:A1214,'Subbu- Mini Project EXcel Clean'!F215:F1214,"Entry Level",0)</f>
        <v>70.599999999999994</v>
      </c>
      <c r="F215">
        <f>_xlfn.XLOOKUP(A215,'Subbu- Mini Project EXcel Clean'!A215:A1214,'Subbu- Mini Project EXcel Clean'!G215:G1214," ",0)</f>
        <v>61.45</v>
      </c>
      <c r="G215" t="str">
        <f>_xlfn.XLOOKUP(A215,'Subbu- Mini Project EXcel Clean'!A215:A1214,'Subbu- Mini Project EXcel Clean'!H215:H1214," ",0)</f>
        <v>Pass</v>
      </c>
      <c r="H215" t="str">
        <f>VLOOKUP(A215,'Subbu- Mini Project EXcel Clean'!A214:R1214,18,)</f>
        <v>High School</v>
      </c>
    </row>
    <row r="216" spans="1:8" x14ac:dyDescent="0.25">
      <c r="A216" t="s">
        <v>244</v>
      </c>
      <c r="B216">
        <f>VLOOKUP(A216,'Subbu- Mini Project EXcel Clean'!A215:R1215,2,FALSE)</f>
        <v>74.2</v>
      </c>
      <c r="C216">
        <f>VLOOKUP(A216,'Subbu- Mini Project EXcel Clean'!A215:R1215,3,FALSE)</f>
        <v>80.900000000000006</v>
      </c>
      <c r="D216">
        <f>_xlfn.XLOOKUP(A216,'Subbu- Mini Project EXcel Clean'!A216:A1215,'Subbu- Mini Project EXcel Clean'!D216:D1215,"Entry Level",0)</f>
        <v>74.400000000000006</v>
      </c>
      <c r="E216">
        <f>_xlfn.XLOOKUP(A216,'Subbu- Mini Project EXcel Clean'!A216:A1215,'Subbu- Mini Project EXcel Clean'!F216:F1215,"Entry Level",0)</f>
        <v>80.8</v>
      </c>
      <c r="F216">
        <f>_xlfn.XLOOKUP(A216,'Subbu- Mini Project EXcel Clean'!A216:A1215,'Subbu- Mini Project EXcel Clean'!G216:G1215," ",0)</f>
        <v>80</v>
      </c>
      <c r="G216" t="str">
        <f>_xlfn.XLOOKUP(A216,'Subbu- Mini Project EXcel Clean'!A216:A1215,'Subbu- Mini Project EXcel Clean'!H216:H1215," ",0)</f>
        <v>Pass</v>
      </c>
      <c r="H216" t="str">
        <f>VLOOKUP(A216,'Subbu- Mini Project EXcel Clean'!A215:R1215,18,)</f>
        <v>Bachelor</v>
      </c>
    </row>
    <row r="217" spans="1:8" x14ac:dyDescent="0.25">
      <c r="A217" t="s">
        <v>245</v>
      </c>
      <c r="B217">
        <f>VLOOKUP(A217,'Subbu- Mini Project EXcel Clean'!A216:R1216,2,FALSE)</f>
        <v>51.6</v>
      </c>
      <c r="C217">
        <f>VLOOKUP(A217,'Subbu- Mini Project EXcel Clean'!A216:R1216,3,FALSE)</f>
        <v>58.4</v>
      </c>
      <c r="D217">
        <f>_xlfn.XLOOKUP(A217,'Subbu- Mini Project EXcel Clean'!A217:A1216,'Subbu- Mini Project EXcel Clean'!D217:D1216,"Entry Level",0)</f>
        <v>53.4</v>
      </c>
      <c r="E217">
        <f>_xlfn.XLOOKUP(A217,'Subbu- Mini Project EXcel Clean'!A217:A1216,'Subbu- Mini Project EXcel Clean'!F217:F1216,"Entry Level",0)</f>
        <v>51.9</v>
      </c>
      <c r="F217">
        <f>_xlfn.XLOOKUP(A217,'Subbu- Mini Project EXcel Clean'!A217:A1216,'Subbu- Mini Project EXcel Clean'!G217:G1216," ",0)</f>
        <v>52.45</v>
      </c>
      <c r="G217" t="str">
        <f>_xlfn.XLOOKUP(A217,'Subbu- Mini Project EXcel Clean'!A217:A1216,'Subbu- Mini Project EXcel Clean'!H217:H1216," ",0)</f>
        <v>Pass</v>
      </c>
      <c r="H217" t="str">
        <f>VLOOKUP(A217,'Subbu- Mini Project EXcel Clean'!A216:R1216,18,)</f>
        <v>High School</v>
      </c>
    </row>
    <row r="218" spans="1:8" x14ac:dyDescent="0.25">
      <c r="A218" t="s">
        <v>246</v>
      </c>
      <c r="B218">
        <f>VLOOKUP(A218,'Subbu- Mini Project EXcel Clean'!A217:R1217,2,FALSE)</f>
        <v>66.900000000000006</v>
      </c>
      <c r="C218">
        <f>VLOOKUP(A218,'Subbu- Mini Project EXcel Clean'!A217:R1217,3,FALSE)</f>
        <v>57.8</v>
      </c>
      <c r="D218">
        <f>_xlfn.XLOOKUP(A218,'Subbu- Mini Project EXcel Clean'!A218:A1217,'Subbu- Mini Project EXcel Clean'!D218:D1217,"Entry Level",0)</f>
        <v>59.2</v>
      </c>
      <c r="E218">
        <f>_xlfn.XLOOKUP(A218,'Subbu- Mini Project EXcel Clean'!A218:A1217,'Subbu- Mini Project EXcel Clean'!F218:F1217,"Entry Level",0)</f>
        <v>69.5</v>
      </c>
      <c r="F218">
        <f>_xlfn.XLOOKUP(A218,'Subbu- Mini Project EXcel Clean'!A218:A1217,'Subbu- Mini Project EXcel Clean'!G218:G1217," ",0)</f>
        <v>63.7</v>
      </c>
      <c r="G218" t="str">
        <f>_xlfn.XLOOKUP(A218,'Subbu- Mini Project EXcel Clean'!A218:A1217,'Subbu- Mini Project EXcel Clean'!H218:H1217," ",0)</f>
        <v>Pass</v>
      </c>
      <c r="H218" t="str">
        <f>VLOOKUP(A218,'Subbu- Mini Project EXcel Clean'!A217:R1217,18,)</f>
        <v>Bachelor</v>
      </c>
    </row>
    <row r="219" spans="1:8" x14ac:dyDescent="0.25">
      <c r="A219" t="s">
        <v>247</v>
      </c>
      <c r="B219">
        <f>VLOOKUP(A219,'Subbu- Mini Project EXcel Clean'!A218:R1218,2,FALSE)</f>
        <v>84.3</v>
      </c>
      <c r="C219">
        <f>VLOOKUP(A219,'Subbu- Mini Project EXcel Clean'!A218:R1218,3,FALSE)</f>
        <v>76.599999999999994</v>
      </c>
      <c r="D219">
        <f>_xlfn.XLOOKUP(A219,'Subbu- Mini Project EXcel Clean'!A219:A1218,'Subbu- Mini Project EXcel Clean'!D219:D1218,"Entry Level",0)</f>
        <v>74.8</v>
      </c>
      <c r="E219">
        <f>_xlfn.XLOOKUP(A219,'Subbu- Mini Project EXcel Clean'!A219:A1218,'Subbu- Mini Project EXcel Clean'!F219:F1218,"Entry Level",0)</f>
        <v>93</v>
      </c>
      <c r="F219">
        <f>_xlfn.XLOOKUP(A219,'Subbu- Mini Project EXcel Clean'!A219:A1218,'Subbu- Mini Project EXcel Clean'!G219:G1218," ",0)</f>
        <v>87.05</v>
      </c>
      <c r="G219" t="str">
        <f>_xlfn.XLOOKUP(A219,'Subbu- Mini Project EXcel Clean'!A219:A1218,'Subbu- Mini Project EXcel Clean'!H219:H1218," ",0)</f>
        <v>Pass</v>
      </c>
      <c r="H219" t="str">
        <f>VLOOKUP(A219,'Subbu- Mini Project EXcel Clean'!A218:R1218,18,)</f>
        <v>Master</v>
      </c>
    </row>
    <row r="220" spans="1:8" x14ac:dyDescent="0.25">
      <c r="A220" t="s">
        <v>248</v>
      </c>
      <c r="B220">
        <f>VLOOKUP(A220,'Subbu- Mini Project EXcel Clean'!A219:R1219,2,FALSE)</f>
        <v>72.900000000000006</v>
      </c>
      <c r="C220">
        <f>VLOOKUP(A220,'Subbu- Mini Project EXcel Clean'!A219:R1219,3,FALSE)</f>
        <v>74.900000000000006</v>
      </c>
      <c r="D220">
        <f>_xlfn.XLOOKUP(A220,'Subbu- Mini Project EXcel Clean'!A220:A1219,'Subbu- Mini Project EXcel Clean'!D220:D1219,"Entry Level",0)</f>
        <v>77.400000000000006</v>
      </c>
      <c r="E220">
        <f>_xlfn.XLOOKUP(A220,'Subbu- Mini Project EXcel Clean'!A220:A1219,'Subbu- Mini Project EXcel Clean'!F220:F1219,"Entry Level",0)</f>
        <v>76.5</v>
      </c>
      <c r="F220">
        <f>_xlfn.XLOOKUP(A220,'Subbu- Mini Project EXcel Clean'!A220:A1219,'Subbu- Mini Project EXcel Clean'!G220:G1219," ",0)</f>
        <v>76.099999999999994</v>
      </c>
      <c r="G220" t="str">
        <f>_xlfn.XLOOKUP(A220,'Subbu- Mini Project EXcel Clean'!A220:A1219,'Subbu- Mini Project EXcel Clean'!H220:H1219," ",0)</f>
        <v>Pass</v>
      </c>
      <c r="H220" t="str">
        <f>VLOOKUP(A220,'Subbu- Mini Project EXcel Clean'!A219:R1219,18,)</f>
        <v>High School</v>
      </c>
    </row>
    <row r="221" spans="1:8" x14ac:dyDescent="0.25">
      <c r="A221" t="s">
        <v>249</v>
      </c>
      <c r="B221">
        <f>VLOOKUP(A221,'Subbu- Mini Project EXcel Clean'!A220:R1220,2,FALSE)</f>
        <v>89.6</v>
      </c>
      <c r="C221">
        <f>VLOOKUP(A221,'Subbu- Mini Project EXcel Clean'!A220:R1220,3,FALSE)</f>
        <v>83</v>
      </c>
      <c r="D221">
        <f>_xlfn.XLOOKUP(A221,'Subbu- Mini Project EXcel Clean'!A221:A1220,'Subbu- Mini Project EXcel Clean'!D221:D1220,"Entry Level",0)</f>
        <v>85.9</v>
      </c>
      <c r="E221">
        <f>_xlfn.XLOOKUP(A221,'Subbu- Mini Project EXcel Clean'!A221:A1220,'Subbu- Mini Project EXcel Clean'!F221:F1220,"Entry Level",0)</f>
        <v>78.7</v>
      </c>
      <c r="F221">
        <f>_xlfn.XLOOKUP(A221,'Subbu- Mini Project EXcel Clean'!A221:A1220,'Subbu- Mini Project EXcel Clean'!G221:G1220," ",0)</f>
        <v>82.7</v>
      </c>
      <c r="G221" t="str">
        <f>_xlfn.XLOOKUP(A221,'Subbu- Mini Project EXcel Clean'!A221:A1220,'Subbu- Mini Project EXcel Clean'!H221:H1220," ",0)</f>
        <v>Pass</v>
      </c>
      <c r="H221" t="str">
        <f>VLOOKUP(A221,'Subbu- Mini Project EXcel Clean'!A220:R1220,18,)</f>
        <v>Master</v>
      </c>
    </row>
    <row r="222" spans="1:8" x14ac:dyDescent="0.25">
      <c r="A222" t="s">
        <v>250</v>
      </c>
      <c r="B222">
        <f>VLOOKUP(A222,'Subbu- Mini Project EXcel Clean'!A221:R1221,2,FALSE)</f>
        <v>83.2</v>
      </c>
      <c r="C222">
        <f>VLOOKUP(A222,'Subbu- Mini Project EXcel Clean'!A221:R1221,3,FALSE)</f>
        <v>72.8</v>
      </c>
      <c r="D222">
        <f>_xlfn.XLOOKUP(A222,'Subbu- Mini Project EXcel Clean'!A222:A1221,'Subbu- Mini Project EXcel Clean'!D222:D1221,"Entry Level",0)</f>
        <v>66.599999999999994</v>
      </c>
      <c r="E222">
        <f>_xlfn.XLOOKUP(A222,'Subbu- Mini Project EXcel Clean'!A222:A1221,'Subbu- Mini Project EXcel Clean'!F222:F1221,"Entry Level",0)</f>
        <v>71.3</v>
      </c>
      <c r="F222">
        <f>_xlfn.XLOOKUP(A222,'Subbu- Mini Project EXcel Clean'!A222:A1221,'Subbu- Mini Project EXcel Clean'!G222:G1221," ",0)</f>
        <v>73.75</v>
      </c>
      <c r="G222" t="str">
        <f>_xlfn.XLOOKUP(A222,'Subbu- Mini Project EXcel Clean'!A222:A1221,'Subbu- Mini Project EXcel Clean'!H222:H1221," ",0)</f>
        <v>Pass</v>
      </c>
      <c r="H222" t="str">
        <f>VLOOKUP(A222,'Subbu- Mini Project EXcel Clean'!A221:R1221,18,)</f>
        <v>Bachelor</v>
      </c>
    </row>
    <row r="223" spans="1:8" x14ac:dyDescent="0.25">
      <c r="A223" t="s">
        <v>251</v>
      </c>
      <c r="B223">
        <f>VLOOKUP(A223,'Subbu- Mini Project EXcel Clean'!A222:R1222,2,FALSE)</f>
        <v>75.900000000000006</v>
      </c>
      <c r="C223">
        <f>VLOOKUP(A223,'Subbu- Mini Project EXcel Clean'!A222:R1222,3,FALSE)</f>
        <v>70.5</v>
      </c>
      <c r="D223">
        <f>_xlfn.XLOOKUP(A223,'Subbu- Mini Project EXcel Clean'!A223:A1222,'Subbu- Mini Project EXcel Clean'!D223:D1222,"Entry Level",0)</f>
        <v>67</v>
      </c>
      <c r="E223">
        <f>_xlfn.XLOOKUP(A223,'Subbu- Mini Project EXcel Clean'!A223:A1222,'Subbu- Mini Project EXcel Clean'!F223:F1222,"Entry Level",0)</f>
        <v>67.3</v>
      </c>
      <c r="F223">
        <f>_xlfn.XLOOKUP(A223,'Subbu- Mini Project EXcel Clean'!A223:A1222,'Subbu- Mini Project EXcel Clean'!G223:G1222," ",0)</f>
        <v>69.3</v>
      </c>
      <c r="G223" t="str">
        <f>_xlfn.XLOOKUP(A223,'Subbu- Mini Project EXcel Clean'!A223:A1222,'Subbu- Mini Project EXcel Clean'!H223:H1222," ",0)</f>
        <v>Pass</v>
      </c>
      <c r="H223" t="str">
        <f>VLOOKUP(A223,'Subbu- Mini Project EXcel Clean'!A222:R1222,18,)</f>
        <v>Master</v>
      </c>
    </row>
    <row r="224" spans="1:8" x14ac:dyDescent="0.25">
      <c r="A224" t="s">
        <v>252</v>
      </c>
      <c r="B224">
        <f>VLOOKUP(A224,'Subbu- Mini Project EXcel Clean'!A223:R1223,2,FALSE)</f>
        <v>45.5</v>
      </c>
      <c r="C224">
        <f>VLOOKUP(A224,'Subbu- Mini Project EXcel Clean'!A223:R1223,3,FALSE)</f>
        <v>41.2</v>
      </c>
      <c r="D224">
        <f>_xlfn.XLOOKUP(A224,'Subbu- Mini Project EXcel Clean'!A224:A1223,'Subbu- Mini Project EXcel Clean'!D224:D1223,"Entry Level",0)</f>
        <v>43.1</v>
      </c>
      <c r="E224">
        <f>_xlfn.XLOOKUP(A224,'Subbu- Mini Project EXcel Clean'!A224:A1223,'Subbu- Mini Project EXcel Clean'!F224:F1223,"Entry Level",0)</f>
        <v>56.7</v>
      </c>
      <c r="F224">
        <f>_xlfn.XLOOKUP(A224,'Subbu- Mini Project EXcel Clean'!A224:A1223,'Subbu- Mini Project EXcel Clean'!G224:G1223," ",0)</f>
        <v>50.95</v>
      </c>
      <c r="G224" t="str">
        <f>_xlfn.XLOOKUP(A224,'Subbu- Mini Project EXcel Clean'!A224:A1223,'Subbu- Mini Project EXcel Clean'!H224:H1223," ",0)</f>
        <v>Pass</v>
      </c>
      <c r="H224" t="str">
        <f>VLOOKUP(A224,'Subbu- Mini Project EXcel Clean'!A223:R1223,18,)</f>
        <v>Master</v>
      </c>
    </row>
    <row r="225" spans="1:8" x14ac:dyDescent="0.25">
      <c r="A225" t="s">
        <v>253</v>
      </c>
      <c r="B225">
        <f>VLOOKUP(A225,'Subbu- Mini Project EXcel Clean'!A224:R1224,2,FALSE)</f>
        <v>57</v>
      </c>
      <c r="C225">
        <f>VLOOKUP(A225,'Subbu- Mini Project EXcel Clean'!A224:R1224,3,FALSE)</f>
        <v>58.7</v>
      </c>
      <c r="D225">
        <f>_xlfn.XLOOKUP(A225,'Subbu- Mini Project EXcel Clean'!A225:A1224,'Subbu- Mini Project EXcel Clean'!D225:D1224,"Entry Level",0)</f>
        <v>69.7</v>
      </c>
      <c r="E225">
        <f>_xlfn.XLOOKUP(A225,'Subbu- Mini Project EXcel Clean'!A225:A1224,'Subbu- Mini Project EXcel Clean'!F225:F1224,"Entry Level",0)</f>
        <v>72.099999999999994</v>
      </c>
      <c r="F225">
        <f>_xlfn.XLOOKUP(A225,'Subbu- Mini Project EXcel Clean'!A225:A1224,'Subbu- Mini Project EXcel Clean'!G225:G1224," ",0)</f>
        <v>66.150000000000006</v>
      </c>
      <c r="G225" t="str">
        <f>_xlfn.XLOOKUP(A225,'Subbu- Mini Project EXcel Clean'!A225:A1224,'Subbu- Mini Project EXcel Clean'!H225:H1224," ",0)</f>
        <v>Pass</v>
      </c>
      <c r="H225" t="str">
        <f>VLOOKUP(A225,'Subbu- Mini Project EXcel Clean'!A224:R1224,18,)</f>
        <v>Master</v>
      </c>
    </row>
    <row r="226" spans="1:8" x14ac:dyDescent="0.25">
      <c r="A226" t="s">
        <v>254</v>
      </c>
      <c r="B226">
        <f>VLOOKUP(A226,'Subbu- Mini Project EXcel Clean'!A225:R1225,2,FALSE)</f>
        <v>58.1</v>
      </c>
      <c r="C226">
        <f>VLOOKUP(A226,'Subbu- Mini Project EXcel Clean'!A225:R1225,3,FALSE)</f>
        <v>45.1</v>
      </c>
      <c r="D226">
        <f>_xlfn.XLOOKUP(A226,'Subbu- Mini Project EXcel Clean'!A226:A1225,'Subbu- Mini Project EXcel Clean'!D226:D1225,"Entry Level",0)</f>
        <v>57.4</v>
      </c>
      <c r="E226">
        <f>_xlfn.XLOOKUP(A226,'Subbu- Mini Project EXcel Clean'!A226:A1225,'Subbu- Mini Project EXcel Clean'!F226:F1225,"Entry Level",0)</f>
        <v>47</v>
      </c>
      <c r="F226">
        <f>_xlfn.XLOOKUP(A226,'Subbu- Mini Project EXcel Clean'!A226:A1225,'Subbu- Mini Project EXcel Clean'!G226:G1225," ",0)</f>
        <v>50.8</v>
      </c>
      <c r="G226" t="str">
        <f>_xlfn.XLOOKUP(A226,'Subbu- Mini Project EXcel Clean'!A226:A1225,'Subbu- Mini Project EXcel Clean'!H226:H1225," ",0)</f>
        <v>Pass</v>
      </c>
      <c r="H226" t="str">
        <f>VLOOKUP(A226,'Subbu- Mini Project EXcel Clean'!A225:R1225,18,)</f>
        <v>Bachelor</v>
      </c>
    </row>
    <row r="227" spans="1:8" x14ac:dyDescent="0.25">
      <c r="A227" t="s">
        <v>255</v>
      </c>
      <c r="B227">
        <f>VLOOKUP(A227,'Subbu- Mini Project EXcel Clean'!A226:R1226,2,FALSE)</f>
        <v>55.4</v>
      </c>
      <c r="C227">
        <f>VLOOKUP(A227,'Subbu- Mini Project EXcel Clean'!A226:R1226,3,FALSE)</f>
        <v>54.5</v>
      </c>
      <c r="D227">
        <f>_xlfn.XLOOKUP(A227,'Subbu- Mini Project EXcel Clean'!A227:A1226,'Subbu- Mini Project EXcel Clean'!D227:D1226,"Entry Level",0)</f>
        <v>46.7</v>
      </c>
      <c r="E227">
        <f>_xlfn.XLOOKUP(A227,'Subbu- Mini Project EXcel Clean'!A227:A1226,'Subbu- Mini Project EXcel Clean'!F227:F1226,"Entry Level",0)</f>
        <v>57.3</v>
      </c>
      <c r="F227">
        <f>_xlfn.XLOOKUP(A227,'Subbu- Mini Project EXcel Clean'!A227:A1226,'Subbu- Mini Project EXcel Clean'!G227:G1226," ",0)</f>
        <v>55.35</v>
      </c>
      <c r="G227" t="str">
        <f>_xlfn.XLOOKUP(A227,'Subbu- Mini Project EXcel Clean'!A227:A1226,'Subbu- Mini Project EXcel Clean'!H227:H1226," ",0)</f>
        <v>Pass</v>
      </c>
      <c r="H227" t="str">
        <f>VLOOKUP(A227,'Subbu- Mini Project EXcel Clean'!A226:R1226,18,)</f>
        <v>Bachelor</v>
      </c>
    </row>
    <row r="228" spans="1:8" x14ac:dyDescent="0.25">
      <c r="A228" t="s">
        <v>256</v>
      </c>
      <c r="B228">
        <f>VLOOKUP(A228,'Subbu- Mini Project EXcel Clean'!A227:R1227,2,FALSE)</f>
        <v>98</v>
      </c>
      <c r="C228">
        <f>VLOOKUP(A228,'Subbu- Mini Project EXcel Clean'!A227:R1227,3,FALSE)</f>
        <v>93.5</v>
      </c>
      <c r="D228">
        <f>_xlfn.XLOOKUP(A228,'Subbu- Mini Project EXcel Clean'!A228:A1227,'Subbu- Mini Project EXcel Clean'!D228:D1227,"Entry Level",0)</f>
        <v>95.9</v>
      </c>
      <c r="E228">
        <f>_xlfn.XLOOKUP(A228,'Subbu- Mini Project EXcel Clean'!A228:A1227,'Subbu- Mini Project EXcel Clean'!F228:F1227,"Entry Level",0)</f>
        <v>77.2</v>
      </c>
      <c r="F228">
        <f>_xlfn.XLOOKUP(A228,'Subbu- Mini Project EXcel Clean'!A228:A1227,'Subbu- Mini Project EXcel Clean'!G228:G1227," ",0)</f>
        <v>85.35</v>
      </c>
      <c r="G228" t="str">
        <f>_xlfn.XLOOKUP(A228,'Subbu- Mini Project EXcel Clean'!A228:A1227,'Subbu- Mini Project EXcel Clean'!H228:H1227," ",0)</f>
        <v>Pass</v>
      </c>
      <c r="H228" t="str">
        <f>VLOOKUP(A228,'Subbu- Mini Project EXcel Clean'!A227:R1227,18,)</f>
        <v>Bachelor</v>
      </c>
    </row>
    <row r="229" spans="1:8" x14ac:dyDescent="0.25">
      <c r="A229" t="s">
        <v>257</v>
      </c>
      <c r="B229">
        <f>VLOOKUP(A229,'Subbu- Mini Project EXcel Clean'!A228:R1228,2,FALSE)</f>
        <v>64.8</v>
      </c>
      <c r="C229">
        <f>VLOOKUP(A229,'Subbu- Mini Project EXcel Clean'!A228:R1228,3,FALSE)</f>
        <v>57.5</v>
      </c>
      <c r="D229">
        <f>_xlfn.XLOOKUP(A229,'Subbu- Mini Project EXcel Clean'!A229:A1228,'Subbu- Mini Project EXcel Clean'!D229:D1228,"Entry Level",0)</f>
        <v>53.9</v>
      </c>
      <c r="E229">
        <f>_xlfn.XLOOKUP(A229,'Subbu- Mini Project EXcel Clean'!A229:A1228,'Subbu- Mini Project EXcel Clean'!F229:F1228,"Entry Level",0)</f>
        <v>53.9</v>
      </c>
      <c r="F229">
        <f>_xlfn.XLOOKUP(A229,'Subbu- Mini Project EXcel Clean'!A229:A1228,'Subbu- Mini Project EXcel Clean'!G229:G1228," ",0)</f>
        <v>57.75</v>
      </c>
      <c r="G229" t="str">
        <f>_xlfn.XLOOKUP(A229,'Subbu- Mini Project EXcel Clean'!A229:A1228,'Subbu- Mini Project EXcel Clean'!H229:H1228," ",0)</f>
        <v>Pass</v>
      </c>
      <c r="H229" t="str">
        <f>VLOOKUP(A229,'Subbu- Mini Project EXcel Clean'!A228:R1228,18,)</f>
        <v>Bachelor</v>
      </c>
    </row>
    <row r="230" spans="1:8" x14ac:dyDescent="0.25">
      <c r="A230" t="s">
        <v>258</v>
      </c>
      <c r="B230">
        <f>VLOOKUP(A230,'Subbu- Mini Project EXcel Clean'!A229:R1229,2,FALSE)</f>
        <v>94.3</v>
      </c>
      <c r="C230">
        <f>VLOOKUP(A230,'Subbu- Mini Project EXcel Clean'!A229:R1229,3,FALSE)</f>
        <v>92.4</v>
      </c>
      <c r="D230">
        <f>_xlfn.XLOOKUP(A230,'Subbu- Mini Project EXcel Clean'!A230:A1229,'Subbu- Mini Project EXcel Clean'!D230:D1229,"Entry Level",0)</f>
        <v>94.5</v>
      </c>
      <c r="E230">
        <f>_xlfn.XLOOKUP(A230,'Subbu- Mini Project EXcel Clean'!A230:A1229,'Subbu- Mini Project EXcel Clean'!F230:F1229,"Entry Level",0)</f>
        <v>95.1</v>
      </c>
      <c r="F230">
        <f>_xlfn.XLOOKUP(A230,'Subbu- Mini Project EXcel Clean'!A230:A1229,'Subbu- Mini Project EXcel Clean'!G230:G1229," ",0)</f>
        <v>92.1</v>
      </c>
      <c r="G230" t="str">
        <f>_xlfn.XLOOKUP(A230,'Subbu- Mini Project EXcel Clean'!A230:A1229,'Subbu- Mini Project EXcel Clean'!H230:H1229," ",0)</f>
        <v>Pass</v>
      </c>
      <c r="H230" t="str">
        <f>VLOOKUP(A230,'Subbu- Mini Project EXcel Clean'!A229:R1229,18,)</f>
        <v>Bachelor</v>
      </c>
    </row>
    <row r="231" spans="1:8" x14ac:dyDescent="0.25">
      <c r="A231" t="s">
        <v>259</v>
      </c>
      <c r="B231">
        <f>VLOOKUP(A231,'Subbu- Mini Project EXcel Clean'!A230:R1230,2,FALSE)</f>
        <v>72</v>
      </c>
      <c r="C231">
        <f>VLOOKUP(A231,'Subbu- Mini Project EXcel Clean'!A230:R1230,3,FALSE)</f>
        <v>79.400000000000006</v>
      </c>
      <c r="D231">
        <f>_xlfn.XLOOKUP(A231,'Subbu- Mini Project EXcel Clean'!A231:A1230,'Subbu- Mini Project EXcel Clean'!D231:D1230,"Entry Level",0)</f>
        <v>72.400000000000006</v>
      </c>
      <c r="E231">
        <f>_xlfn.XLOOKUP(A231,'Subbu- Mini Project EXcel Clean'!A231:A1230,'Subbu- Mini Project EXcel Clean'!F231:F1230,"Entry Level",0)</f>
        <v>88.6</v>
      </c>
      <c r="F231">
        <f>_xlfn.XLOOKUP(A231,'Subbu- Mini Project EXcel Clean'!A231:A1230,'Subbu- Mini Project EXcel Clean'!G231:G1230," ",0)</f>
        <v>81.650000000000006</v>
      </c>
      <c r="G231" t="str">
        <f>_xlfn.XLOOKUP(A231,'Subbu- Mini Project EXcel Clean'!A231:A1230,'Subbu- Mini Project EXcel Clean'!H231:H1230," ",0)</f>
        <v>Pass</v>
      </c>
      <c r="H231" t="str">
        <f>VLOOKUP(A231,'Subbu- Mini Project EXcel Clean'!A230:R1230,18,)</f>
        <v>High School</v>
      </c>
    </row>
    <row r="232" spans="1:8" x14ac:dyDescent="0.25">
      <c r="A232" t="s">
        <v>260</v>
      </c>
      <c r="B232">
        <f>VLOOKUP(A232,'Subbu- Mini Project EXcel Clean'!A231:R1231,2,FALSE)</f>
        <v>90.3</v>
      </c>
      <c r="C232">
        <f>VLOOKUP(A232,'Subbu- Mini Project EXcel Clean'!A231:R1231,3,FALSE)</f>
        <v>75.7</v>
      </c>
      <c r="D232">
        <f>_xlfn.XLOOKUP(A232,'Subbu- Mini Project EXcel Clean'!A232:A1231,'Subbu- Mini Project EXcel Clean'!D232:D1231,"Entry Level",0)</f>
        <v>83.2</v>
      </c>
      <c r="E232">
        <f>_xlfn.XLOOKUP(A232,'Subbu- Mini Project EXcel Clean'!A232:A1231,'Subbu- Mini Project EXcel Clean'!F232:F1231,"Entry Level",0)</f>
        <v>96</v>
      </c>
      <c r="F232">
        <f>_xlfn.XLOOKUP(A232,'Subbu- Mini Project EXcel Clean'!A232:A1231,'Subbu- Mini Project EXcel Clean'!G232:G1231," ",0)</f>
        <v>89.85</v>
      </c>
      <c r="G232" t="str">
        <f>_xlfn.XLOOKUP(A232,'Subbu- Mini Project EXcel Clean'!A232:A1231,'Subbu- Mini Project EXcel Clean'!H232:H1231," ",0)</f>
        <v>Pass</v>
      </c>
      <c r="H232" t="str">
        <f>VLOOKUP(A232,'Subbu- Mini Project EXcel Clean'!A231:R1231,18,)</f>
        <v>High School</v>
      </c>
    </row>
    <row r="233" spans="1:8" x14ac:dyDescent="0.25">
      <c r="A233" t="s">
        <v>261</v>
      </c>
      <c r="B233">
        <f>VLOOKUP(A233,'Subbu- Mini Project EXcel Clean'!A232:R1232,2,FALSE)</f>
        <v>68.599999999999994</v>
      </c>
      <c r="C233">
        <f>VLOOKUP(A233,'Subbu- Mini Project EXcel Clean'!A232:R1232,3,FALSE)</f>
        <v>63.8</v>
      </c>
      <c r="D233">
        <f>_xlfn.XLOOKUP(A233,'Subbu- Mini Project EXcel Clean'!A233:A1232,'Subbu- Mini Project EXcel Clean'!D233:D1232,"Entry Level",0)</f>
        <v>74.3</v>
      </c>
      <c r="E233">
        <f>_xlfn.XLOOKUP(A233,'Subbu- Mini Project EXcel Clean'!A233:A1232,'Subbu- Mini Project EXcel Clean'!F233:F1232,"Entry Level",0)</f>
        <v>59.1</v>
      </c>
      <c r="F233">
        <f>_xlfn.XLOOKUP(A233,'Subbu- Mini Project EXcel Clean'!A233:A1232,'Subbu- Mini Project EXcel Clean'!G233:G1232," ",0)</f>
        <v>63.35</v>
      </c>
      <c r="G233" t="str">
        <f>_xlfn.XLOOKUP(A233,'Subbu- Mini Project EXcel Clean'!A233:A1232,'Subbu- Mini Project EXcel Clean'!H233:H1232," ",0)</f>
        <v>Pass</v>
      </c>
      <c r="H233" t="str">
        <f>VLOOKUP(A233,'Subbu- Mini Project EXcel Clean'!A232:R1232,18,)</f>
        <v>High School</v>
      </c>
    </row>
    <row r="234" spans="1:8" x14ac:dyDescent="0.25">
      <c r="A234" t="s">
        <v>262</v>
      </c>
      <c r="B234">
        <f>VLOOKUP(A234,'Subbu- Mini Project EXcel Clean'!A233:R1233,2,FALSE)</f>
        <v>82.1</v>
      </c>
      <c r="C234">
        <f>VLOOKUP(A234,'Subbu- Mini Project EXcel Clean'!A233:R1233,3,FALSE)</f>
        <v>67.900000000000006</v>
      </c>
      <c r="D234">
        <f>_xlfn.XLOOKUP(A234,'Subbu- Mini Project EXcel Clean'!A234:A1233,'Subbu- Mini Project EXcel Clean'!D234:D1233,"Entry Level",0)</f>
        <v>65.3</v>
      </c>
      <c r="E234">
        <f>_xlfn.XLOOKUP(A234,'Subbu- Mini Project EXcel Clean'!A234:A1233,'Subbu- Mini Project EXcel Clean'!F234:F1233,"Entry Level",0)</f>
        <v>89.1</v>
      </c>
      <c r="F234">
        <f>_xlfn.XLOOKUP(A234,'Subbu- Mini Project EXcel Clean'!A234:A1233,'Subbu- Mini Project EXcel Clean'!G234:G1233," ",0)</f>
        <v>80.400000000000006</v>
      </c>
      <c r="G234" t="str">
        <f>_xlfn.XLOOKUP(A234,'Subbu- Mini Project EXcel Clean'!A234:A1233,'Subbu- Mini Project EXcel Clean'!H234:H1233," ",0)</f>
        <v>Pass</v>
      </c>
      <c r="H234" t="str">
        <f>VLOOKUP(A234,'Subbu- Mini Project EXcel Clean'!A233:R1233,18,)</f>
        <v>Master</v>
      </c>
    </row>
    <row r="235" spans="1:8" x14ac:dyDescent="0.25">
      <c r="A235" t="s">
        <v>263</v>
      </c>
      <c r="B235">
        <f>VLOOKUP(A235,'Subbu- Mini Project EXcel Clean'!A234:R1234,2,FALSE)</f>
        <v>63.6</v>
      </c>
      <c r="C235">
        <f>VLOOKUP(A235,'Subbu- Mini Project EXcel Clean'!A234:R1234,3,FALSE)</f>
        <v>62.4</v>
      </c>
      <c r="D235">
        <f>_xlfn.XLOOKUP(A235,'Subbu- Mini Project EXcel Clean'!A235:A1234,'Subbu- Mini Project EXcel Clean'!D235:D1234,"Entry Level",0)</f>
        <v>60.1</v>
      </c>
      <c r="E235">
        <f>_xlfn.XLOOKUP(A235,'Subbu- Mini Project EXcel Clean'!A235:A1234,'Subbu- Mini Project EXcel Clean'!F235:F1234,"Entry Level",0)</f>
        <v>87.2</v>
      </c>
      <c r="F235">
        <f>_xlfn.XLOOKUP(A235,'Subbu- Mini Project EXcel Clean'!A235:A1234,'Subbu- Mini Project EXcel Clean'!G235:G1234," ",0)</f>
        <v>77.150000000000006</v>
      </c>
      <c r="G235" t="str">
        <f>_xlfn.XLOOKUP(A235,'Subbu- Mini Project EXcel Clean'!A235:A1234,'Subbu- Mini Project EXcel Clean'!H235:H1234," ",0)</f>
        <v>Pass</v>
      </c>
      <c r="H235" t="str">
        <f>VLOOKUP(A235,'Subbu- Mini Project EXcel Clean'!A234:R1234,18,)</f>
        <v>Master</v>
      </c>
    </row>
    <row r="236" spans="1:8" x14ac:dyDescent="0.25">
      <c r="A236" t="s">
        <v>264</v>
      </c>
      <c r="B236">
        <f>VLOOKUP(A236,'Subbu- Mini Project EXcel Clean'!A235:R1235,2,FALSE)</f>
        <v>59.4</v>
      </c>
      <c r="C236">
        <f>VLOOKUP(A236,'Subbu- Mini Project EXcel Clean'!A235:R1235,3,FALSE)</f>
        <v>54.9</v>
      </c>
      <c r="D236">
        <f>_xlfn.XLOOKUP(A236,'Subbu- Mini Project EXcel Clean'!A236:A1235,'Subbu- Mini Project EXcel Clean'!D236:D1235,"Entry Level",0)</f>
        <v>47.8</v>
      </c>
      <c r="E236">
        <f>_xlfn.XLOOKUP(A236,'Subbu- Mini Project EXcel Clean'!A236:A1235,'Subbu- Mini Project EXcel Clean'!F236:F1235,"Entry Level",0)</f>
        <v>61.1</v>
      </c>
      <c r="F236">
        <f>_xlfn.XLOOKUP(A236,'Subbu- Mini Project EXcel Clean'!A236:A1235,'Subbu- Mini Project EXcel Clean'!G236:G1235," ",0)</f>
        <v>55.9</v>
      </c>
      <c r="G236" t="str">
        <f>_xlfn.XLOOKUP(A236,'Subbu- Mini Project EXcel Clean'!A236:A1235,'Subbu- Mini Project EXcel Clean'!H236:H1235," ",0)</f>
        <v>Pass</v>
      </c>
      <c r="H236" t="str">
        <f>VLOOKUP(A236,'Subbu- Mini Project EXcel Clean'!A235:R1235,18,)</f>
        <v>Bachelor</v>
      </c>
    </row>
    <row r="237" spans="1:8" x14ac:dyDescent="0.25">
      <c r="A237" t="s">
        <v>265</v>
      </c>
      <c r="B237">
        <f>VLOOKUP(A237,'Subbu- Mini Project EXcel Clean'!A236:R1236,2,FALSE)</f>
        <v>80.7</v>
      </c>
      <c r="C237">
        <f>VLOOKUP(A237,'Subbu- Mini Project EXcel Clean'!A236:R1236,3,FALSE)</f>
        <v>78.8</v>
      </c>
      <c r="D237">
        <f>_xlfn.XLOOKUP(A237,'Subbu- Mini Project EXcel Clean'!A237:A1236,'Subbu- Mini Project EXcel Clean'!D237:D1236,"Entry Level",0)</f>
        <v>84.9</v>
      </c>
      <c r="E237">
        <f>_xlfn.XLOOKUP(A237,'Subbu- Mini Project EXcel Clean'!A237:A1236,'Subbu- Mini Project EXcel Clean'!F237:F1236,"Entry Level",0)</f>
        <v>87.2</v>
      </c>
      <c r="F237">
        <f>_xlfn.XLOOKUP(A237,'Subbu- Mini Project EXcel Clean'!A237:A1236,'Subbu- Mini Project EXcel Clean'!G237:G1236," ",0)</f>
        <v>83.45</v>
      </c>
      <c r="G237" t="str">
        <f>_xlfn.XLOOKUP(A237,'Subbu- Mini Project EXcel Clean'!A237:A1236,'Subbu- Mini Project EXcel Clean'!H237:H1236," ",0)</f>
        <v>Pass</v>
      </c>
      <c r="H237" t="str">
        <f>VLOOKUP(A237,'Subbu- Mini Project EXcel Clean'!A236:R1236,18,)</f>
        <v>Bachelor</v>
      </c>
    </row>
    <row r="238" spans="1:8" x14ac:dyDescent="0.25">
      <c r="A238" t="s">
        <v>266</v>
      </c>
      <c r="B238">
        <f>VLOOKUP(A238,'Subbu- Mini Project EXcel Clean'!A237:R1237,2,FALSE)</f>
        <v>52.2</v>
      </c>
      <c r="C238">
        <f>VLOOKUP(A238,'Subbu- Mini Project EXcel Clean'!A237:R1237,3,FALSE)</f>
        <v>54.1</v>
      </c>
      <c r="D238">
        <f>_xlfn.XLOOKUP(A238,'Subbu- Mini Project EXcel Clean'!A238:A1237,'Subbu- Mini Project EXcel Clean'!D238:D1237,"Entry Level",0)</f>
        <v>47.8</v>
      </c>
      <c r="E238">
        <f>_xlfn.XLOOKUP(A238,'Subbu- Mini Project EXcel Clean'!A238:A1237,'Subbu- Mini Project EXcel Clean'!F238:F1237,"Entry Level",0)</f>
        <v>57</v>
      </c>
      <c r="F238">
        <f>_xlfn.XLOOKUP(A238,'Subbu- Mini Project EXcel Clean'!A238:A1237,'Subbu- Mini Project EXcel Clean'!G238:G1237," ",0)</f>
        <v>56.2</v>
      </c>
      <c r="G238" t="str">
        <f>_xlfn.XLOOKUP(A238,'Subbu- Mini Project EXcel Clean'!A238:A1237,'Subbu- Mini Project EXcel Clean'!H238:H1237," ",0)</f>
        <v>Pass</v>
      </c>
      <c r="H238" t="str">
        <f>VLOOKUP(A238,'Subbu- Mini Project EXcel Clean'!A237:R1237,18,)</f>
        <v>High School</v>
      </c>
    </row>
    <row r="239" spans="1:8" x14ac:dyDescent="0.25">
      <c r="A239" t="s">
        <v>267</v>
      </c>
      <c r="B239">
        <f>VLOOKUP(A239,'Subbu- Mini Project EXcel Clean'!A238:R1238,2,FALSE)</f>
        <v>38.9</v>
      </c>
      <c r="C239">
        <f>VLOOKUP(A239,'Subbu- Mini Project EXcel Clean'!A238:R1238,3,FALSE)</f>
        <v>31.3</v>
      </c>
      <c r="D239">
        <f>_xlfn.XLOOKUP(A239,'Subbu- Mini Project EXcel Clean'!A239:A1238,'Subbu- Mini Project EXcel Clean'!D239:D1238,"Entry Level",0)</f>
        <v>27.2</v>
      </c>
      <c r="E239">
        <f>_xlfn.XLOOKUP(A239,'Subbu- Mini Project EXcel Clean'!A239:A1238,'Subbu- Mini Project EXcel Clean'!F239:F1238,"Entry Level",0)</f>
        <v>50.3</v>
      </c>
      <c r="F239">
        <f>_xlfn.XLOOKUP(A239,'Subbu- Mini Project EXcel Clean'!A239:A1238,'Subbu- Mini Project EXcel Clean'!G239:G1238," ",0)</f>
        <v>45.8</v>
      </c>
      <c r="G239" t="str">
        <f>_xlfn.XLOOKUP(A239,'Subbu- Mini Project EXcel Clean'!A239:A1238,'Subbu- Mini Project EXcel Clean'!H239:H1238," ",0)</f>
        <v>Fail</v>
      </c>
      <c r="H239" t="str">
        <f>VLOOKUP(A239,'Subbu- Mini Project EXcel Clean'!A238:R1238,18,)</f>
        <v>Bachelor</v>
      </c>
    </row>
    <row r="240" spans="1:8" x14ac:dyDescent="0.25">
      <c r="A240" t="s">
        <v>268</v>
      </c>
      <c r="B240">
        <f>VLOOKUP(A240,'Subbu- Mini Project EXcel Clean'!A239:R1239,2,FALSE)</f>
        <v>73.900000000000006</v>
      </c>
      <c r="C240">
        <f>VLOOKUP(A240,'Subbu- Mini Project EXcel Clean'!A239:R1239,3,FALSE)</f>
        <v>78.7</v>
      </c>
      <c r="D240">
        <f>_xlfn.XLOOKUP(A240,'Subbu- Mini Project EXcel Clean'!A240:A1239,'Subbu- Mini Project EXcel Clean'!D240:D1239,"Entry Level",0)</f>
        <v>73.2</v>
      </c>
      <c r="E240">
        <f>_xlfn.XLOOKUP(A240,'Subbu- Mini Project EXcel Clean'!A240:A1239,'Subbu- Mini Project EXcel Clean'!F240:F1239,"Entry Level",0)</f>
        <v>84.3</v>
      </c>
      <c r="F240">
        <f>_xlfn.XLOOKUP(A240,'Subbu- Mini Project EXcel Clean'!A240:A1239,'Subbu- Mini Project EXcel Clean'!G240:G1239," ",0)</f>
        <v>79.900000000000006</v>
      </c>
      <c r="G240" t="str">
        <f>_xlfn.XLOOKUP(A240,'Subbu- Mini Project EXcel Clean'!A240:A1239,'Subbu- Mini Project EXcel Clean'!H240:H1239," ",0)</f>
        <v>Pass</v>
      </c>
      <c r="H240" t="str">
        <f>VLOOKUP(A240,'Subbu- Mini Project EXcel Clean'!A239:R1239,18,)</f>
        <v>Master</v>
      </c>
    </row>
    <row r="241" spans="1:8" x14ac:dyDescent="0.25">
      <c r="A241" t="s">
        <v>269</v>
      </c>
      <c r="B241">
        <f>VLOOKUP(A241,'Subbu- Mini Project EXcel Clean'!A240:R1240,2,FALSE)</f>
        <v>51.9</v>
      </c>
      <c r="C241">
        <f>VLOOKUP(A241,'Subbu- Mini Project EXcel Clean'!A240:R1240,3,FALSE)</f>
        <v>43.5</v>
      </c>
      <c r="D241">
        <f>_xlfn.XLOOKUP(A241,'Subbu- Mini Project EXcel Clean'!A241:A1240,'Subbu- Mini Project EXcel Clean'!D241:D1240,"Entry Level",0)</f>
        <v>52.5</v>
      </c>
      <c r="E241">
        <f>_xlfn.XLOOKUP(A241,'Subbu- Mini Project EXcel Clean'!A241:A1240,'Subbu- Mini Project EXcel Clean'!F241:F1240,"Entry Level",0)</f>
        <v>54.7</v>
      </c>
      <c r="F241">
        <f>_xlfn.XLOOKUP(A241,'Subbu- Mini Project EXcel Clean'!A241:A1240,'Subbu- Mini Project EXcel Clean'!G241:G1240," ",0)</f>
        <v>52.2</v>
      </c>
      <c r="G241" t="str">
        <f>_xlfn.XLOOKUP(A241,'Subbu- Mini Project EXcel Clean'!A241:A1240,'Subbu- Mini Project EXcel Clean'!H241:H1240," ",0)</f>
        <v>Pass</v>
      </c>
      <c r="H241" t="str">
        <f>VLOOKUP(A241,'Subbu- Mini Project EXcel Clean'!A240:R1240,18,)</f>
        <v>Bachelor</v>
      </c>
    </row>
    <row r="242" spans="1:8" x14ac:dyDescent="0.25">
      <c r="A242" t="s">
        <v>270</v>
      </c>
      <c r="B242">
        <f>VLOOKUP(A242,'Subbu- Mini Project EXcel Clean'!A241:R1241,2,FALSE)</f>
        <v>94.3</v>
      </c>
      <c r="C242">
        <f>VLOOKUP(A242,'Subbu- Mini Project EXcel Clean'!A241:R1241,3,FALSE)</f>
        <v>92</v>
      </c>
      <c r="D242">
        <f>_xlfn.XLOOKUP(A242,'Subbu- Mini Project EXcel Clean'!A242:A1241,'Subbu- Mini Project EXcel Clean'!D242:D1241,"Entry Level",0)</f>
        <v>97.7</v>
      </c>
      <c r="E242">
        <f>_xlfn.XLOOKUP(A242,'Subbu- Mini Project EXcel Clean'!A242:A1241,'Subbu- Mini Project EXcel Clean'!F242:F1241,"Entry Level",0)</f>
        <v>87.1</v>
      </c>
      <c r="F242">
        <f>_xlfn.XLOOKUP(A242,'Subbu- Mini Project EXcel Clean'!A242:A1241,'Subbu- Mini Project EXcel Clean'!G242:G1241," ",0)</f>
        <v>89.4</v>
      </c>
      <c r="G242" t="str">
        <f>_xlfn.XLOOKUP(A242,'Subbu- Mini Project EXcel Clean'!A242:A1241,'Subbu- Mini Project EXcel Clean'!H242:H1241," ",0)</f>
        <v>Pass</v>
      </c>
      <c r="H242" t="str">
        <f>VLOOKUP(A242,'Subbu- Mini Project EXcel Clean'!A241:R1241,18,)</f>
        <v>High School</v>
      </c>
    </row>
    <row r="243" spans="1:8" x14ac:dyDescent="0.25">
      <c r="A243" t="s">
        <v>271</v>
      </c>
      <c r="B243">
        <f>VLOOKUP(A243,'Subbu- Mini Project EXcel Clean'!A242:R1242,2,FALSE)</f>
        <v>89.6</v>
      </c>
      <c r="C243">
        <f>VLOOKUP(A243,'Subbu- Mini Project EXcel Clean'!A242:R1242,3,FALSE)</f>
        <v>93.9</v>
      </c>
      <c r="D243">
        <f>_xlfn.XLOOKUP(A243,'Subbu- Mini Project EXcel Clean'!A243:A1242,'Subbu- Mini Project EXcel Clean'!D243:D1242,"Entry Level",0)</f>
        <v>90.2</v>
      </c>
      <c r="E243">
        <f>_xlfn.XLOOKUP(A243,'Subbu- Mini Project EXcel Clean'!A243:A1242,'Subbu- Mini Project EXcel Clean'!F243:F1242,"Entry Level",0)</f>
        <v>88.2</v>
      </c>
      <c r="F243">
        <f>_xlfn.XLOOKUP(A243,'Subbu- Mini Project EXcel Clean'!A243:A1242,'Subbu- Mini Project EXcel Clean'!G243:G1242," ",0)</f>
        <v>90.35</v>
      </c>
      <c r="G243" t="str">
        <f>_xlfn.XLOOKUP(A243,'Subbu- Mini Project EXcel Clean'!A243:A1242,'Subbu- Mini Project EXcel Clean'!H243:H1242," ",0)</f>
        <v>Pass</v>
      </c>
      <c r="H243" t="str">
        <f>VLOOKUP(A243,'Subbu- Mini Project EXcel Clean'!A242:R1242,18,)</f>
        <v>Bachelor</v>
      </c>
    </row>
    <row r="244" spans="1:8" x14ac:dyDescent="0.25">
      <c r="A244" t="s">
        <v>272</v>
      </c>
      <c r="B244">
        <f>VLOOKUP(A244,'Subbu- Mini Project EXcel Clean'!A243:R1243,2,FALSE)</f>
        <v>90.2</v>
      </c>
      <c r="C244">
        <f>VLOOKUP(A244,'Subbu- Mini Project EXcel Clean'!A243:R1243,3,FALSE)</f>
        <v>97.1</v>
      </c>
      <c r="D244">
        <f>_xlfn.XLOOKUP(A244,'Subbu- Mini Project EXcel Clean'!A244:A1243,'Subbu- Mini Project EXcel Clean'!D244:D1243,"Entry Level",0)</f>
        <v>88.3</v>
      </c>
      <c r="E244">
        <f>_xlfn.XLOOKUP(A244,'Subbu- Mini Project EXcel Clean'!A244:A1243,'Subbu- Mini Project EXcel Clean'!F244:F1243,"Entry Level",0)</f>
        <v>95.7</v>
      </c>
      <c r="F244">
        <f>_xlfn.XLOOKUP(A244,'Subbu- Mini Project EXcel Clean'!A244:A1243,'Subbu- Mini Project EXcel Clean'!G244:G1243," ",0)</f>
        <v>93</v>
      </c>
      <c r="G244" t="str">
        <f>_xlfn.XLOOKUP(A244,'Subbu- Mini Project EXcel Clean'!A244:A1243,'Subbu- Mini Project EXcel Clean'!H244:H1243," ",0)</f>
        <v>Pass</v>
      </c>
      <c r="H244" t="str">
        <f>VLOOKUP(A244,'Subbu- Mini Project EXcel Clean'!A243:R1243,18,)</f>
        <v>Master</v>
      </c>
    </row>
    <row r="245" spans="1:8" x14ac:dyDescent="0.25">
      <c r="A245" t="s">
        <v>273</v>
      </c>
      <c r="B245">
        <f>VLOOKUP(A245,'Subbu- Mini Project EXcel Clean'!A244:R1244,2,FALSE)</f>
        <v>71.099999999999994</v>
      </c>
      <c r="C245">
        <f>VLOOKUP(A245,'Subbu- Mini Project EXcel Clean'!A244:R1244,3,FALSE)</f>
        <v>53.8</v>
      </c>
      <c r="D245">
        <f>_xlfn.XLOOKUP(A245,'Subbu- Mini Project EXcel Clean'!A245:A1244,'Subbu- Mini Project EXcel Clean'!D245:D1244,"Entry Level",0)</f>
        <v>66.099999999999994</v>
      </c>
      <c r="E245">
        <f>_xlfn.XLOOKUP(A245,'Subbu- Mini Project EXcel Clean'!A245:A1244,'Subbu- Mini Project EXcel Clean'!F245:F1244,"Entry Level",0)</f>
        <v>75.8</v>
      </c>
      <c r="F245">
        <f>_xlfn.XLOOKUP(A245,'Subbu- Mini Project EXcel Clean'!A245:A1244,'Subbu- Mini Project EXcel Clean'!G245:G1244," ",0)</f>
        <v>68.099999999999994</v>
      </c>
      <c r="G245" t="str">
        <f>_xlfn.XLOOKUP(A245,'Subbu- Mini Project EXcel Clean'!A245:A1244,'Subbu- Mini Project EXcel Clean'!H245:H1244," ",0)</f>
        <v>Pass</v>
      </c>
      <c r="H245" t="str">
        <f>VLOOKUP(A245,'Subbu- Mini Project EXcel Clean'!A244:R1244,18,)</f>
        <v>High School</v>
      </c>
    </row>
    <row r="246" spans="1:8" x14ac:dyDescent="0.25">
      <c r="A246" t="s">
        <v>274</v>
      </c>
      <c r="B246">
        <f>VLOOKUP(A246,'Subbu- Mini Project EXcel Clean'!A245:R1245,2,FALSE)</f>
        <v>49.5</v>
      </c>
      <c r="C246">
        <f>VLOOKUP(A246,'Subbu- Mini Project EXcel Clean'!A245:R1245,3,FALSE)</f>
        <v>25.8</v>
      </c>
      <c r="D246">
        <f>_xlfn.XLOOKUP(A246,'Subbu- Mini Project EXcel Clean'!A246:A1245,'Subbu- Mini Project EXcel Clean'!D246:D1245,"Entry Level",0)</f>
        <v>31.5</v>
      </c>
      <c r="E246">
        <f>_xlfn.XLOOKUP(A246,'Subbu- Mini Project EXcel Clean'!A246:A1245,'Subbu- Mini Project EXcel Clean'!F246:F1245,"Entry Level",0)</f>
        <v>40.1</v>
      </c>
      <c r="F246">
        <f>_xlfn.XLOOKUP(A246,'Subbu- Mini Project EXcel Clean'!A246:A1245,'Subbu- Mini Project EXcel Clean'!G246:G1245," ",0)</f>
        <v>40.5</v>
      </c>
      <c r="G246" t="str">
        <f>_xlfn.XLOOKUP(A246,'Subbu- Mini Project EXcel Clean'!A246:A1245,'Subbu- Mini Project EXcel Clean'!H246:H1245," ",0)</f>
        <v>Fail</v>
      </c>
      <c r="H246" t="str">
        <f>VLOOKUP(A246,'Subbu- Mini Project EXcel Clean'!A245:R1245,18,)</f>
        <v>Bachelor</v>
      </c>
    </row>
    <row r="247" spans="1:8" x14ac:dyDescent="0.25">
      <c r="A247" t="s">
        <v>275</v>
      </c>
      <c r="B247">
        <f>VLOOKUP(A247,'Subbu- Mini Project EXcel Clean'!A246:R1246,2,FALSE)</f>
        <v>93.2</v>
      </c>
      <c r="C247">
        <f>VLOOKUP(A247,'Subbu- Mini Project EXcel Clean'!A246:R1246,3,FALSE)</f>
        <v>92</v>
      </c>
      <c r="D247">
        <f>_xlfn.XLOOKUP(A247,'Subbu- Mini Project EXcel Clean'!A247:A1246,'Subbu- Mini Project EXcel Clean'!D247:D1246,"Entry Level",0)</f>
        <v>89.1</v>
      </c>
      <c r="E247">
        <f>_xlfn.XLOOKUP(A247,'Subbu- Mini Project EXcel Clean'!A247:A1246,'Subbu- Mini Project EXcel Clean'!F247:F1246,"Entry Level",0)</f>
        <v>100</v>
      </c>
      <c r="F247">
        <f>_xlfn.XLOOKUP(A247,'Subbu- Mini Project EXcel Clean'!A247:A1246,'Subbu- Mini Project EXcel Clean'!G247:G1246," ",0)</f>
        <v>95.55</v>
      </c>
      <c r="G247" t="str">
        <f>_xlfn.XLOOKUP(A247,'Subbu- Mini Project EXcel Clean'!A247:A1246,'Subbu- Mini Project EXcel Clean'!H247:H1246," ",0)</f>
        <v>Pass</v>
      </c>
      <c r="H247" t="str">
        <f>VLOOKUP(A247,'Subbu- Mini Project EXcel Clean'!A246:R1246,18,)</f>
        <v>Master</v>
      </c>
    </row>
    <row r="248" spans="1:8" x14ac:dyDescent="0.25">
      <c r="A248" t="s">
        <v>276</v>
      </c>
      <c r="B248">
        <f>VLOOKUP(A248,'Subbu- Mini Project EXcel Clean'!A247:R1247,2,FALSE)</f>
        <v>63.7</v>
      </c>
      <c r="C248">
        <f>VLOOKUP(A248,'Subbu- Mini Project EXcel Clean'!A247:R1247,3,FALSE)</f>
        <v>72.599999999999994</v>
      </c>
      <c r="D248">
        <f>_xlfn.XLOOKUP(A248,'Subbu- Mini Project EXcel Clean'!A248:A1247,'Subbu- Mini Project EXcel Clean'!D248:D1247,"Entry Level",0)</f>
        <v>64.5</v>
      </c>
      <c r="E248">
        <f>_xlfn.XLOOKUP(A248,'Subbu- Mini Project EXcel Clean'!A248:A1247,'Subbu- Mini Project EXcel Clean'!F248:F1247,"Entry Level",0)</f>
        <v>77.400000000000006</v>
      </c>
      <c r="F248">
        <f>_xlfn.XLOOKUP(A248,'Subbu- Mini Project EXcel Clean'!A248:A1247,'Subbu- Mini Project EXcel Clean'!G248:G1247," ",0)</f>
        <v>70.5</v>
      </c>
      <c r="G248" t="str">
        <f>_xlfn.XLOOKUP(A248,'Subbu- Mini Project EXcel Clean'!A248:A1247,'Subbu- Mini Project EXcel Clean'!H248:H1247," ",0)</f>
        <v>Pass</v>
      </c>
      <c r="H248" t="str">
        <f>VLOOKUP(A248,'Subbu- Mini Project EXcel Clean'!A247:R1247,18,)</f>
        <v>High School</v>
      </c>
    </row>
    <row r="249" spans="1:8" x14ac:dyDescent="0.25">
      <c r="A249" t="s">
        <v>277</v>
      </c>
      <c r="B249">
        <f>VLOOKUP(A249,'Subbu- Mini Project EXcel Clean'!A248:R1248,2,FALSE)</f>
        <v>93.8</v>
      </c>
      <c r="C249">
        <f>VLOOKUP(A249,'Subbu- Mini Project EXcel Clean'!A248:R1248,3,FALSE)</f>
        <v>99.4</v>
      </c>
      <c r="D249">
        <f>_xlfn.XLOOKUP(A249,'Subbu- Mini Project EXcel Clean'!A249:A1248,'Subbu- Mini Project EXcel Clean'!D249:D1248,"Entry Level",0)</f>
        <v>95.4</v>
      </c>
      <c r="E249">
        <f>_xlfn.XLOOKUP(A249,'Subbu- Mini Project EXcel Clean'!A249:A1248,'Subbu- Mini Project EXcel Clean'!F249:F1248,"Entry Level",0)</f>
        <v>89.8</v>
      </c>
      <c r="F249">
        <f>_xlfn.XLOOKUP(A249,'Subbu- Mini Project EXcel Clean'!A249:A1248,'Subbu- Mini Project EXcel Clean'!G249:G1248," ",0)</f>
        <v>91.5</v>
      </c>
      <c r="G249" t="str">
        <f>_xlfn.XLOOKUP(A249,'Subbu- Mini Project EXcel Clean'!A249:A1248,'Subbu- Mini Project EXcel Clean'!H249:H1248," ",0)</f>
        <v>Pass</v>
      </c>
      <c r="H249" t="str">
        <f>VLOOKUP(A249,'Subbu- Mini Project EXcel Clean'!A248:R1248,18,)</f>
        <v>High School</v>
      </c>
    </row>
    <row r="250" spans="1:8" x14ac:dyDescent="0.25">
      <c r="A250" t="s">
        <v>278</v>
      </c>
      <c r="B250">
        <f>VLOOKUP(A250,'Subbu- Mini Project EXcel Clean'!A249:R1249,2,FALSE)</f>
        <v>96.1</v>
      </c>
      <c r="C250">
        <f>VLOOKUP(A250,'Subbu- Mini Project EXcel Clean'!A249:R1249,3,FALSE)</f>
        <v>94</v>
      </c>
      <c r="D250">
        <f>_xlfn.XLOOKUP(A250,'Subbu- Mini Project EXcel Clean'!A250:A1249,'Subbu- Mini Project EXcel Clean'!D250:D1249,"Entry Level",0)</f>
        <v>90.5</v>
      </c>
      <c r="E250">
        <f>_xlfn.XLOOKUP(A250,'Subbu- Mini Project EXcel Clean'!A250:A1249,'Subbu- Mini Project EXcel Clean'!F250:F1249,"Entry Level",0)</f>
        <v>100</v>
      </c>
      <c r="F250">
        <f>_xlfn.XLOOKUP(A250,'Subbu- Mini Project EXcel Clean'!A250:A1249,'Subbu- Mini Project EXcel Clean'!G250:G1249," ",0)</f>
        <v>96.5</v>
      </c>
      <c r="G250" t="str">
        <f>_xlfn.XLOOKUP(A250,'Subbu- Mini Project EXcel Clean'!A250:A1249,'Subbu- Mini Project EXcel Clean'!H250:H1249," ",0)</f>
        <v>Pass</v>
      </c>
      <c r="H250" t="str">
        <f>VLOOKUP(A250,'Subbu- Mini Project EXcel Clean'!A249:R1249,18,)</f>
        <v>Master</v>
      </c>
    </row>
    <row r="251" spans="1:8" x14ac:dyDescent="0.25">
      <c r="A251" t="s">
        <v>279</v>
      </c>
      <c r="B251">
        <f>VLOOKUP(A251,'Subbu- Mini Project EXcel Clean'!A250:R1250,2,FALSE)</f>
        <v>81.8</v>
      </c>
      <c r="C251">
        <f>VLOOKUP(A251,'Subbu- Mini Project EXcel Clean'!A250:R1250,3,FALSE)</f>
        <v>84.5</v>
      </c>
      <c r="D251">
        <f>_xlfn.XLOOKUP(A251,'Subbu- Mini Project EXcel Clean'!A251:A1250,'Subbu- Mini Project EXcel Clean'!D251:D1250,"Entry Level",0)</f>
        <v>87.1</v>
      </c>
      <c r="E251">
        <f>_xlfn.XLOOKUP(A251,'Subbu- Mini Project EXcel Clean'!A251:A1250,'Subbu- Mini Project EXcel Clean'!F251:F1250,"Entry Level",0)</f>
        <v>100</v>
      </c>
      <c r="F251">
        <f>_xlfn.XLOOKUP(A251,'Subbu- Mini Project EXcel Clean'!A251:A1250,'Subbu- Mini Project EXcel Clean'!G251:G1250," ",0)</f>
        <v>93.45</v>
      </c>
      <c r="G251" t="str">
        <f>_xlfn.XLOOKUP(A251,'Subbu- Mini Project EXcel Clean'!A251:A1250,'Subbu- Mini Project EXcel Clean'!H251:H1250," ",0)</f>
        <v>Pass</v>
      </c>
      <c r="H251" t="str">
        <f>VLOOKUP(A251,'Subbu- Mini Project EXcel Clean'!A250:R1250,18,)</f>
        <v>Bachelor</v>
      </c>
    </row>
    <row r="252" spans="1:8" x14ac:dyDescent="0.25">
      <c r="A252" t="s">
        <v>280</v>
      </c>
      <c r="B252">
        <f>VLOOKUP(A252,'Subbu- Mini Project EXcel Clean'!A251:R1251,2,FALSE)</f>
        <v>54.9</v>
      </c>
      <c r="C252">
        <f>VLOOKUP(A252,'Subbu- Mini Project EXcel Clean'!A251:R1251,3,FALSE)</f>
        <v>60.2</v>
      </c>
      <c r="D252">
        <f>_xlfn.XLOOKUP(A252,'Subbu- Mini Project EXcel Clean'!A252:A1251,'Subbu- Mini Project EXcel Clean'!D252:D1251,"Entry Level",0)</f>
        <v>43.8</v>
      </c>
      <c r="E252">
        <f>_xlfn.XLOOKUP(A252,'Subbu- Mini Project EXcel Clean'!A252:A1251,'Subbu- Mini Project EXcel Clean'!F252:F1251,"Entry Level",0)</f>
        <v>76.900000000000006</v>
      </c>
      <c r="F252">
        <f>_xlfn.XLOOKUP(A252,'Subbu- Mini Project EXcel Clean'!A252:A1251,'Subbu- Mini Project EXcel Clean'!G252:G1251," ",0)</f>
        <v>66.55</v>
      </c>
      <c r="G252" t="str">
        <f>_xlfn.XLOOKUP(A252,'Subbu- Mini Project EXcel Clean'!A252:A1251,'Subbu- Mini Project EXcel Clean'!H252:H1251," ",0)</f>
        <v>Pass</v>
      </c>
      <c r="H252" t="str">
        <f>VLOOKUP(A252,'Subbu- Mini Project EXcel Clean'!A251:R1251,18,)</f>
        <v>Bachelor</v>
      </c>
    </row>
    <row r="253" spans="1:8" x14ac:dyDescent="0.25">
      <c r="A253" t="s">
        <v>281</v>
      </c>
      <c r="B253">
        <f>VLOOKUP(A253,'Subbu- Mini Project EXcel Clean'!A252:R1252,2,FALSE)</f>
        <v>52.8</v>
      </c>
      <c r="C253">
        <f>VLOOKUP(A253,'Subbu- Mini Project EXcel Clean'!A252:R1252,3,FALSE)</f>
        <v>56.3</v>
      </c>
      <c r="D253">
        <f>_xlfn.XLOOKUP(A253,'Subbu- Mini Project EXcel Clean'!A253:A1252,'Subbu- Mini Project EXcel Clean'!D253:D1252,"Entry Level",0)</f>
        <v>57.9</v>
      </c>
      <c r="E253">
        <f>_xlfn.XLOOKUP(A253,'Subbu- Mini Project EXcel Clean'!A253:A1252,'Subbu- Mini Project EXcel Clean'!F253:F1252,"Entry Level",0)</f>
        <v>64.7</v>
      </c>
      <c r="F253">
        <f>_xlfn.XLOOKUP(A253,'Subbu- Mini Project EXcel Clean'!A253:A1252,'Subbu- Mini Project EXcel Clean'!G253:G1252," ",0)</f>
        <v>62.95</v>
      </c>
      <c r="G253" t="str">
        <f>_xlfn.XLOOKUP(A253,'Subbu- Mini Project EXcel Clean'!A253:A1252,'Subbu- Mini Project EXcel Clean'!H253:H1252," ",0)</f>
        <v>Pass</v>
      </c>
      <c r="H253" t="str">
        <f>VLOOKUP(A253,'Subbu- Mini Project EXcel Clean'!A252:R1252,18,)</f>
        <v>Bachelor</v>
      </c>
    </row>
    <row r="254" spans="1:8" x14ac:dyDescent="0.25">
      <c r="A254" t="s">
        <v>282</v>
      </c>
      <c r="B254">
        <f>VLOOKUP(A254,'Subbu- Mini Project EXcel Clean'!A253:R1253,2,FALSE)</f>
        <v>88.8</v>
      </c>
      <c r="C254">
        <f>VLOOKUP(A254,'Subbu- Mini Project EXcel Clean'!A253:R1253,3,FALSE)</f>
        <v>89.2</v>
      </c>
      <c r="D254">
        <f>_xlfn.XLOOKUP(A254,'Subbu- Mini Project EXcel Clean'!A254:A1253,'Subbu- Mini Project EXcel Clean'!D254:D1253,"Entry Level",0)</f>
        <v>89.1</v>
      </c>
      <c r="E254">
        <f>_xlfn.XLOOKUP(A254,'Subbu- Mini Project EXcel Clean'!A254:A1253,'Subbu- Mini Project EXcel Clean'!F254:F1253,"Entry Level",0)</f>
        <v>72.7</v>
      </c>
      <c r="F254">
        <f>_xlfn.XLOOKUP(A254,'Subbu- Mini Project EXcel Clean'!A254:A1253,'Subbu- Mini Project EXcel Clean'!G254:G1253," ",0)</f>
        <v>79.75</v>
      </c>
      <c r="G254" t="str">
        <f>_xlfn.XLOOKUP(A254,'Subbu- Mini Project EXcel Clean'!A254:A1253,'Subbu- Mini Project EXcel Clean'!H254:H1253," ",0)</f>
        <v>Pass</v>
      </c>
      <c r="H254" t="str">
        <f>VLOOKUP(A254,'Subbu- Mini Project EXcel Clean'!A253:R1253,18,)</f>
        <v>High School</v>
      </c>
    </row>
    <row r="255" spans="1:8" x14ac:dyDescent="0.25">
      <c r="A255" t="s">
        <v>283</v>
      </c>
      <c r="B255">
        <f>VLOOKUP(A255,'Subbu- Mini Project EXcel Clean'!A254:R1254,2,FALSE)</f>
        <v>60.7</v>
      </c>
      <c r="C255">
        <f>VLOOKUP(A255,'Subbu- Mini Project EXcel Clean'!A254:R1254,3,FALSE)</f>
        <v>60</v>
      </c>
      <c r="D255">
        <f>_xlfn.XLOOKUP(A255,'Subbu- Mini Project EXcel Clean'!A255:A1254,'Subbu- Mini Project EXcel Clean'!D255:D1254,"Entry Level",0)</f>
        <v>52.5</v>
      </c>
      <c r="E255">
        <f>_xlfn.XLOOKUP(A255,'Subbu- Mini Project EXcel Clean'!A255:A1254,'Subbu- Mini Project EXcel Clean'!F255:F1254,"Entry Level",0)</f>
        <v>69.8</v>
      </c>
      <c r="F255">
        <f>_xlfn.XLOOKUP(A255,'Subbu- Mini Project EXcel Clean'!A255:A1254,'Subbu- Mini Project EXcel Clean'!G255:G1254," ",0)</f>
        <v>63.6</v>
      </c>
      <c r="G255" t="str">
        <f>_xlfn.XLOOKUP(A255,'Subbu- Mini Project EXcel Clean'!A255:A1254,'Subbu- Mini Project EXcel Clean'!H255:H1254," ",0)</f>
        <v>Pass</v>
      </c>
      <c r="H255" t="str">
        <f>VLOOKUP(A255,'Subbu- Mini Project EXcel Clean'!A254:R1254,18,)</f>
        <v>High School</v>
      </c>
    </row>
    <row r="256" spans="1:8" x14ac:dyDescent="0.25">
      <c r="A256" t="s">
        <v>284</v>
      </c>
      <c r="B256">
        <f>VLOOKUP(A256,'Subbu- Mini Project EXcel Clean'!A255:R1255,2,FALSE)</f>
        <v>46.9</v>
      </c>
      <c r="C256">
        <f>VLOOKUP(A256,'Subbu- Mini Project EXcel Clean'!A255:R1255,3,FALSE)</f>
        <v>54.6</v>
      </c>
      <c r="D256">
        <f>_xlfn.XLOOKUP(A256,'Subbu- Mini Project EXcel Clean'!A256:A1255,'Subbu- Mini Project EXcel Clean'!D256:D1255,"Entry Level",0)</f>
        <v>49.6</v>
      </c>
      <c r="E256">
        <f>_xlfn.XLOOKUP(A256,'Subbu- Mini Project EXcel Clean'!A256:A1255,'Subbu- Mini Project EXcel Clean'!F256:F1255,"Entry Level",0)</f>
        <v>59.1</v>
      </c>
      <c r="F256">
        <f>_xlfn.XLOOKUP(A256,'Subbu- Mini Project EXcel Clean'!A256:A1255,'Subbu- Mini Project EXcel Clean'!G256:G1255," ",0)</f>
        <v>54.2</v>
      </c>
      <c r="G256" t="str">
        <f>_xlfn.XLOOKUP(A256,'Subbu- Mini Project EXcel Clean'!A256:A1255,'Subbu- Mini Project EXcel Clean'!H256:H1255," ",0)</f>
        <v>Pass</v>
      </c>
      <c r="H256" t="str">
        <f>VLOOKUP(A256,'Subbu- Mini Project EXcel Clean'!A255:R1255,18,)</f>
        <v>Bachelor</v>
      </c>
    </row>
    <row r="257" spans="1:8" x14ac:dyDescent="0.25">
      <c r="A257" t="s">
        <v>285</v>
      </c>
      <c r="B257">
        <f>VLOOKUP(A257,'Subbu- Mini Project EXcel Clean'!A256:R1256,2,FALSE)</f>
        <v>78.5</v>
      </c>
      <c r="C257">
        <f>VLOOKUP(A257,'Subbu- Mini Project EXcel Clean'!A256:R1256,3,FALSE)</f>
        <v>84.4</v>
      </c>
      <c r="D257">
        <f>_xlfn.XLOOKUP(A257,'Subbu- Mini Project EXcel Clean'!A257:A1256,'Subbu- Mini Project EXcel Clean'!D257:D1256,"Entry Level",0)</f>
        <v>72.900000000000006</v>
      </c>
      <c r="E257">
        <f>_xlfn.XLOOKUP(A257,'Subbu- Mini Project EXcel Clean'!A257:A1256,'Subbu- Mini Project EXcel Clean'!F257:F1256,"Entry Level",0)</f>
        <v>79.5</v>
      </c>
      <c r="F257">
        <f>_xlfn.XLOOKUP(A257,'Subbu- Mini Project EXcel Clean'!A257:A1256,'Subbu- Mini Project EXcel Clean'!G257:G1256," ",0)</f>
        <v>75.05</v>
      </c>
      <c r="G257" t="str">
        <f>_xlfn.XLOOKUP(A257,'Subbu- Mini Project EXcel Clean'!A257:A1256,'Subbu- Mini Project EXcel Clean'!H257:H1256," ",0)</f>
        <v>Pass</v>
      </c>
      <c r="H257" t="str">
        <f>VLOOKUP(A257,'Subbu- Mini Project EXcel Clean'!A256:R1256,18,)</f>
        <v>High School</v>
      </c>
    </row>
    <row r="258" spans="1:8" x14ac:dyDescent="0.25">
      <c r="A258" t="s">
        <v>286</v>
      </c>
      <c r="B258">
        <f>VLOOKUP(A258,'Subbu- Mini Project EXcel Clean'!A257:R1257,2,FALSE)</f>
        <v>85.4</v>
      </c>
      <c r="C258">
        <f>VLOOKUP(A258,'Subbu- Mini Project EXcel Clean'!A257:R1257,3,FALSE)</f>
        <v>93.5</v>
      </c>
      <c r="D258">
        <f>_xlfn.XLOOKUP(A258,'Subbu- Mini Project EXcel Clean'!A258:A1257,'Subbu- Mini Project EXcel Clean'!D258:D1257,"Entry Level",0)</f>
        <v>89.8</v>
      </c>
      <c r="E258">
        <f>_xlfn.XLOOKUP(A258,'Subbu- Mini Project EXcel Clean'!A258:A1257,'Subbu- Mini Project EXcel Clean'!F258:F1257,"Entry Level",0)</f>
        <v>92.4</v>
      </c>
      <c r="F258">
        <f>_xlfn.XLOOKUP(A258,'Subbu- Mini Project EXcel Clean'!A258:A1257,'Subbu- Mini Project EXcel Clean'!G258:G1257," ",0)</f>
        <v>91.95</v>
      </c>
      <c r="G258" t="str">
        <f>_xlfn.XLOOKUP(A258,'Subbu- Mini Project EXcel Clean'!A258:A1257,'Subbu- Mini Project EXcel Clean'!H258:H1257," ",0)</f>
        <v>Pass</v>
      </c>
      <c r="H258" t="str">
        <f>VLOOKUP(A258,'Subbu- Mini Project EXcel Clean'!A257:R1257,18,)</f>
        <v>High School</v>
      </c>
    </row>
    <row r="259" spans="1:8" x14ac:dyDescent="0.25">
      <c r="A259" t="s">
        <v>287</v>
      </c>
      <c r="B259">
        <f>VLOOKUP(A259,'Subbu- Mini Project EXcel Clean'!A258:R1258,2,FALSE)</f>
        <v>71</v>
      </c>
      <c r="C259">
        <f>VLOOKUP(A259,'Subbu- Mini Project EXcel Clean'!A258:R1258,3,FALSE)</f>
        <v>75.7</v>
      </c>
      <c r="D259">
        <f>_xlfn.XLOOKUP(A259,'Subbu- Mini Project EXcel Clean'!A259:A1258,'Subbu- Mini Project EXcel Clean'!D259:D1258,"Entry Level",0)</f>
        <v>79.099999999999994</v>
      </c>
      <c r="E259">
        <f>_xlfn.XLOOKUP(A259,'Subbu- Mini Project EXcel Clean'!A259:A1258,'Subbu- Mini Project EXcel Clean'!F259:F1258,"Entry Level",0)</f>
        <v>74.2</v>
      </c>
      <c r="F259">
        <f>_xlfn.XLOOKUP(A259,'Subbu- Mini Project EXcel Clean'!A259:A1258,'Subbu- Mini Project EXcel Clean'!G259:G1258," ",0)</f>
        <v>76.25</v>
      </c>
      <c r="G259" t="str">
        <f>_xlfn.XLOOKUP(A259,'Subbu- Mini Project EXcel Clean'!A259:A1258,'Subbu- Mini Project EXcel Clean'!H259:H1258," ",0)</f>
        <v>Pass</v>
      </c>
      <c r="H259" t="str">
        <f>VLOOKUP(A259,'Subbu- Mini Project EXcel Clean'!A258:R1258,18,)</f>
        <v>Master</v>
      </c>
    </row>
    <row r="260" spans="1:8" x14ac:dyDescent="0.25">
      <c r="A260" t="s">
        <v>288</v>
      </c>
      <c r="B260">
        <f>VLOOKUP(A260,'Subbu- Mini Project EXcel Clean'!A259:R1259,2,FALSE)</f>
        <v>72.5</v>
      </c>
      <c r="C260">
        <f>VLOOKUP(A260,'Subbu- Mini Project EXcel Clean'!A259:R1259,3,FALSE)</f>
        <v>71.2</v>
      </c>
      <c r="D260">
        <f>_xlfn.XLOOKUP(A260,'Subbu- Mini Project EXcel Clean'!A260:A1259,'Subbu- Mini Project EXcel Clean'!D260:D1259,"Entry Level",0)</f>
        <v>66.5</v>
      </c>
      <c r="E260">
        <f>_xlfn.XLOOKUP(A260,'Subbu- Mini Project EXcel Clean'!A260:A1259,'Subbu- Mini Project EXcel Clean'!F260:F1259,"Entry Level",0)</f>
        <v>68.3</v>
      </c>
      <c r="F260">
        <f>_xlfn.XLOOKUP(A260,'Subbu- Mini Project EXcel Clean'!A260:A1259,'Subbu- Mini Project EXcel Clean'!G260:G1259," ",0)</f>
        <v>69.849999999999994</v>
      </c>
      <c r="G260" t="str">
        <f>_xlfn.XLOOKUP(A260,'Subbu- Mini Project EXcel Clean'!A260:A1259,'Subbu- Mini Project EXcel Clean'!H260:H1259," ",0)</f>
        <v>Pass</v>
      </c>
      <c r="H260" t="str">
        <f>VLOOKUP(A260,'Subbu- Mini Project EXcel Clean'!A259:R1259,18,)</f>
        <v>Bachelor</v>
      </c>
    </row>
    <row r="261" spans="1:8" x14ac:dyDescent="0.25">
      <c r="A261" t="s">
        <v>289</v>
      </c>
      <c r="B261">
        <f>VLOOKUP(A261,'Subbu- Mini Project EXcel Clean'!A260:R1260,2,FALSE)</f>
        <v>50.6</v>
      </c>
      <c r="C261">
        <f>VLOOKUP(A261,'Subbu- Mini Project EXcel Clean'!A260:R1260,3,FALSE)</f>
        <v>36.5</v>
      </c>
      <c r="D261">
        <f>_xlfn.XLOOKUP(A261,'Subbu- Mini Project EXcel Clean'!A261:A1260,'Subbu- Mini Project EXcel Clean'!D261:D1260,"Entry Level",0)</f>
        <v>44.3</v>
      </c>
      <c r="E261">
        <f>_xlfn.XLOOKUP(A261,'Subbu- Mini Project EXcel Clean'!A261:A1260,'Subbu- Mini Project EXcel Clean'!F261:F1260,"Entry Level",0)</f>
        <v>61.3</v>
      </c>
      <c r="F261">
        <f>_xlfn.XLOOKUP(A261,'Subbu- Mini Project EXcel Clean'!A261:A1260,'Subbu- Mini Project EXcel Clean'!G261:G1260," ",0)</f>
        <v>53.3</v>
      </c>
      <c r="G261" t="str">
        <f>_xlfn.XLOOKUP(A261,'Subbu- Mini Project EXcel Clean'!A261:A1260,'Subbu- Mini Project EXcel Clean'!H261:H1260," ",0)</f>
        <v>Pass</v>
      </c>
      <c r="H261" t="str">
        <f>VLOOKUP(A261,'Subbu- Mini Project EXcel Clean'!A260:R1260,18,)</f>
        <v>Bachelor</v>
      </c>
    </row>
    <row r="262" spans="1:8" x14ac:dyDescent="0.25">
      <c r="A262" t="s">
        <v>290</v>
      </c>
      <c r="B262">
        <f>VLOOKUP(A262,'Subbu- Mini Project EXcel Clean'!A261:R1261,2,FALSE)</f>
        <v>82.2</v>
      </c>
      <c r="C262">
        <f>VLOOKUP(A262,'Subbu- Mini Project EXcel Clean'!A261:R1261,3,FALSE)</f>
        <v>70.400000000000006</v>
      </c>
      <c r="D262">
        <f>_xlfn.XLOOKUP(A262,'Subbu- Mini Project EXcel Clean'!A262:A1261,'Subbu- Mini Project EXcel Clean'!D262:D1261,"Entry Level",0)</f>
        <v>76.900000000000006</v>
      </c>
      <c r="E262">
        <f>_xlfn.XLOOKUP(A262,'Subbu- Mini Project EXcel Clean'!A262:A1261,'Subbu- Mini Project EXcel Clean'!F262:F1261,"Entry Level",0)</f>
        <v>81.099999999999994</v>
      </c>
      <c r="F262">
        <f>_xlfn.XLOOKUP(A262,'Subbu- Mini Project EXcel Clean'!A262:A1261,'Subbu- Mini Project EXcel Clean'!G262:G1261," ",0)</f>
        <v>77.45</v>
      </c>
      <c r="G262" t="str">
        <f>_xlfn.XLOOKUP(A262,'Subbu- Mini Project EXcel Clean'!A262:A1261,'Subbu- Mini Project EXcel Clean'!H262:H1261," ",0)</f>
        <v>Pass</v>
      </c>
      <c r="H262" t="str">
        <f>VLOOKUP(A262,'Subbu- Mini Project EXcel Clean'!A261:R1261,18,)</f>
        <v>Bachelor</v>
      </c>
    </row>
    <row r="263" spans="1:8" x14ac:dyDescent="0.25">
      <c r="A263" t="s">
        <v>291</v>
      </c>
      <c r="B263">
        <f>VLOOKUP(A263,'Subbu- Mini Project EXcel Clean'!A262:R1262,2,FALSE)</f>
        <v>92.2</v>
      </c>
      <c r="C263">
        <f>VLOOKUP(A263,'Subbu- Mini Project EXcel Clean'!A262:R1262,3,FALSE)</f>
        <v>92.4</v>
      </c>
      <c r="D263">
        <f>_xlfn.XLOOKUP(A263,'Subbu- Mini Project EXcel Clean'!A263:A1262,'Subbu- Mini Project EXcel Clean'!D263:D1262,"Entry Level",0)</f>
        <v>95.2</v>
      </c>
      <c r="E263">
        <f>_xlfn.XLOOKUP(A263,'Subbu- Mini Project EXcel Clean'!A263:A1262,'Subbu- Mini Project EXcel Clean'!F263:F1262,"Entry Level",0)</f>
        <v>98.6</v>
      </c>
      <c r="F263">
        <f>_xlfn.XLOOKUP(A263,'Subbu- Mini Project EXcel Clean'!A263:A1262,'Subbu- Mini Project EXcel Clean'!G263:G1262," ",0)</f>
        <v>96.55</v>
      </c>
      <c r="G263" t="str">
        <f>_xlfn.XLOOKUP(A263,'Subbu- Mini Project EXcel Clean'!A263:A1262,'Subbu- Mini Project EXcel Clean'!H263:H1262," ",0)</f>
        <v>Pass</v>
      </c>
      <c r="H263" t="str">
        <f>VLOOKUP(A263,'Subbu- Mini Project EXcel Clean'!A262:R1262,18,)</f>
        <v>High School</v>
      </c>
    </row>
    <row r="264" spans="1:8" x14ac:dyDescent="0.25">
      <c r="A264" t="s">
        <v>292</v>
      </c>
      <c r="B264">
        <f>VLOOKUP(A264,'Subbu- Mini Project EXcel Clean'!A263:R1263,2,FALSE)</f>
        <v>53.1</v>
      </c>
      <c r="C264">
        <f>VLOOKUP(A264,'Subbu- Mini Project EXcel Clean'!A263:R1263,3,FALSE)</f>
        <v>45.1</v>
      </c>
      <c r="D264">
        <f>_xlfn.XLOOKUP(A264,'Subbu- Mini Project EXcel Clean'!A264:A1263,'Subbu- Mini Project EXcel Clean'!D264:D1263,"Entry Level",0)</f>
        <v>44.8</v>
      </c>
      <c r="E264">
        <f>_xlfn.XLOOKUP(A264,'Subbu- Mini Project EXcel Clean'!A264:A1263,'Subbu- Mini Project EXcel Clean'!F264:F1263,"Entry Level",0)</f>
        <v>52.9</v>
      </c>
      <c r="F264">
        <f>_xlfn.XLOOKUP(A264,'Subbu- Mini Project EXcel Clean'!A264:A1263,'Subbu- Mini Project EXcel Clean'!G264:G1263," ",0)</f>
        <v>50.3</v>
      </c>
      <c r="G264" t="str">
        <f>_xlfn.XLOOKUP(A264,'Subbu- Mini Project EXcel Clean'!A264:A1263,'Subbu- Mini Project EXcel Clean'!H264:H1263," ",0)</f>
        <v>Pass</v>
      </c>
      <c r="H264" t="str">
        <f>VLOOKUP(A264,'Subbu- Mini Project EXcel Clean'!A263:R1263,18,)</f>
        <v>High School</v>
      </c>
    </row>
    <row r="265" spans="1:8" x14ac:dyDescent="0.25">
      <c r="A265" t="s">
        <v>293</v>
      </c>
      <c r="B265">
        <f>VLOOKUP(A265,'Subbu- Mini Project EXcel Clean'!A264:R1264,2,FALSE)</f>
        <v>68.3</v>
      </c>
      <c r="C265">
        <f>VLOOKUP(A265,'Subbu- Mini Project EXcel Clean'!A264:R1264,3,FALSE)</f>
        <v>69.3</v>
      </c>
      <c r="D265">
        <f>_xlfn.XLOOKUP(A265,'Subbu- Mini Project EXcel Clean'!A265:A1264,'Subbu- Mini Project EXcel Clean'!D265:D1264,"Entry Level",0)</f>
        <v>69.599999999999994</v>
      </c>
      <c r="E265">
        <f>_xlfn.XLOOKUP(A265,'Subbu- Mini Project EXcel Clean'!A265:A1264,'Subbu- Mini Project EXcel Clean'!F265:F1264,"Entry Level",0)</f>
        <v>63.8</v>
      </c>
      <c r="F265">
        <f>_xlfn.XLOOKUP(A265,'Subbu- Mini Project EXcel Clean'!A265:A1264,'Subbu- Mini Project EXcel Clean'!G265:G1264," ",0)</f>
        <v>66.150000000000006</v>
      </c>
      <c r="G265" t="str">
        <f>_xlfn.XLOOKUP(A265,'Subbu- Mini Project EXcel Clean'!A265:A1264,'Subbu- Mini Project EXcel Clean'!H265:H1264," ",0)</f>
        <v>Pass</v>
      </c>
      <c r="H265" t="str">
        <f>VLOOKUP(A265,'Subbu- Mini Project EXcel Clean'!A264:R1264,18,)</f>
        <v>High School</v>
      </c>
    </row>
    <row r="266" spans="1:8" x14ac:dyDescent="0.25">
      <c r="A266" t="s">
        <v>294</v>
      </c>
      <c r="B266">
        <f>VLOOKUP(A266,'Subbu- Mini Project EXcel Clean'!A265:R1265,2,FALSE)</f>
        <v>87.4</v>
      </c>
      <c r="C266">
        <f>VLOOKUP(A266,'Subbu- Mini Project EXcel Clean'!A265:R1265,3,FALSE)</f>
        <v>84.1</v>
      </c>
      <c r="D266">
        <f>_xlfn.XLOOKUP(A266,'Subbu- Mini Project EXcel Clean'!A266:A1265,'Subbu- Mini Project EXcel Clean'!D266:D1265,"Entry Level",0)</f>
        <v>91.8</v>
      </c>
      <c r="E266">
        <f>_xlfn.XLOOKUP(A266,'Subbu- Mini Project EXcel Clean'!A266:A1265,'Subbu- Mini Project EXcel Clean'!F266:F1265,"Entry Level",0)</f>
        <v>86.5</v>
      </c>
      <c r="F266">
        <f>_xlfn.XLOOKUP(A266,'Subbu- Mini Project EXcel Clean'!A266:A1265,'Subbu- Mini Project EXcel Clean'!G266:G1265," ",0)</f>
        <v>87.4</v>
      </c>
      <c r="G266" t="str">
        <f>_xlfn.XLOOKUP(A266,'Subbu- Mini Project EXcel Clean'!A266:A1265,'Subbu- Mini Project EXcel Clean'!H266:H1265," ",0)</f>
        <v>Pass</v>
      </c>
      <c r="H266" t="str">
        <f>VLOOKUP(A266,'Subbu- Mini Project EXcel Clean'!A265:R1265,18,)</f>
        <v>Bachelor</v>
      </c>
    </row>
    <row r="267" spans="1:8" x14ac:dyDescent="0.25">
      <c r="A267" t="s">
        <v>295</v>
      </c>
      <c r="B267">
        <f>VLOOKUP(A267,'Subbu- Mini Project EXcel Clean'!A266:R1266,2,FALSE)</f>
        <v>85.2</v>
      </c>
      <c r="C267">
        <f>VLOOKUP(A267,'Subbu- Mini Project EXcel Clean'!A266:R1266,3,FALSE)</f>
        <v>86.3</v>
      </c>
      <c r="D267">
        <f>_xlfn.XLOOKUP(A267,'Subbu- Mini Project EXcel Clean'!A267:A1266,'Subbu- Mini Project EXcel Clean'!D267:D1266,"Entry Level",0)</f>
        <v>70.5</v>
      </c>
      <c r="E267">
        <f>_xlfn.XLOOKUP(A267,'Subbu- Mini Project EXcel Clean'!A267:A1266,'Subbu- Mini Project EXcel Clean'!F267:F1266,"Entry Level",0)</f>
        <v>82.1</v>
      </c>
      <c r="F267">
        <f>_xlfn.XLOOKUP(A267,'Subbu- Mini Project EXcel Clean'!A267:A1266,'Subbu- Mini Project EXcel Clean'!G267:G1266," ",0)</f>
        <v>81.400000000000006</v>
      </c>
      <c r="G267" t="str">
        <f>_xlfn.XLOOKUP(A267,'Subbu- Mini Project EXcel Clean'!A267:A1266,'Subbu- Mini Project EXcel Clean'!H267:H1266," ",0)</f>
        <v>Pass</v>
      </c>
      <c r="H267" t="str">
        <f>VLOOKUP(A267,'Subbu- Mini Project EXcel Clean'!A266:R1266,18,)</f>
        <v>High School</v>
      </c>
    </row>
    <row r="268" spans="1:8" x14ac:dyDescent="0.25">
      <c r="A268" t="s">
        <v>296</v>
      </c>
      <c r="B268">
        <f>VLOOKUP(A268,'Subbu- Mini Project EXcel Clean'!A267:R1267,2,FALSE)</f>
        <v>81.599999999999994</v>
      </c>
      <c r="C268">
        <f>VLOOKUP(A268,'Subbu- Mini Project EXcel Clean'!A267:R1267,3,FALSE)</f>
        <v>78.3</v>
      </c>
      <c r="D268">
        <f>_xlfn.XLOOKUP(A268,'Subbu- Mini Project EXcel Clean'!A268:A1267,'Subbu- Mini Project EXcel Clean'!D268:D1267,"Entry Level",0)</f>
        <v>84.1</v>
      </c>
      <c r="E268">
        <f>_xlfn.XLOOKUP(A268,'Subbu- Mini Project EXcel Clean'!A268:A1267,'Subbu- Mini Project EXcel Clean'!F268:F1267,"Entry Level",0)</f>
        <v>73.599999999999994</v>
      </c>
      <c r="F268">
        <f>_xlfn.XLOOKUP(A268,'Subbu- Mini Project EXcel Clean'!A268:A1267,'Subbu- Mini Project EXcel Clean'!G268:G1267," ",0)</f>
        <v>75.95</v>
      </c>
      <c r="G268" t="str">
        <f>_xlfn.XLOOKUP(A268,'Subbu- Mini Project EXcel Clean'!A268:A1267,'Subbu- Mini Project EXcel Clean'!H268:H1267," ",0)</f>
        <v>Pass</v>
      </c>
      <c r="H268" t="str">
        <f>VLOOKUP(A268,'Subbu- Mini Project EXcel Clean'!A267:R1267,18,)</f>
        <v>Bachelor</v>
      </c>
    </row>
    <row r="269" spans="1:8" x14ac:dyDescent="0.25">
      <c r="A269" t="s">
        <v>297</v>
      </c>
      <c r="B269">
        <f>VLOOKUP(A269,'Subbu- Mini Project EXcel Clean'!A268:R1268,2,FALSE)</f>
        <v>70.8</v>
      </c>
      <c r="C269">
        <f>VLOOKUP(A269,'Subbu- Mini Project EXcel Clean'!A268:R1268,3,FALSE)</f>
        <v>78.599999999999994</v>
      </c>
      <c r="D269">
        <f>_xlfn.XLOOKUP(A269,'Subbu- Mini Project EXcel Clean'!A269:A1268,'Subbu- Mini Project EXcel Clean'!D269:D1268,"Entry Level",0)</f>
        <v>77</v>
      </c>
      <c r="E269">
        <f>_xlfn.XLOOKUP(A269,'Subbu- Mini Project EXcel Clean'!A269:A1268,'Subbu- Mini Project EXcel Clean'!F269:F1268,"Entry Level",0)</f>
        <v>70.099999999999994</v>
      </c>
      <c r="F269">
        <f>_xlfn.XLOOKUP(A269,'Subbu- Mini Project EXcel Clean'!A269:A1268,'Subbu- Mini Project EXcel Clean'!G269:G1268," ",0)</f>
        <v>74.349999999999994</v>
      </c>
      <c r="G269" t="str">
        <f>_xlfn.XLOOKUP(A269,'Subbu- Mini Project EXcel Clean'!A269:A1268,'Subbu- Mini Project EXcel Clean'!H269:H1268," ",0)</f>
        <v>Pass</v>
      </c>
      <c r="H269" t="str">
        <f>VLOOKUP(A269,'Subbu- Mini Project EXcel Clean'!A268:R1268,18,)</f>
        <v>High School</v>
      </c>
    </row>
    <row r="270" spans="1:8" x14ac:dyDescent="0.25">
      <c r="A270" t="s">
        <v>298</v>
      </c>
      <c r="B270">
        <f>VLOOKUP(A270,'Subbu- Mini Project EXcel Clean'!A269:R1269,2,FALSE)</f>
        <v>67.2</v>
      </c>
      <c r="C270">
        <f>VLOOKUP(A270,'Subbu- Mini Project EXcel Clean'!A269:R1269,3,FALSE)</f>
        <v>58.1</v>
      </c>
      <c r="D270">
        <f>_xlfn.XLOOKUP(A270,'Subbu- Mini Project EXcel Clean'!A270:A1269,'Subbu- Mini Project EXcel Clean'!D270:D1269,"Entry Level",0)</f>
        <v>61.9</v>
      </c>
      <c r="E270">
        <f>_xlfn.XLOOKUP(A270,'Subbu- Mini Project EXcel Clean'!A270:A1269,'Subbu- Mini Project EXcel Clean'!F270:F1269,"Entry Level",0)</f>
        <v>70</v>
      </c>
      <c r="F270">
        <f>_xlfn.XLOOKUP(A270,'Subbu- Mini Project EXcel Clean'!A270:A1269,'Subbu- Mini Project EXcel Clean'!G270:G1269," ",0)</f>
        <v>64.900000000000006</v>
      </c>
      <c r="G270" t="str">
        <f>_xlfn.XLOOKUP(A270,'Subbu- Mini Project EXcel Clean'!A270:A1269,'Subbu- Mini Project EXcel Clean'!H270:H1269," ",0)</f>
        <v>Pass</v>
      </c>
      <c r="H270" t="str">
        <f>VLOOKUP(A270,'Subbu- Mini Project EXcel Clean'!A269:R1269,18,)</f>
        <v>Bachelor</v>
      </c>
    </row>
    <row r="271" spans="1:8" x14ac:dyDescent="0.25">
      <c r="A271" t="s">
        <v>299</v>
      </c>
      <c r="B271">
        <f>VLOOKUP(A271,'Subbu- Mini Project EXcel Clean'!A270:R1270,2,FALSE)</f>
        <v>63</v>
      </c>
      <c r="C271">
        <f>VLOOKUP(A271,'Subbu- Mini Project EXcel Clean'!A270:R1270,3,FALSE)</f>
        <v>56.9</v>
      </c>
      <c r="D271">
        <f>_xlfn.XLOOKUP(A271,'Subbu- Mini Project EXcel Clean'!A271:A1270,'Subbu- Mini Project EXcel Clean'!D271:D1270,"Entry Level",0)</f>
        <v>62.1</v>
      </c>
      <c r="E271">
        <f>_xlfn.XLOOKUP(A271,'Subbu- Mini Project EXcel Clean'!A271:A1270,'Subbu- Mini Project EXcel Clean'!F271:F1270,"Entry Level",0)</f>
        <v>55.1</v>
      </c>
      <c r="F271">
        <f>_xlfn.XLOOKUP(A271,'Subbu- Mini Project EXcel Clean'!A271:A1270,'Subbu- Mini Project EXcel Clean'!G271:G1270," ",0)</f>
        <v>55.6</v>
      </c>
      <c r="G271" t="str">
        <f>_xlfn.XLOOKUP(A271,'Subbu- Mini Project EXcel Clean'!A271:A1270,'Subbu- Mini Project EXcel Clean'!H271:H1270," ",0)</f>
        <v>Pass</v>
      </c>
      <c r="H271" t="str">
        <f>VLOOKUP(A271,'Subbu- Mini Project EXcel Clean'!A270:R1270,18,)</f>
        <v>Master</v>
      </c>
    </row>
    <row r="272" spans="1:8" x14ac:dyDescent="0.25">
      <c r="A272" t="s">
        <v>300</v>
      </c>
      <c r="B272">
        <f>VLOOKUP(A272,'Subbu- Mini Project EXcel Clean'!A271:R1271,2,FALSE)</f>
        <v>81.400000000000006</v>
      </c>
      <c r="C272">
        <f>VLOOKUP(A272,'Subbu- Mini Project EXcel Clean'!A271:R1271,3,FALSE)</f>
        <v>88.6</v>
      </c>
      <c r="D272">
        <f>_xlfn.XLOOKUP(A272,'Subbu- Mini Project EXcel Clean'!A272:A1271,'Subbu- Mini Project EXcel Clean'!D272:D1271,"Entry Level",0)</f>
        <v>77.7</v>
      </c>
      <c r="E272">
        <f>_xlfn.XLOOKUP(A272,'Subbu- Mini Project EXcel Clean'!A272:A1271,'Subbu- Mini Project EXcel Clean'!F272:F1271,"Entry Level",0)</f>
        <v>95.7</v>
      </c>
      <c r="F272">
        <f>_xlfn.XLOOKUP(A272,'Subbu- Mini Project EXcel Clean'!A272:A1271,'Subbu- Mini Project EXcel Clean'!G272:G1271," ",0)</f>
        <v>90.1</v>
      </c>
      <c r="G272" t="str">
        <f>_xlfn.XLOOKUP(A272,'Subbu- Mini Project EXcel Clean'!A272:A1271,'Subbu- Mini Project EXcel Clean'!H272:H1271," ",0)</f>
        <v>Pass</v>
      </c>
      <c r="H272" t="str">
        <f>VLOOKUP(A272,'Subbu- Mini Project EXcel Clean'!A271:R1271,18,)</f>
        <v>High School</v>
      </c>
    </row>
    <row r="273" spans="1:8" x14ac:dyDescent="0.25">
      <c r="A273" t="s">
        <v>301</v>
      </c>
      <c r="B273">
        <f>VLOOKUP(A273,'Subbu- Mini Project EXcel Clean'!A272:R1272,2,FALSE)</f>
        <v>86.5</v>
      </c>
      <c r="C273">
        <f>VLOOKUP(A273,'Subbu- Mini Project EXcel Clean'!A272:R1272,3,FALSE)</f>
        <v>80.2</v>
      </c>
      <c r="D273">
        <f>_xlfn.XLOOKUP(A273,'Subbu- Mini Project EXcel Clean'!A273:A1272,'Subbu- Mini Project EXcel Clean'!D273:D1272,"Entry Level",0)</f>
        <v>81</v>
      </c>
      <c r="E273">
        <f>_xlfn.XLOOKUP(A273,'Subbu- Mini Project EXcel Clean'!A273:A1272,'Subbu- Mini Project EXcel Clean'!F273:F1272,"Entry Level",0)</f>
        <v>83.1</v>
      </c>
      <c r="F273">
        <f>_xlfn.XLOOKUP(A273,'Subbu- Mini Project EXcel Clean'!A273:A1272,'Subbu- Mini Project EXcel Clean'!G273:G1272," ",0)</f>
        <v>83.85</v>
      </c>
      <c r="G273" t="str">
        <f>_xlfn.XLOOKUP(A273,'Subbu- Mini Project EXcel Clean'!A273:A1272,'Subbu- Mini Project EXcel Clean'!H273:H1272," ",0)</f>
        <v>Pass</v>
      </c>
      <c r="H273" t="str">
        <f>VLOOKUP(A273,'Subbu- Mini Project EXcel Clean'!A272:R1272,18,)</f>
        <v>Bachelor</v>
      </c>
    </row>
    <row r="274" spans="1:8" x14ac:dyDescent="0.25">
      <c r="A274" t="s">
        <v>302</v>
      </c>
      <c r="B274">
        <f>VLOOKUP(A274,'Subbu- Mini Project EXcel Clean'!A273:R1273,2,FALSE)</f>
        <v>90.2</v>
      </c>
      <c r="C274">
        <f>VLOOKUP(A274,'Subbu- Mini Project EXcel Clean'!A273:R1273,3,FALSE)</f>
        <v>84.4</v>
      </c>
      <c r="D274">
        <f>_xlfn.XLOOKUP(A274,'Subbu- Mini Project EXcel Clean'!A274:A1273,'Subbu- Mini Project EXcel Clean'!D274:D1273,"Entry Level",0)</f>
        <v>86.2</v>
      </c>
      <c r="E274">
        <f>_xlfn.XLOOKUP(A274,'Subbu- Mini Project EXcel Clean'!A274:A1273,'Subbu- Mini Project EXcel Clean'!F274:F1273,"Entry Level",0)</f>
        <v>81.5</v>
      </c>
      <c r="F274">
        <f>_xlfn.XLOOKUP(A274,'Subbu- Mini Project EXcel Clean'!A274:A1273,'Subbu- Mini Project EXcel Clean'!G274:G1273," ",0)</f>
        <v>84.6</v>
      </c>
      <c r="G274" t="str">
        <f>_xlfn.XLOOKUP(A274,'Subbu- Mini Project EXcel Clean'!A274:A1273,'Subbu- Mini Project EXcel Clean'!H274:H1273," ",0)</f>
        <v>Pass</v>
      </c>
      <c r="H274" t="str">
        <f>VLOOKUP(A274,'Subbu- Mini Project EXcel Clean'!A273:R1273,18,)</f>
        <v>Master</v>
      </c>
    </row>
    <row r="275" spans="1:8" x14ac:dyDescent="0.25">
      <c r="A275" t="s">
        <v>303</v>
      </c>
      <c r="B275">
        <f>VLOOKUP(A275,'Subbu- Mini Project EXcel Clean'!A274:R1274,2,FALSE)</f>
        <v>91.5</v>
      </c>
      <c r="C275">
        <f>VLOOKUP(A275,'Subbu- Mini Project EXcel Clean'!A274:R1274,3,FALSE)</f>
        <v>88.7</v>
      </c>
      <c r="D275">
        <f>_xlfn.XLOOKUP(A275,'Subbu- Mini Project EXcel Clean'!A275:A1274,'Subbu- Mini Project EXcel Clean'!D275:D1274,"Entry Level",0)</f>
        <v>86.3</v>
      </c>
      <c r="E275">
        <f>_xlfn.XLOOKUP(A275,'Subbu- Mini Project EXcel Clean'!A275:A1274,'Subbu- Mini Project EXcel Clean'!F275:F1274,"Entry Level",0)</f>
        <v>79.099999999999994</v>
      </c>
      <c r="F275">
        <f>_xlfn.XLOOKUP(A275,'Subbu- Mini Project EXcel Clean'!A275:A1274,'Subbu- Mini Project EXcel Clean'!G275:G1274," ",0)</f>
        <v>84.65</v>
      </c>
      <c r="G275" t="str">
        <f>_xlfn.XLOOKUP(A275,'Subbu- Mini Project EXcel Clean'!A275:A1274,'Subbu- Mini Project EXcel Clean'!H275:H1274," ",0)</f>
        <v>Pass</v>
      </c>
      <c r="H275" t="str">
        <f>VLOOKUP(A275,'Subbu- Mini Project EXcel Clean'!A274:R1274,18,)</f>
        <v>Master</v>
      </c>
    </row>
    <row r="276" spans="1:8" x14ac:dyDescent="0.25">
      <c r="A276" t="s">
        <v>304</v>
      </c>
      <c r="B276">
        <f>VLOOKUP(A276,'Subbu- Mini Project EXcel Clean'!A275:R1275,2,FALSE)</f>
        <v>65.400000000000006</v>
      </c>
      <c r="C276">
        <f>VLOOKUP(A276,'Subbu- Mini Project EXcel Clean'!A275:R1275,3,FALSE)</f>
        <v>61.4</v>
      </c>
      <c r="D276">
        <f>_xlfn.XLOOKUP(A276,'Subbu- Mini Project EXcel Clean'!A276:A1275,'Subbu- Mini Project EXcel Clean'!D276:D1275,"Entry Level",0)</f>
        <v>76.8</v>
      </c>
      <c r="E276">
        <f>_xlfn.XLOOKUP(A276,'Subbu- Mini Project EXcel Clean'!A276:A1275,'Subbu- Mini Project EXcel Clean'!F276:F1275,"Entry Level",0)</f>
        <v>69.8</v>
      </c>
      <c r="F276">
        <f>_xlfn.XLOOKUP(A276,'Subbu- Mini Project EXcel Clean'!A276:A1275,'Subbu- Mini Project EXcel Clean'!G276:G1275," ",0)</f>
        <v>68.95</v>
      </c>
      <c r="G276" t="str">
        <f>_xlfn.XLOOKUP(A276,'Subbu- Mini Project EXcel Clean'!A276:A1275,'Subbu- Mini Project EXcel Clean'!H276:H1275," ",0)</f>
        <v>Pass</v>
      </c>
      <c r="H276" t="str">
        <f>VLOOKUP(A276,'Subbu- Mini Project EXcel Clean'!A275:R1275,18,)</f>
        <v>High School</v>
      </c>
    </row>
    <row r="277" spans="1:8" x14ac:dyDescent="0.25">
      <c r="A277" t="s">
        <v>305</v>
      </c>
      <c r="B277">
        <f>VLOOKUP(A277,'Subbu- Mini Project EXcel Clean'!A276:R1276,2,FALSE)</f>
        <v>64.2</v>
      </c>
      <c r="C277">
        <f>VLOOKUP(A277,'Subbu- Mini Project EXcel Clean'!A276:R1276,3,FALSE)</f>
        <v>63.5</v>
      </c>
      <c r="D277">
        <f>_xlfn.XLOOKUP(A277,'Subbu- Mini Project EXcel Clean'!A277:A1276,'Subbu- Mini Project EXcel Clean'!D277:D1276,"Entry Level",0)</f>
        <v>63.3</v>
      </c>
      <c r="E277">
        <f>_xlfn.XLOOKUP(A277,'Subbu- Mini Project EXcel Clean'!A277:A1276,'Subbu- Mini Project EXcel Clean'!F277:F1276,"Entry Level",0)</f>
        <v>75.3</v>
      </c>
      <c r="F277">
        <f>_xlfn.XLOOKUP(A277,'Subbu- Mini Project EXcel Clean'!A277:A1276,'Subbu- Mini Project EXcel Clean'!G277:G1276," ",0)</f>
        <v>71.45</v>
      </c>
      <c r="G277" t="str">
        <f>_xlfn.XLOOKUP(A277,'Subbu- Mini Project EXcel Clean'!A277:A1276,'Subbu- Mini Project EXcel Clean'!H277:H1276," ",0)</f>
        <v>Pass</v>
      </c>
      <c r="H277" t="str">
        <f>VLOOKUP(A277,'Subbu- Mini Project EXcel Clean'!A276:R1276,18,)</f>
        <v>Bachelor</v>
      </c>
    </row>
    <row r="278" spans="1:8" x14ac:dyDescent="0.25">
      <c r="A278" t="s">
        <v>306</v>
      </c>
      <c r="B278">
        <f>VLOOKUP(A278,'Subbu- Mini Project EXcel Clean'!A277:R1277,2,FALSE)</f>
        <v>83.8</v>
      </c>
      <c r="C278">
        <f>VLOOKUP(A278,'Subbu- Mini Project EXcel Clean'!A277:R1277,3,FALSE)</f>
        <v>81.5</v>
      </c>
      <c r="D278">
        <f>_xlfn.XLOOKUP(A278,'Subbu- Mini Project EXcel Clean'!A278:A1277,'Subbu- Mini Project EXcel Clean'!D278:D1277,"Entry Level",0)</f>
        <v>81.099999999999994</v>
      </c>
      <c r="E278">
        <f>_xlfn.XLOOKUP(A278,'Subbu- Mini Project EXcel Clean'!A278:A1277,'Subbu- Mini Project EXcel Clean'!F278:F1277,"Entry Level",0)</f>
        <v>90.5</v>
      </c>
      <c r="F278">
        <f>_xlfn.XLOOKUP(A278,'Subbu- Mini Project EXcel Clean'!A278:A1277,'Subbu- Mini Project EXcel Clean'!G278:G1277," ",0)</f>
        <v>87.2</v>
      </c>
      <c r="G278" t="str">
        <f>_xlfn.XLOOKUP(A278,'Subbu- Mini Project EXcel Clean'!A278:A1277,'Subbu- Mini Project EXcel Clean'!H278:H1277," ",0)</f>
        <v>Pass</v>
      </c>
      <c r="H278" t="str">
        <f>VLOOKUP(A278,'Subbu- Mini Project EXcel Clean'!A277:R1277,18,)</f>
        <v>High School</v>
      </c>
    </row>
    <row r="279" spans="1:8" x14ac:dyDescent="0.25">
      <c r="A279" t="s">
        <v>307</v>
      </c>
      <c r="B279">
        <f>VLOOKUP(A279,'Subbu- Mini Project EXcel Clean'!A278:R1278,2,FALSE)</f>
        <v>81.599999999999994</v>
      </c>
      <c r="C279">
        <f>VLOOKUP(A279,'Subbu- Mini Project EXcel Clean'!A278:R1278,3,FALSE)</f>
        <v>80.099999999999994</v>
      </c>
      <c r="D279">
        <f>_xlfn.XLOOKUP(A279,'Subbu- Mini Project EXcel Clean'!A279:A1278,'Subbu- Mini Project EXcel Clean'!D279:D1278,"Entry Level",0)</f>
        <v>76.8</v>
      </c>
      <c r="E279">
        <f>_xlfn.XLOOKUP(A279,'Subbu- Mini Project EXcel Clean'!A279:A1278,'Subbu- Mini Project EXcel Clean'!F279:F1278,"Entry Level",0)</f>
        <v>73.3</v>
      </c>
      <c r="F279">
        <f>_xlfn.XLOOKUP(A279,'Subbu- Mini Project EXcel Clean'!A279:A1278,'Subbu- Mini Project EXcel Clean'!G279:G1278," ",0)</f>
        <v>74.5</v>
      </c>
      <c r="G279" t="str">
        <f>_xlfn.XLOOKUP(A279,'Subbu- Mini Project EXcel Clean'!A279:A1278,'Subbu- Mini Project EXcel Clean'!H279:H1278," ",0)</f>
        <v>Pass</v>
      </c>
      <c r="H279" t="str">
        <f>VLOOKUP(A279,'Subbu- Mini Project EXcel Clean'!A278:R1278,18,)</f>
        <v>Master</v>
      </c>
    </row>
    <row r="280" spans="1:8" x14ac:dyDescent="0.25">
      <c r="A280" t="s">
        <v>308</v>
      </c>
      <c r="B280">
        <f>VLOOKUP(A280,'Subbu- Mini Project EXcel Clean'!A279:R1279,2,FALSE)</f>
        <v>81.3</v>
      </c>
      <c r="C280">
        <f>VLOOKUP(A280,'Subbu- Mini Project EXcel Clean'!A279:R1279,3,FALSE)</f>
        <v>79.900000000000006</v>
      </c>
      <c r="D280">
        <f>_xlfn.XLOOKUP(A280,'Subbu- Mini Project EXcel Clean'!A280:A1279,'Subbu- Mini Project EXcel Clean'!D280:D1279,"Entry Level",0)</f>
        <v>72.599999999999994</v>
      </c>
      <c r="E280">
        <f>_xlfn.XLOOKUP(A280,'Subbu- Mini Project EXcel Clean'!A280:A1279,'Subbu- Mini Project EXcel Clean'!F280:F1279,"Entry Level",0)</f>
        <v>74.400000000000006</v>
      </c>
      <c r="F280">
        <f>_xlfn.XLOOKUP(A280,'Subbu- Mini Project EXcel Clean'!A280:A1279,'Subbu- Mini Project EXcel Clean'!G280:G1279," ",0)</f>
        <v>76.5</v>
      </c>
      <c r="G280" t="str">
        <f>_xlfn.XLOOKUP(A280,'Subbu- Mini Project EXcel Clean'!A280:A1279,'Subbu- Mini Project EXcel Clean'!H280:H1279," ",0)</f>
        <v>Pass</v>
      </c>
      <c r="H280" t="str">
        <f>VLOOKUP(A280,'Subbu- Mini Project EXcel Clean'!A279:R1279,18,)</f>
        <v>High School</v>
      </c>
    </row>
    <row r="281" spans="1:8" x14ac:dyDescent="0.25">
      <c r="A281" t="s">
        <v>309</v>
      </c>
      <c r="B281">
        <f>VLOOKUP(A281,'Subbu- Mini Project EXcel Clean'!A280:R1280,2,FALSE)</f>
        <v>81.900000000000006</v>
      </c>
      <c r="C281">
        <f>VLOOKUP(A281,'Subbu- Mini Project EXcel Clean'!A280:R1280,3,FALSE)</f>
        <v>84.7</v>
      </c>
      <c r="D281">
        <f>_xlfn.XLOOKUP(A281,'Subbu- Mini Project EXcel Clean'!A281:A1280,'Subbu- Mini Project EXcel Clean'!D281:D1280,"Entry Level",0)</f>
        <v>81.8</v>
      </c>
      <c r="E281">
        <f>_xlfn.XLOOKUP(A281,'Subbu- Mini Project EXcel Clean'!A281:A1280,'Subbu- Mini Project EXcel Clean'!F281:F1280,"Entry Level",0)</f>
        <v>76.599999999999994</v>
      </c>
      <c r="F281">
        <f>_xlfn.XLOOKUP(A281,'Subbu- Mini Project EXcel Clean'!A281:A1280,'Subbu- Mini Project EXcel Clean'!G281:G1280," ",0)</f>
        <v>80.2</v>
      </c>
      <c r="G281" t="str">
        <f>_xlfn.XLOOKUP(A281,'Subbu- Mini Project EXcel Clean'!A281:A1280,'Subbu- Mini Project EXcel Clean'!H281:H1280," ",0)</f>
        <v>Pass</v>
      </c>
      <c r="H281" t="str">
        <f>VLOOKUP(A281,'Subbu- Mini Project EXcel Clean'!A280:R1280,18,)</f>
        <v>Bachelor</v>
      </c>
    </row>
    <row r="282" spans="1:8" x14ac:dyDescent="0.25">
      <c r="A282" t="s">
        <v>310</v>
      </c>
      <c r="B282">
        <f>VLOOKUP(A282,'Subbu- Mini Project EXcel Clean'!A281:R1281,2,FALSE)</f>
        <v>92.8</v>
      </c>
      <c r="C282">
        <f>VLOOKUP(A282,'Subbu- Mini Project EXcel Clean'!A281:R1281,3,FALSE)</f>
        <v>93.2</v>
      </c>
      <c r="D282">
        <f>_xlfn.XLOOKUP(A282,'Subbu- Mini Project EXcel Clean'!A282:A1281,'Subbu- Mini Project EXcel Clean'!D282:D1281,"Entry Level",0)</f>
        <v>90.5</v>
      </c>
      <c r="E282">
        <f>_xlfn.XLOOKUP(A282,'Subbu- Mini Project EXcel Clean'!A282:A1281,'Subbu- Mini Project EXcel Clean'!F282:F1281,"Entry Level",0)</f>
        <v>86.6</v>
      </c>
      <c r="F282">
        <f>_xlfn.XLOOKUP(A282,'Subbu- Mini Project EXcel Clean'!A282:A1281,'Subbu- Mini Project EXcel Clean'!G282:G1281," ",0)</f>
        <v>87.8</v>
      </c>
      <c r="G282" t="str">
        <f>_xlfn.XLOOKUP(A282,'Subbu- Mini Project EXcel Clean'!A282:A1281,'Subbu- Mini Project EXcel Clean'!H282:H1281," ",0)</f>
        <v>Pass</v>
      </c>
      <c r="H282" t="str">
        <f>VLOOKUP(A282,'Subbu- Mini Project EXcel Clean'!A281:R1281,18,)</f>
        <v>Master</v>
      </c>
    </row>
    <row r="283" spans="1:8" x14ac:dyDescent="0.25">
      <c r="A283" t="s">
        <v>311</v>
      </c>
      <c r="B283">
        <f>VLOOKUP(A283,'Subbu- Mini Project EXcel Clean'!A282:R1282,2,FALSE)</f>
        <v>44.3</v>
      </c>
      <c r="C283">
        <f>VLOOKUP(A283,'Subbu- Mini Project EXcel Clean'!A282:R1282,3,FALSE)</f>
        <v>57.9</v>
      </c>
      <c r="D283">
        <f>_xlfn.XLOOKUP(A283,'Subbu- Mini Project EXcel Clean'!A283:A1282,'Subbu- Mini Project EXcel Clean'!D283:D1282,"Entry Level",0)</f>
        <v>56.9</v>
      </c>
      <c r="E283">
        <f>_xlfn.XLOOKUP(A283,'Subbu- Mini Project EXcel Clean'!A283:A1282,'Subbu- Mini Project EXcel Clean'!F283:F1282,"Entry Level",0)</f>
        <v>63</v>
      </c>
      <c r="F283">
        <f>_xlfn.XLOOKUP(A283,'Subbu- Mini Project EXcel Clean'!A283:A1282,'Subbu- Mini Project EXcel Clean'!G283:G1282," ",0)</f>
        <v>60.8</v>
      </c>
      <c r="G283" t="str">
        <f>_xlfn.XLOOKUP(A283,'Subbu- Mini Project EXcel Clean'!A283:A1282,'Subbu- Mini Project EXcel Clean'!H283:H1282," ",0)</f>
        <v>Pass</v>
      </c>
      <c r="H283" t="str">
        <f>VLOOKUP(A283,'Subbu- Mini Project EXcel Clean'!A282:R1282,18,)</f>
        <v>High School</v>
      </c>
    </row>
    <row r="284" spans="1:8" x14ac:dyDescent="0.25">
      <c r="A284" t="s">
        <v>312</v>
      </c>
      <c r="B284">
        <f>VLOOKUP(A284,'Subbu- Mini Project EXcel Clean'!A283:R1283,2,FALSE)</f>
        <v>66.400000000000006</v>
      </c>
      <c r="C284">
        <f>VLOOKUP(A284,'Subbu- Mini Project EXcel Clean'!A283:R1283,3,FALSE)</f>
        <v>62.6</v>
      </c>
      <c r="D284">
        <f>_xlfn.XLOOKUP(A284,'Subbu- Mini Project EXcel Clean'!A284:A1283,'Subbu- Mini Project EXcel Clean'!D284:D1283,"Entry Level",0)</f>
        <v>60.2</v>
      </c>
      <c r="E284">
        <f>_xlfn.XLOOKUP(A284,'Subbu- Mini Project EXcel Clean'!A284:A1283,'Subbu- Mini Project EXcel Clean'!F284:F1283,"Entry Level",0)</f>
        <v>52.9</v>
      </c>
      <c r="F284">
        <f>_xlfn.XLOOKUP(A284,'Subbu- Mini Project EXcel Clean'!A284:A1283,'Subbu- Mini Project EXcel Clean'!G284:G1283," ",0)</f>
        <v>56.8</v>
      </c>
      <c r="G284" t="str">
        <f>_xlfn.XLOOKUP(A284,'Subbu- Mini Project EXcel Clean'!A284:A1283,'Subbu- Mini Project EXcel Clean'!H284:H1283," ",0)</f>
        <v>Pass</v>
      </c>
      <c r="H284" t="str">
        <f>VLOOKUP(A284,'Subbu- Mini Project EXcel Clean'!A283:R1283,18,)</f>
        <v>High School</v>
      </c>
    </row>
    <row r="285" spans="1:8" x14ac:dyDescent="0.25">
      <c r="A285" t="s">
        <v>313</v>
      </c>
      <c r="B285">
        <f>VLOOKUP(A285,'Subbu- Mini Project EXcel Clean'!A284:R1284,2,FALSE)</f>
        <v>36.5</v>
      </c>
      <c r="C285">
        <f>VLOOKUP(A285,'Subbu- Mini Project EXcel Clean'!A284:R1284,3,FALSE)</f>
        <v>44.7</v>
      </c>
      <c r="D285">
        <f>_xlfn.XLOOKUP(A285,'Subbu- Mini Project EXcel Clean'!A285:A1284,'Subbu- Mini Project EXcel Clean'!D285:D1284,"Entry Level",0)</f>
        <v>42.5</v>
      </c>
      <c r="E285">
        <f>_xlfn.XLOOKUP(A285,'Subbu- Mini Project EXcel Clean'!A285:A1284,'Subbu- Mini Project EXcel Clean'!F285:F1284,"Entry Level",0)</f>
        <v>49.5</v>
      </c>
      <c r="F285">
        <f>_xlfn.XLOOKUP(A285,'Subbu- Mini Project EXcel Clean'!A285:A1284,'Subbu- Mini Project EXcel Clean'!G285:G1284," ",0)</f>
        <v>47.35</v>
      </c>
      <c r="G285" t="str">
        <f>_xlfn.XLOOKUP(A285,'Subbu- Mini Project EXcel Clean'!A285:A1284,'Subbu- Mini Project EXcel Clean'!H285:H1284," ",0)</f>
        <v>Fail</v>
      </c>
      <c r="H285" t="str">
        <f>VLOOKUP(A285,'Subbu- Mini Project EXcel Clean'!A284:R1284,18,)</f>
        <v>High School</v>
      </c>
    </row>
    <row r="286" spans="1:8" x14ac:dyDescent="0.25">
      <c r="A286" t="s">
        <v>314</v>
      </c>
      <c r="B286">
        <f>VLOOKUP(A286,'Subbu- Mini Project EXcel Clean'!A285:R1285,2,FALSE)</f>
        <v>70</v>
      </c>
      <c r="C286">
        <f>VLOOKUP(A286,'Subbu- Mini Project EXcel Clean'!A285:R1285,3,FALSE)</f>
        <v>73.099999999999994</v>
      </c>
      <c r="D286">
        <f>_xlfn.XLOOKUP(A286,'Subbu- Mini Project EXcel Clean'!A286:A1285,'Subbu- Mini Project EXcel Clean'!D286:D1285,"Entry Level",0)</f>
        <v>64.2</v>
      </c>
      <c r="E286">
        <f>_xlfn.XLOOKUP(A286,'Subbu- Mini Project EXcel Clean'!A286:A1285,'Subbu- Mini Project EXcel Clean'!F286:F1285,"Entry Level",0)</f>
        <v>79.099999999999994</v>
      </c>
      <c r="F286">
        <f>_xlfn.XLOOKUP(A286,'Subbu- Mini Project EXcel Clean'!A286:A1285,'Subbu- Mini Project EXcel Clean'!G286:G1285," ",0)</f>
        <v>75.45</v>
      </c>
      <c r="G286" t="str">
        <f>_xlfn.XLOOKUP(A286,'Subbu- Mini Project EXcel Clean'!A286:A1285,'Subbu- Mini Project EXcel Clean'!H286:H1285," ",0)</f>
        <v>Pass</v>
      </c>
      <c r="H286" t="str">
        <f>VLOOKUP(A286,'Subbu- Mini Project EXcel Clean'!A285:R1285,18,)</f>
        <v>High School</v>
      </c>
    </row>
    <row r="287" spans="1:8" x14ac:dyDescent="0.25">
      <c r="A287" t="s">
        <v>315</v>
      </c>
      <c r="B287">
        <f>VLOOKUP(A287,'Subbu- Mini Project EXcel Clean'!A286:R1286,2,FALSE)</f>
        <v>36.4</v>
      </c>
      <c r="C287">
        <f>VLOOKUP(A287,'Subbu- Mini Project EXcel Clean'!A286:R1286,3,FALSE)</f>
        <v>39.1</v>
      </c>
      <c r="D287">
        <f>_xlfn.XLOOKUP(A287,'Subbu- Mini Project EXcel Clean'!A287:A1286,'Subbu- Mini Project EXcel Clean'!D287:D1286,"Entry Level",0)</f>
        <v>43.6</v>
      </c>
      <c r="E287">
        <f>_xlfn.XLOOKUP(A287,'Subbu- Mini Project EXcel Clean'!A287:A1286,'Subbu- Mini Project EXcel Clean'!F287:F1286,"Entry Level",0)</f>
        <v>44.2</v>
      </c>
      <c r="F287">
        <f>_xlfn.XLOOKUP(A287,'Subbu- Mini Project EXcel Clean'!A287:A1286,'Subbu- Mini Project EXcel Clean'!G287:G1286," ",0)</f>
        <v>43.1</v>
      </c>
      <c r="G287" t="str">
        <f>_xlfn.XLOOKUP(A287,'Subbu- Mini Project EXcel Clean'!A287:A1286,'Subbu- Mini Project EXcel Clean'!H287:H1286," ",0)</f>
        <v>Fail</v>
      </c>
      <c r="H287" t="str">
        <f>VLOOKUP(A287,'Subbu- Mini Project EXcel Clean'!A286:R1286,18,)</f>
        <v>High School</v>
      </c>
    </row>
    <row r="288" spans="1:8" x14ac:dyDescent="0.25">
      <c r="A288" t="s">
        <v>316</v>
      </c>
      <c r="B288">
        <f>VLOOKUP(A288,'Subbu- Mini Project EXcel Clean'!A287:R1287,2,FALSE)</f>
        <v>59.1</v>
      </c>
      <c r="C288">
        <f>VLOOKUP(A288,'Subbu- Mini Project EXcel Clean'!A287:R1287,3,FALSE)</f>
        <v>53.4</v>
      </c>
      <c r="D288">
        <f>_xlfn.XLOOKUP(A288,'Subbu- Mini Project EXcel Clean'!A288:A1287,'Subbu- Mini Project EXcel Clean'!D288:D1287,"Entry Level",0)</f>
        <v>74.400000000000006</v>
      </c>
      <c r="E288">
        <f>_xlfn.XLOOKUP(A288,'Subbu- Mini Project EXcel Clean'!A288:A1287,'Subbu- Mini Project EXcel Clean'!F288:F1287,"Entry Level",0)</f>
        <v>63.5</v>
      </c>
      <c r="F288">
        <f>_xlfn.XLOOKUP(A288,'Subbu- Mini Project EXcel Clean'!A288:A1287,'Subbu- Mini Project EXcel Clean'!G288:G1287," ",0)</f>
        <v>64.55</v>
      </c>
      <c r="G288" t="str">
        <f>_xlfn.XLOOKUP(A288,'Subbu- Mini Project EXcel Clean'!A288:A1287,'Subbu- Mini Project EXcel Clean'!H288:H1287," ",0)</f>
        <v>Pass</v>
      </c>
      <c r="H288" t="str">
        <f>VLOOKUP(A288,'Subbu- Mini Project EXcel Clean'!A287:R1287,18,)</f>
        <v>Master</v>
      </c>
    </row>
    <row r="289" spans="1:8" x14ac:dyDescent="0.25">
      <c r="A289" t="s">
        <v>317</v>
      </c>
      <c r="B289">
        <f>VLOOKUP(A289,'Subbu- Mini Project EXcel Clean'!A288:R1288,2,FALSE)</f>
        <v>75.599999999999994</v>
      </c>
      <c r="C289">
        <f>VLOOKUP(A289,'Subbu- Mini Project EXcel Clean'!A288:R1288,3,FALSE)</f>
        <v>69.2</v>
      </c>
      <c r="D289">
        <f>_xlfn.XLOOKUP(A289,'Subbu- Mini Project EXcel Clean'!A289:A1288,'Subbu- Mini Project EXcel Clean'!D289:D1288,"Entry Level",0)</f>
        <v>69.900000000000006</v>
      </c>
      <c r="E289">
        <f>_xlfn.XLOOKUP(A289,'Subbu- Mini Project EXcel Clean'!A289:A1288,'Subbu- Mini Project EXcel Clean'!F289:F1288,"Entry Level",0)</f>
        <v>74.8</v>
      </c>
      <c r="F289">
        <f>_xlfn.XLOOKUP(A289,'Subbu- Mini Project EXcel Clean'!A289:A1288,'Subbu- Mini Project EXcel Clean'!G289:G1288," ",0)</f>
        <v>72.3</v>
      </c>
      <c r="G289" t="str">
        <f>_xlfn.XLOOKUP(A289,'Subbu- Mini Project EXcel Clean'!A289:A1288,'Subbu- Mini Project EXcel Clean'!H289:H1288," ",0)</f>
        <v>Pass</v>
      </c>
      <c r="H289" t="str">
        <f>VLOOKUP(A289,'Subbu- Mini Project EXcel Clean'!A288:R1288,18,)</f>
        <v>Master</v>
      </c>
    </row>
    <row r="290" spans="1:8" x14ac:dyDescent="0.25">
      <c r="A290" t="s">
        <v>318</v>
      </c>
      <c r="B290">
        <f>VLOOKUP(A290,'Subbu- Mini Project EXcel Clean'!A289:R1289,2,FALSE)</f>
        <v>53.4</v>
      </c>
      <c r="C290">
        <f>VLOOKUP(A290,'Subbu- Mini Project EXcel Clean'!A289:R1289,3,FALSE)</f>
        <v>62.9</v>
      </c>
      <c r="D290">
        <f>_xlfn.XLOOKUP(A290,'Subbu- Mini Project EXcel Clean'!A290:A1289,'Subbu- Mini Project EXcel Clean'!D290:D1289,"Entry Level",0)</f>
        <v>56.9</v>
      </c>
      <c r="E290">
        <f>_xlfn.XLOOKUP(A290,'Subbu- Mini Project EXcel Clean'!A290:A1289,'Subbu- Mini Project EXcel Clean'!F290:F1289,"Entry Level",0)</f>
        <v>74.7</v>
      </c>
      <c r="F290">
        <f>_xlfn.XLOOKUP(A290,'Subbu- Mini Project EXcel Clean'!A290:A1289,'Subbu- Mini Project EXcel Clean'!G290:G1289," ",0)</f>
        <v>65.25</v>
      </c>
      <c r="G290" t="str">
        <f>_xlfn.XLOOKUP(A290,'Subbu- Mini Project EXcel Clean'!A290:A1289,'Subbu- Mini Project EXcel Clean'!H290:H1289," ",0)</f>
        <v>Pass</v>
      </c>
      <c r="H290" t="str">
        <f>VLOOKUP(A290,'Subbu- Mini Project EXcel Clean'!A289:R1289,18,)</f>
        <v>Bachelor</v>
      </c>
    </row>
    <row r="291" spans="1:8" x14ac:dyDescent="0.25">
      <c r="A291" t="s">
        <v>319</v>
      </c>
      <c r="B291">
        <f>VLOOKUP(A291,'Subbu- Mini Project EXcel Clean'!A290:R1290,2,FALSE)</f>
        <v>74.2</v>
      </c>
      <c r="C291">
        <f>VLOOKUP(A291,'Subbu- Mini Project EXcel Clean'!A290:R1290,3,FALSE)</f>
        <v>77.099999999999994</v>
      </c>
      <c r="D291">
        <f>_xlfn.XLOOKUP(A291,'Subbu- Mini Project EXcel Clean'!A291:A1290,'Subbu- Mini Project EXcel Clean'!D291:D1290,"Entry Level",0)</f>
        <v>76</v>
      </c>
      <c r="E291">
        <f>_xlfn.XLOOKUP(A291,'Subbu- Mini Project EXcel Clean'!A291:A1290,'Subbu- Mini Project EXcel Clean'!F291:F1290,"Entry Level",0)</f>
        <v>77.3</v>
      </c>
      <c r="F291">
        <f>_xlfn.XLOOKUP(A291,'Subbu- Mini Project EXcel Clean'!A291:A1290,'Subbu- Mini Project EXcel Clean'!G291:G1290," ",0)</f>
        <v>74.900000000000006</v>
      </c>
      <c r="G291" t="str">
        <f>_xlfn.XLOOKUP(A291,'Subbu- Mini Project EXcel Clean'!A291:A1290,'Subbu- Mini Project EXcel Clean'!H291:H1290," ",0)</f>
        <v>Pass</v>
      </c>
      <c r="H291" t="str">
        <f>VLOOKUP(A291,'Subbu- Mini Project EXcel Clean'!A290:R1290,18,)</f>
        <v>High School</v>
      </c>
    </row>
    <row r="292" spans="1:8" x14ac:dyDescent="0.25">
      <c r="A292" t="s">
        <v>320</v>
      </c>
      <c r="B292">
        <f>VLOOKUP(A292,'Subbu- Mini Project EXcel Clean'!A291:R1291,2,FALSE)</f>
        <v>41.4</v>
      </c>
      <c r="C292">
        <f>VLOOKUP(A292,'Subbu- Mini Project EXcel Clean'!A291:R1291,3,FALSE)</f>
        <v>46.5</v>
      </c>
      <c r="D292">
        <f>_xlfn.XLOOKUP(A292,'Subbu- Mini Project EXcel Clean'!A292:A1291,'Subbu- Mini Project EXcel Clean'!D292:D1291,"Entry Level",0)</f>
        <v>35.299999999999997</v>
      </c>
      <c r="E292">
        <f>_xlfn.XLOOKUP(A292,'Subbu- Mini Project EXcel Clean'!A292:A1291,'Subbu- Mini Project EXcel Clean'!F292:F1291,"Entry Level",0)</f>
        <v>43.1</v>
      </c>
      <c r="F292">
        <f>_xlfn.XLOOKUP(A292,'Subbu- Mini Project EXcel Clean'!A292:A1291,'Subbu- Mini Project EXcel Clean'!G292:G1291," ",0)</f>
        <v>42.4</v>
      </c>
      <c r="G292" t="str">
        <f>_xlfn.XLOOKUP(A292,'Subbu- Mini Project EXcel Clean'!A292:A1291,'Subbu- Mini Project EXcel Clean'!H292:H1291," ",0)</f>
        <v>Fail</v>
      </c>
      <c r="H292" t="str">
        <f>VLOOKUP(A292,'Subbu- Mini Project EXcel Clean'!A291:R1291,18,)</f>
        <v>Bachelor</v>
      </c>
    </row>
    <row r="293" spans="1:8" x14ac:dyDescent="0.25">
      <c r="A293" t="s">
        <v>321</v>
      </c>
      <c r="B293">
        <f>VLOOKUP(A293,'Subbu- Mini Project EXcel Clean'!A292:R1292,2,FALSE)</f>
        <v>44.4</v>
      </c>
      <c r="C293">
        <f>VLOOKUP(A293,'Subbu- Mini Project EXcel Clean'!A292:R1292,3,FALSE)</f>
        <v>48.2</v>
      </c>
      <c r="D293">
        <f>_xlfn.XLOOKUP(A293,'Subbu- Mini Project EXcel Clean'!A293:A1292,'Subbu- Mini Project EXcel Clean'!D293:D1292,"Entry Level",0)</f>
        <v>50.6</v>
      </c>
      <c r="E293">
        <f>_xlfn.XLOOKUP(A293,'Subbu- Mini Project EXcel Clean'!A293:A1292,'Subbu- Mini Project EXcel Clean'!F293:F1292,"Entry Level",0)</f>
        <v>54.4</v>
      </c>
      <c r="F293">
        <f>_xlfn.XLOOKUP(A293,'Subbu- Mini Project EXcel Clean'!A293:A1292,'Subbu- Mini Project EXcel Clean'!G293:G1292," ",0)</f>
        <v>48.25</v>
      </c>
      <c r="G293" t="str">
        <f>_xlfn.XLOOKUP(A293,'Subbu- Mini Project EXcel Clean'!A293:A1292,'Subbu- Mini Project EXcel Clean'!H293:H1292," ",0)</f>
        <v>Fail</v>
      </c>
      <c r="H293" t="str">
        <f>VLOOKUP(A293,'Subbu- Mini Project EXcel Clean'!A292:R1292,18,)</f>
        <v>Master</v>
      </c>
    </row>
    <row r="294" spans="1:8" x14ac:dyDescent="0.25">
      <c r="A294" t="s">
        <v>322</v>
      </c>
      <c r="B294">
        <f>VLOOKUP(A294,'Subbu- Mini Project EXcel Clean'!A293:R1293,2,FALSE)</f>
        <v>85.6</v>
      </c>
      <c r="C294">
        <f>VLOOKUP(A294,'Subbu- Mini Project EXcel Clean'!A293:R1293,3,FALSE)</f>
        <v>85.7</v>
      </c>
      <c r="D294">
        <f>_xlfn.XLOOKUP(A294,'Subbu- Mini Project EXcel Clean'!A294:A1293,'Subbu- Mini Project EXcel Clean'!D294:D1293,"Entry Level",0)</f>
        <v>86.3</v>
      </c>
      <c r="E294">
        <f>_xlfn.XLOOKUP(A294,'Subbu- Mini Project EXcel Clean'!A294:A1293,'Subbu- Mini Project EXcel Clean'!F294:F1293,"Entry Level",0)</f>
        <v>90.8</v>
      </c>
      <c r="F294">
        <f>_xlfn.XLOOKUP(A294,'Subbu- Mini Project EXcel Clean'!A294:A1293,'Subbu- Mini Project EXcel Clean'!G294:G1293," ",0)</f>
        <v>88</v>
      </c>
      <c r="G294" t="str">
        <f>_xlfn.XLOOKUP(A294,'Subbu- Mini Project EXcel Clean'!A294:A1293,'Subbu- Mini Project EXcel Clean'!H294:H1293," ",0)</f>
        <v>Pass</v>
      </c>
      <c r="H294" t="str">
        <f>VLOOKUP(A294,'Subbu- Mini Project EXcel Clean'!A293:R1293,18,)</f>
        <v>High School</v>
      </c>
    </row>
    <row r="295" spans="1:8" x14ac:dyDescent="0.25">
      <c r="A295" t="s">
        <v>323</v>
      </c>
      <c r="B295">
        <f>VLOOKUP(A295,'Subbu- Mini Project EXcel Clean'!A294:R1294,2,FALSE)</f>
        <v>53.4</v>
      </c>
      <c r="C295">
        <f>VLOOKUP(A295,'Subbu- Mini Project EXcel Clean'!A294:R1294,3,FALSE)</f>
        <v>60.8</v>
      </c>
      <c r="D295">
        <f>_xlfn.XLOOKUP(A295,'Subbu- Mini Project EXcel Clean'!A295:A1294,'Subbu- Mini Project EXcel Clean'!D295:D1294,"Entry Level",0)</f>
        <v>68</v>
      </c>
      <c r="E295">
        <f>_xlfn.XLOOKUP(A295,'Subbu- Mini Project EXcel Clean'!A295:A1294,'Subbu- Mini Project EXcel Clean'!F295:F1294,"Entry Level",0)</f>
        <v>59.1</v>
      </c>
      <c r="F295">
        <f>_xlfn.XLOOKUP(A295,'Subbu- Mini Project EXcel Clean'!A295:A1294,'Subbu- Mini Project EXcel Clean'!G295:G1294," ",0)</f>
        <v>59.45</v>
      </c>
      <c r="G295" t="str">
        <f>_xlfn.XLOOKUP(A295,'Subbu- Mini Project EXcel Clean'!A295:A1294,'Subbu- Mini Project EXcel Clean'!H295:H1294," ",0)</f>
        <v>Pass</v>
      </c>
      <c r="H295" t="str">
        <f>VLOOKUP(A295,'Subbu- Mini Project EXcel Clean'!A294:R1294,18,)</f>
        <v>Bachelor</v>
      </c>
    </row>
    <row r="296" spans="1:8" x14ac:dyDescent="0.25">
      <c r="A296" t="s">
        <v>324</v>
      </c>
      <c r="B296">
        <f>VLOOKUP(A296,'Subbu- Mini Project EXcel Clean'!A295:R1295,2,FALSE)</f>
        <v>52</v>
      </c>
      <c r="C296">
        <f>VLOOKUP(A296,'Subbu- Mini Project EXcel Clean'!A295:R1295,3,FALSE)</f>
        <v>43.9</v>
      </c>
      <c r="D296">
        <f>_xlfn.XLOOKUP(A296,'Subbu- Mini Project EXcel Clean'!A296:A1295,'Subbu- Mini Project EXcel Clean'!D296:D1295,"Entry Level",0)</f>
        <v>43.3</v>
      </c>
      <c r="E296">
        <f>_xlfn.XLOOKUP(A296,'Subbu- Mini Project EXcel Clean'!A296:A1295,'Subbu- Mini Project EXcel Clean'!F296:F1295,"Entry Level",0)</f>
        <v>54.4</v>
      </c>
      <c r="F296">
        <f>_xlfn.XLOOKUP(A296,'Subbu- Mini Project EXcel Clean'!A296:A1295,'Subbu- Mini Project EXcel Clean'!G296:G1295," ",0)</f>
        <v>50.7</v>
      </c>
      <c r="G296" t="str">
        <f>_xlfn.XLOOKUP(A296,'Subbu- Mini Project EXcel Clean'!A296:A1295,'Subbu- Mini Project EXcel Clean'!H296:H1295," ",0)</f>
        <v>Pass</v>
      </c>
      <c r="H296" t="str">
        <f>VLOOKUP(A296,'Subbu- Mini Project EXcel Clean'!A295:R1295,18,)</f>
        <v>High School</v>
      </c>
    </row>
    <row r="297" spans="1:8" x14ac:dyDescent="0.25">
      <c r="A297" t="s">
        <v>325</v>
      </c>
      <c r="B297">
        <f>VLOOKUP(A297,'Subbu- Mini Project EXcel Clean'!A296:R1296,2,FALSE)</f>
        <v>66.3</v>
      </c>
      <c r="C297">
        <f>VLOOKUP(A297,'Subbu- Mini Project EXcel Clean'!A296:R1296,3,FALSE)</f>
        <v>67.099999999999994</v>
      </c>
      <c r="D297">
        <f>_xlfn.XLOOKUP(A297,'Subbu- Mini Project EXcel Clean'!A297:A1296,'Subbu- Mini Project EXcel Clean'!D297:D1296,"Entry Level",0)</f>
        <v>77.8</v>
      </c>
      <c r="E297">
        <f>_xlfn.XLOOKUP(A297,'Subbu- Mini Project EXcel Clean'!A297:A1296,'Subbu- Mini Project EXcel Clean'!F297:F1296,"Entry Level",0)</f>
        <v>69.400000000000006</v>
      </c>
      <c r="F297">
        <f>_xlfn.XLOOKUP(A297,'Subbu- Mini Project EXcel Clean'!A297:A1296,'Subbu- Mini Project EXcel Clean'!G297:G1296," ",0)</f>
        <v>69.05</v>
      </c>
      <c r="G297" t="str">
        <f>_xlfn.XLOOKUP(A297,'Subbu- Mini Project EXcel Clean'!A297:A1296,'Subbu- Mini Project EXcel Clean'!H297:H1296," ",0)</f>
        <v>Pass</v>
      </c>
      <c r="H297" t="str">
        <f>VLOOKUP(A297,'Subbu- Mini Project EXcel Clean'!A296:R1296,18,)</f>
        <v>High School</v>
      </c>
    </row>
    <row r="298" spans="1:8" x14ac:dyDescent="0.25">
      <c r="A298" t="s">
        <v>326</v>
      </c>
      <c r="B298">
        <f>VLOOKUP(A298,'Subbu- Mini Project EXcel Clean'!A297:R1297,2,FALSE)</f>
        <v>74.599999999999994</v>
      </c>
      <c r="C298">
        <f>VLOOKUP(A298,'Subbu- Mini Project EXcel Clean'!A297:R1297,3,FALSE)</f>
        <v>85.4</v>
      </c>
      <c r="D298">
        <f>_xlfn.XLOOKUP(A298,'Subbu- Mini Project EXcel Clean'!A298:A1297,'Subbu- Mini Project EXcel Clean'!D298:D1297,"Entry Level",0)</f>
        <v>86.2</v>
      </c>
      <c r="E298">
        <f>_xlfn.XLOOKUP(A298,'Subbu- Mini Project EXcel Clean'!A298:A1297,'Subbu- Mini Project EXcel Clean'!F298:F1297,"Entry Level",0)</f>
        <v>89.3</v>
      </c>
      <c r="F298">
        <f>_xlfn.XLOOKUP(A298,'Subbu- Mini Project EXcel Clean'!A298:A1297,'Subbu- Mini Project EXcel Clean'!G298:G1297," ",0)</f>
        <v>85.8</v>
      </c>
      <c r="G298" t="str">
        <f>_xlfn.XLOOKUP(A298,'Subbu- Mini Project EXcel Clean'!A298:A1297,'Subbu- Mini Project EXcel Clean'!H298:H1297," ",0)</f>
        <v>Pass</v>
      </c>
      <c r="H298" t="str">
        <f>VLOOKUP(A298,'Subbu- Mini Project EXcel Clean'!A297:R1297,18,)</f>
        <v>Bachelor</v>
      </c>
    </row>
    <row r="299" spans="1:8" x14ac:dyDescent="0.25">
      <c r="A299" t="s">
        <v>327</v>
      </c>
      <c r="B299">
        <f>VLOOKUP(A299,'Subbu- Mini Project EXcel Clean'!A298:R1298,2,FALSE)</f>
        <v>49.7</v>
      </c>
      <c r="C299">
        <f>VLOOKUP(A299,'Subbu- Mini Project EXcel Clean'!A298:R1298,3,FALSE)</f>
        <v>57.9</v>
      </c>
      <c r="D299">
        <f>_xlfn.XLOOKUP(A299,'Subbu- Mini Project EXcel Clean'!A299:A1298,'Subbu- Mini Project EXcel Clean'!D299:D1298,"Entry Level",0)</f>
        <v>54.6</v>
      </c>
      <c r="E299">
        <f>_xlfn.XLOOKUP(A299,'Subbu- Mini Project EXcel Clean'!A299:A1298,'Subbu- Mini Project EXcel Clean'!F299:F1298,"Entry Level",0)</f>
        <v>46.6</v>
      </c>
      <c r="F299">
        <f>_xlfn.XLOOKUP(A299,'Subbu- Mini Project EXcel Clean'!A299:A1298,'Subbu- Mini Project EXcel Clean'!G299:G1298," ",0)</f>
        <v>49.25</v>
      </c>
      <c r="G299" t="str">
        <f>_xlfn.XLOOKUP(A299,'Subbu- Mini Project EXcel Clean'!A299:A1298,'Subbu- Mini Project EXcel Clean'!H299:H1298," ",0)</f>
        <v>Fail</v>
      </c>
      <c r="H299" t="str">
        <f>VLOOKUP(A299,'Subbu- Mini Project EXcel Clean'!A298:R1298,18,)</f>
        <v>Master</v>
      </c>
    </row>
    <row r="300" spans="1:8" x14ac:dyDescent="0.25">
      <c r="A300" t="s">
        <v>328</v>
      </c>
      <c r="B300">
        <f>VLOOKUP(A300,'Subbu- Mini Project EXcel Clean'!A299:R1299,2,FALSE)</f>
        <v>81.8</v>
      </c>
      <c r="C300">
        <f>VLOOKUP(A300,'Subbu- Mini Project EXcel Clean'!A299:R1299,3,FALSE)</f>
        <v>73.599999999999994</v>
      </c>
      <c r="D300">
        <f>_xlfn.XLOOKUP(A300,'Subbu- Mini Project EXcel Clean'!A300:A1299,'Subbu- Mini Project EXcel Clean'!D300:D1299,"Entry Level",0)</f>
        <v>75.400000000000006</v>
      </c>
      <c r="E300">
        <f>_xlfn.XLOOKUP(A300,'Subbu- Mini Project EXcel Clean'!A300:A1299,'Subbu- Mini Project EXcel Clean'!F300:F1299,"Entry Level",0)</f>
        <v>73.400000000000006</v>
      </c>
      <c r="F300">
        <f>_xlfn.XLOOKUP(A300,'Subbu- Mini Project EXcel Clean'!A300:A1299,'Subbu- Mini Project EXcel Clean'!G300:G1299," ",0)</f>
        <v>73.849999999999994</v>
      </c>
      <c r="G300" t="str">
        <f>_xlfn.XLOOKUP(A300,'Subbu- Mini Project EXcel Clean'!A300:A1299,'Subbu- Mini Project EXcel Clean'!H300:H1299," ",0)</f>
        <v>Pass</v>
      </c>
      <c r="H300" t="str">
        <f>VLOOKUP(A300,'Subbu- Mini Project EXcel Clean'!A299:R1299,18,)</f>
        <v>Bachelor</v>
      </c>
    </row>
    <row r="301" spans="1:8" x14ac:dyDescent="0.25">
      <c r="A301" t="s">
        <v>329</v>
      </c>
      <c r="B301">
        <f>VLOOKUP(A301,'Subbu- Mini Project EXcel Clean'!A300:R1300,2,FALSE)</f>
        <v>48.9</v>
      </c>
      <c r="C301">
        <f>VLOOKUP(A301,'Subbu- Mini Project EXcel Clean'!A300:R1300,3,FALSE)</f>
        <v>42.4</v>
      </c>
      <c r="D301">
        <f>_xlfn.XLOOKUP(A301,'Subbu- Mini Project EXcel Clean'!A301:A1300,'Subbu- Mini Project EXcel Clean'!D301:D1300,"Entry Level",0)</f>
        <v>43.5</v>
      </c>
      <c r="E301">
        <f>_xlfn.XLOOKUP(A301,'Subbu- Mini Project EXcel Clean'!A301:A1300,'Subbu- Mini Project EXcel Clean'!F301:F1300,"Entry Level",0)</f>
        <v>56.1</v>
      </c>
      <c r="F301">
        <f>_xlfn.XLOOKUP(A301,'Subbu- Mini Project EXcel Clean'!A301:A1300,'Subbu- Mini Project EXcel Clean'!G301:G1300," ",0)</f>
        <v>50.4</v>
      </c>
      <c r="G301" t="str">
        <f>_xlfn.XLOOKUP(A301,'Subbu- Mini Project EXcel Clean'!A301:A1300,'Subbu- Mini Project EXcel Clean'!H301:H1300," ",0)</f>
        <v>Pass</v>
      </c>
      <c r="H301" t="str">
        <f>VLOOKUP(A301,'Subbu- Mini Project EXcel Clean'!A300:R1300,18,)</f>
        <v>Bachelor</v>
      </c>
    </row>
    <row r="302" spans="1:8" x14ac:dyDescent="0.25">
      <c r="A302" t="s">
        <v>330</v>
      </c>
      <c r="B302">
        <f>VLOOKUP(A302,'Subbu- Mini Project EXcel Clean'!A301:R1301,2,FALSE)</f>
        <v>41.1</v>
      </c>
      <c r="C302">
        <f>VLOOKUP(A302,'Subbu- Mini Project EXcel Clean'!A301:R1301,3,FALSE)</f>
        <v>42.8</v>
      </c>
      <c r="D302">
        <f>_xlfn.XLOOKUP(A302,'Subbu- Mini Project EXcel Clean'!A302:A1301,'Subbu- Mini Project EXcel Clean'!D302:D1301,"Entry Level",0)</f>
        <v>48.8</v>
      </c>
      <c r="E302">
        <f>_xlfn.XLOOKUP(A302,'Subbu- Mini Project EXcel Clean'!A302:A1301,'Subbu- Mini Project EXcel Clean'!F302:F1301,"Entry Level",0)</f>
        <v>48</v>
      </c>
      <c r="F302">
        <f>_xlfn.XLOOKUP(A302,'Subbu- Mini Project EXcel Clean'!A302:A1301,'Subbu- Mini Project EXcel Clean'!G302:G1301," ",0)</f>
        <v>45.4</v>
      </c>
      <c r="G302" t="str">
        <f>_xlfn.XLOOKUP(A302,'Subbu- Mini Project EXcel Clean'!A302:A1301,'Subbu- Mini Project EXcel Clean'!H302:H1301," ",0)</f>
        <v>Fail</v>
      </c>
      <c r="H302" t="str">
        <f>VLOOKUP(A302,'Subbu- Mini Project EXcel Clean'!A301:R1301,18,)</f>
        <v>Bachelor</v>
      </c>
    </row>
    <row r="303" spans="1:8" x14ac:dyDescent="0.25">
      <c r="A303" t="s">
        <v>331</v>
      </c>
      <c r="B303">
        <f>VLOOKUP(A303,'Subbu- Mini Project EXcel Clean'!A302:R1302,2,FALSE)</f>
        <v>67.5</v>
      </c>
      <c r="C303">
        <f>VLOOKUP(A303,'Subbu- Mini Project EXcel Clean'!A302:R1302,3,FALSE)</f>
        <v>72.2</v>
      </c>
      <c r="D303">
        <f>_xlfn.XLOOKUP(A303,'Subbu- Mini Project EXcel Clean'!A303:A1302,'Subbu- Mini Project EXcel Clean'!D303:D1302,"Entry Level",0)</f>
        <v>69.900000000000006</v>
      </c>
      <c r="E303">
        <f>_xlfn.XLOOKUP(A303,'Subbu- Mini Project EXcel Clean'!A303:A1302,'Subbu- Mini Project EXcel Clean'!F303:F1302,"Entry Level",0)</f>
        <v>75.7</v>
      </c>
      <c r="F303">
        <f>_xlfn.XLOOKUP(A303,'Subbu- Mini Project EXcel Clean'!A303:A1302,'Subbu- Mini Project EXcel Clean'!G303:G1302," ",0)</f>
        <v>72.45</v>
      </c>
      <c r="G303" t="str">
        <f>_xlfn.XLOOKUP(A303,'Subbu- Mini Project EXcel Clean'!A303:A1302,'Subbu- Mini Project EXcel Clean'!H303:H1302," ",0)</f>
        <v>Pass</v>
      </c>
      <c r="H303" t="str">
        <f>VLOOKUP(A303,'Subbu- Mini Project EXcel Clean'!A302:R1302,18,)</f>
        <v>High School</v>
      </c>
    </row>
    <row r="304" spans="1:8" x14ac:dyDescent="0.25">
      <c r="A304" t="s">
        <v>332</v>
      </c>
      <c r="B304">
        <f>VLOOKUP(A304,'Subbu- Mini Project EXcel Clean'!A303:R1303,2,FALSE)</f>
        <v>68.099999999999994</v>
      </c>
      <c r="C304">
        <f>VLOOKUP(A304,'Subbu- Mini Project EXcel Clean'!A303:R1303,3,FALSE)</f>
        <v>62.5</v>
      </c>
      <c r="D304">
        <f>_xlfn.XLOOKUP(A304,'Subbu- Mini Project EXcel Clean'!A304:A1303,'Subbu- Mini Project EXcel Clean'!D304:D1303,"Entry Level",0)</f>
        <v>59.9</v>
      </c>
      <c r="E304">
        <f>_xlfn.XLOOKUP(A304,'Subbu- Mini Project EXcel Clean'!A304:A1303,'Subbu- Mini Project EXcel Clean'!F304:F1303,"Entry Level",0)</f>
        <v>83.3</v>
      </c>
      <c r="F304">
        <f>_xlfn.XLOOKUP(A304,'Subbu- Mini Project EXcel Clean'!A304:A1303,'Subbu- Mini Project EXcel Clean'!G304:G1303," ",0)</f>
        <v>76.5</v>
      </c>
      <c r="G304" t="str">
        <f>_xlfn.XLOOKUP(A304,'Subbu- Mini Project EXcel Clean'!A304:A1303,'Subbu- Mini Project EXcel Clean'!H304:H1303," ",0)</f>
        <v>Pass</v>
      </c>
      <c r="H304" t="str">
        <f>VLOOKUP(A304,'Subbu- Mini Project EXcel Clean'!A303:R1303,18,)</f>
        <v>Master</v>
      </c>
    </row>
    <row r="305" spans="1:8" x14ac:dyDescent="0.25">
      <c r="A305" t="s">
        <v>333</v>
      </c>
      <c r="B305">
        <f>VLOOKUP(A305,'Subbu- Mini Project EXcel Clean'!A304:R1304,2,FALSE)</f>
        <v>85.4</v>
      </c>
      <c r="C305">
        <f>VLOOKUP(A305,'Subbu- Mini Project EXcel Clean'!A304:R1304,3,FALSE)</f>
        <v>63.6</v>
      </c>
      <c r="D305">
        <f>_xlfn.XLOOKUP(A305,'Subbu- Mini Project EXcel Clean'!A305:A1304,'Subbu- Mini Project EXcel Clean'!D305:D1304,"Entry Level",0)</f>
        <v>69.5</v>
      </c>
      <c r="E305">
        <f>_xlfn.XLOOKUP(A305,'Subbu- Mini Project EXcel Clean'!A305:A1304,'Subbu- Mini Project EXcel Clean'!F305:F1304,"Entry Level",0)</f>
        <v>74</v>
      </c>
      <c r="F305">
        <f>_xlfn.XLOOKUP(A305,'Subbu- Mini Project EXcel Clean'!A305:A1304,'Subbu- Mini Project EXcel Clean'!G305:G1304," ",0)</f>
        <v>74.55</v>
      </c>
      <c r="G305" t="str">
        <f>_xlfn.XLOOKUP(A305,'Subbu- Mini Project EXcel Clean'!A305:A1304,'Subbu- Mini Project EXcel Clean'!H305:H1304," ",0)</f>
        <v>Pass</v>
      </c>
      <c r="H305" t="str">
        <f>VLOOKUP(A305,'Subbu- Mini Project EXcel Clean'!A304:R1304,18,)</f>
        <v>Master</v>
      </c>
    </row>
    <row r="306" spans="1:8" x14ac:dyDescent="0.25">
      <c r="A306" t="s">
        <v>334</v>
      </c>
      <c r="B306">
        <f>VLOOKUP(A306,'Subbu- Mini Project EXcel Clean'!A305:R1305,2,FALSE)</f>
        <v>81.8</v>
      </c>
      <c r="C306">
        <f>VLOOKUP(A306,'Subbu- Mini Project EXcel Clean'!A305:R1305,3,FALSE)</f>
        <v>77.2</v>
      </c>
      <c r="D306">
        <f>_xlfn.XLOOKUP(A306,'Subbu- Mini Project EXcel Clean'!A306:A1305,'Subbu- Mini Project EXcel Clean'!D306:D1305,"Entry Level",0)</f>
        <v>79</v>
      </c>
      <c r="E306">
        <f>_xlfn.XLOOKUP(A306,'Subbu- Mini Project EXcel Clean'!A306:A1305,'Subbu- Mini Project EXcel Clean'!F306:F1305,"Entry Level",0)</f>
        <v>78.7</v>
      </c>
      <c r="F306">
        <f>_xlfn.XLOOKUP(A306,'Subbu- Mini Project EXcel Clean'!A306:A1305,'Subbu- Mini Project EXcel Clean'!G306:G1305," ",0)</f>
        <v>79.3</v>
      </c>
      <c r="G306" t="str">
        <f>_xlfn.XLOOKUP(A306,'Subbu- Mini Project EXcel Clean'!A306:A1305,'Subbu- Mini Project EXcel Clean'!H306:H1305," ",0)</f>
        <v>Pass</v>
      </c>
      <c r="H306" t="str">
        <f>VLOOKUP(A306,'Subbu- Mini Project EXcel Clean'!A305:R1305,18,)</f>
        <v>High School</v>
      </c>
    </row>
    <row r="307" spans="1:8" x14ac:dyDescent="0.25">
      <c r="A307" t="s">
        <v>335</v>
      </c>
      <c r="B307">
        <f>VLOOKUP(A307,'Subbu- Mini Project EXcel Clean'!A306:R1306,2,FALSE)</f>
        <v>95.8</v>
      </c>
      <c r="C307">
        <f>VLOOKUP(A307,'Subbu- Mini Project EXcel Clean'!A306:R1306,3,FALSE)</f>
        <v>87.6</v>
      </c>
      <c r="D307">
        <f>_xlfn.XLOOKUP(A307,'Subbu- Mini Project EXcel Clean'!A307:A1306,'Subbu- Mini Project EXcel Clean'!D307:D1306,"Entry Level",0)</f>
        <v>95.2</v>
      </c>
      <c r="E307">
        <f>_xlfn.XLOOKUP(A307,'Subbu- Mini Project EXcel Clean'!A307:A1306,'Subbu- Mini Project EXcel Clean'!F307:F1306,"Entry Level",0)</f>
        <v>100</v>
      </c>
      <c r="F307">
        <f>_xlfn.XLOOKUP(A307,'Subbu- Mini Project EXcel Clean'!A307:A1306,'Subbu- Mini Project EXcel Clean'!G307:G1306," ",0)</f>
        <v>96.85</v>
      </c>
      <c r="G307" t="str">
        <f>_xlfn.XLOOKUP(A307,'Subbu- Mini Project EXcel Clean'!A307:A1306,'Subbu- Mini Project EXcel Clean'!H307:H1306," ",0)</f>
        <v>Pass</v>
      </c>
      <c r="H307" t="str">
        <f>VLOOKUP(A307,'Subbu- Mini Project EXcel Clean'!A306:R1306,18,)</f>
        <v>Master</v>
      </c>
    </row>
    <row r="308" spans="1:8" x14ac:dyDescent="0.25">
      <c r="A308" t="s">
        <v>336</v>
      </c>
      <c r="B308">
        <f>VLOOKUP(A308,'Subbu- Mini Project EXcel Clean'!A307:R1307,2,FALSE)</f>
        <v>73.5</v>
      </c>
      <c r="C308">
        <f>VLOOKUP(A308,'Subbu- Mini Project EXcel Clean'!A307:R1307,3,FALSE)</f>
        <v>65.900000000000006</v>
      </c>
      <c r="D308">
        <f>_xlfn.XLOOKUP(A308,'Subbu- Mini Project EXcel Clean'!A308:A1307,'Subbu- Mini Project EXcel Clean'!D308:D1307,"Entry Level",0)</f>
        <v>68.099999999999994</v>
      </c>
      <c r="E308">
        <f>_xlfn.XLOOKUP(A308,'Subbu- Mini Project EXcel Clean'!A308:A1307,'Subbu- Mini Project EXcel Clean'!F308:F1307,"Entry Level",0)</f>
        <v>93.1</v>
      </c>
      <c r="F308">
        <f>_xlfn.XLOOKUP(A308,'Subbu- Mini Project EXcel Clean'!A308:A1307,'Subbu- Mini Project EXcel Clean'!G308:G1307," ",0)</f>
        <v>80.75</v>
      </c>
      <c r="G308" t="str">
        <f>_xlfn.XLOOKUP(A308,'Subbu- Mini Project EXcel Clean'!A308:A1307,'Subbu- Mini Project EXcel Clean'!H308:H1307," ",0)</f>
        <v>Pass</v>
      </c>
      <c r="H308" t="str">
        <f>VLOOKUP(A308,'Subbu- Mini Project EXcel Clean'!A307:R1307,18,)</f>
        <v>Bachelor</v>
      </c>
    </row>
    <row r="309" spans="1:8" x14ac:dyDescent="0.25">
      <c r="A309" t="s">
        <v>337</v>
      </c>
      <c r="B309">
        <f>VLOOKUP(A309,'Subbu- Mini Project EXcel Clean'!A308:R1308,2,FALSE)</f>
        <v>59</v>
      </c>
      <c r="C309">
        <f>VLOOKUP(A309,'Subbu- Mini Project EXcel Clean'!A308:R1308,3,FALSE)</f>
        <v>57</v>
      </c>
      <c r="D309">
        <f>_xlfn.XLOOKUP(A309,'Subbu- Mini Project EXcel Clean'!A309:A1308,'Subbu- Mini Project EXcel Clean'!D309:D1308,"Entry Level",0)</f>
        <v>63.9</v>
      </c>
      <c r="E309">
        <f>_xlfn.XLOOKUP(A309,'Subbu- Mini Project EXcel Clean'!A309:A1308,'Subbu- Mini Project EXcel Clean'!F309:F1308,"Entry Level",0)</f>
        <v>65.2</v>
      </c>
      <c r="F309">
        <f>_xlfn.XLOOKUP(A309,'Subbu- Mini Project EXcel Clean'!A309:A1308,'Subbu- Mini Project EXcel Clean'!G309:G1308," ",0)</f>
        <v>61.5</v>
      </c>
      <c r="G309" t="str">
        <f>_xlfn.XLOOKUP(A309,'Subbu- Mini Project EXcel Clean'!A309:A1308,'Subbu- Mini Project EXcel Clean'!H309:H1308," ",0)</f>
        <v>Pass</v>
      </c>
      <c r="H309" t="str">
        <f>VLOOKUP(A309,'Subbu- Mini Project EXcel Clean'!A308:R1308,18,)</f>
        <v>Master</v>
      </c>
    </row>
    <row r="310" spans="1:8" x14ac:dyDescent="0.25">
      <c r="A310" t="s">
        <v>338</v>
      </c>
      <c r="B310">
        <f>VLOOKUP(A310,'Subbu- Mini Project EXcel Clean'!A309:R1309,2,FALSE)</f>
        <v>82.4</v>
      </c>
      <c r="C310">
        <f>VLOOKUP(A310,'Subbu- Mini Project EXcel Clean'!A309:R1309,3,FALSE)</f>
        <v>81.5</v>
      </c>
      <c r="D310">
        <f>_xlfn.XLOOKUP(A310,'Subbu- Mini Project EXcel Clean'!A310:A1309,'Subbu- Mini Project EXcel Clean'!D310:D1309,"Entry Level",0)</f>
        <v>74</v>
      </c>
      <c r="E310">
        <f>_xlfn.XLOOKUP(A310,'Subbu- Mini Project EXcel Clean'!A310:A1309,'Subbu- Mini Project EXcel Clean'!F310:F1309,"Entry Level",0)</f>
        <v>70.400000000000006</v>
      </c>
      <c r="F310">
        <f>_xlfn.XLOOKUP(A310,'Subbu- Mini Project EXcel Clean'!A310:A1309,'Subbu- Mini Project EXcel Clean'!G310:G1309," ",0)</f>
        <v>77.05</v>
      </c>
      <c r="G310" t="str">
        <f>_xlfn.XLOOKUP(A310,'Subbu- Mini Project EXcel Clean'!A310:A1309,'Subbu- Mini Project EXcel Clean'!H310:H1309," ",0)</f>
        <v>Pass</v>
      </c>
      <c r="H310" t="str">
        <f>VLOOKUP(A310,'Subbu- Mini Project EXcel Clean'!A309:R1309,18,)</f>
        <v>High School</v>
      </c>
    </row>
    <row r="311" spans="1:8" x14ac:dyDescent="0.25">
      <c r="A311" t="s">
        <v>339</v>
      </c>
      <c r="B311">
        <f>VLOOKUP(A311,'Subbu- Mini Project EXcel Clean'!A310:R1310,2,FALSE)</f>
        <v>53.9</v>
      </c>
      <c r="C311">
        <f>VLOOKUP(A311,'Subbu- Mini Project EXcel Clean'!A310:R1310,3,FALSE)</f>
        <v>62.2</v>
      </c>
      <c r="D311">
        <f>_xlfn.XLOOKUP(A311,'Subbu- Mini Project EXcel Clean'!A311:A1310,'Subbu- Mini Project EXcel Clean'!D311:D1310,"Entry Level",0)</f>
        <v>55.6</v>
      </c>
      <c r="E311">
        <f>_xlfn.XLOOKUP(A311,'Subbu- Mini Project EXcel Clean'!A311:A1310,'Subbu- Mini Project EXcel Clean'!F311:F1310,"Entry Level",0)</f>
        <v>67</v>
      </c>
      <c r="F311">
        <f>_xlfn.XLOOKUP(A311,'Subbu- Mini Project EXcel Clean'!A311:A1310,'Subbu- Mini Project EXcel Clean'!G311:G1310," ",0)</f>
        <v>60.95</v>
      </c>
      <c r="G311" t="str">
        <f>_xlfn.XLOOKUP(A311,'Subbu- Mini Project EXcel Clean'!A311:A1310,'Subbu- Mini Project EXcel Clean'!H311:H1310," ",0)</f>
        <v>Pass</v>
      </c>
      <c r="H311" t="str">
        <f>VLOOKUP(A311,'Subbu- Mini Project EXcel Clean'!A310:R1310,18,)</f>
        <v>Master</v>
      </c>
    </row>
    <row r="312" spans="1:8" x14ac:dyDescent="0.25">
      <c r="A312" t="s">
        <v>340</v>
      </c>
      <c r="B312">
        <f>VLOOKUP(A312,'Subbu- Mini Project EXcel Clean'!A311:R1311,2,FALSE)</f>
        <v>63.8</v>
      </c>
      <c r="C312">
        <f>VLOOKUP(A312,'Subbu- Mini Project EXcel Clean'!A311:R1311,3,FALSE)</f>
        <v>65.8</v>
      </c>
      <c r="D312">
        <f>_xlfn.XLOOKUP(A312,'Subbu- Mini Project EXcel Clean'!A312:A1311,'Subbu- Mini Project EXcel Clean'!D312:D1311,"Entry Level",0)</f>
        <v>55.1</v>
      </c>
      <c r="E312">
        <f>_xlfn.XLOOKUP(A312,'Subbu- Mini Project EXcel Clean'!A312:A1311,'Subbu- Mini Project EXcel Clean'!F312:F1311,"Entry Level",0)</f>
        <v>66.099999999999994</v>
      </c>
      <c r="F312">
        <f>_xlfn.XLOOKUP(A312,'Subbu- Mini Project EXcel Clean'!A312:A1311,'Subbu- Mini Project EXcel Clean'!G312:G1311," ",0)</f>
        <v>65.099999999999994</v>
      </c>
      <c r="G312" t="str">
        <f>_xlfn.XLOOKUP(A312,'Subbu- Mini Project EXcel Clean'!A312:A1311,'Subbu- Mini Project EXcel Clean'!H312:H1311," ",0)</f>
        <v>Pass</v>
      </c>
      <c r="H312" t="str">
        <f>VLOOKUP(A312,'Subbu- Mini Project EXcel Clean'!A311:R1311,18,)</f>
        <v>High School</v>
      </c>
    </row>
    <row r="313" spans="1:8" x14ac:dyDescent="0.25">
      <c r="A313" t="s">
        <v>341</v>
      </c>
      <c r="B313">
        <f>VLOOKUP(A313,'Subbu- Mini Project EXcel Clean'!A312:R1312,2,FALSE)</f>
        <v>44.1</v>
      </c>
      <c r="C313">
        <f>VLOOKUP(A313,'Subbu- Mini Project EXcel Clean'!A312:R1312,3,FALSE)</f>
        <v>45.8</v>
      </c>
      <c r="D313">
        <f>_xlfn.XLOOKUP(A313,'Subbu- Mini Project EXcel Clean'!A313:A1312,'Subbu- Mini Project EXcel Clean'!D313:D1312,"Entry Level",0)</f>
        <v>48.1</v>
      </c>
      <c r="E313">
        <f>_xlfn.XLOOKUP(A313,'Subbu- Mini Project EXcel Clean'!A313:A1312,'Subbu- Mini Project EXcel Clean'!F313:F1312,"Entry Level",0)</f>
        <v>60.6</v>
      </c>
      <c r="F313">
        <f>_xlfn.XLOOKUP(A313,'Subbu- Mini Project EXcel Clean'!A313:A1312,'Subbu- Mini Project EXcel Clean'!G313:G1312," ",0)</f>
        <v>52.45</v>
      </c>
      <c r="G313" t="str">
        <f>_xlfn.XLOOKUP(A313,'Subbu- Mini Project EXcel Clean'!A313:A1312,'Subbu- Mini Project EXcel Clean'!H313:H1312," ",0)</f>
        <v>Pass</v>
      </c>
      <c r="H313" t="str">
        <f>VLOOKUP(A313,'Subbu- Mini Project EXcel Clean'!A312:R1312,18,)</f>
        <v>Bachelor</v>
      </c>
    </row>
    <row r="314" spans="1:8" x14ac:dyDescent="0.25">
      <c r="A314" t="s">
        <v>342</v>
      </c>
      <c r="B314">
        <f>VLOOKUP(A314,'Subbu- Mini Project EXcel Clean'!A313:R1313,2,FALSE)</f>
        <v>45</v>
      </c>
      <c r="C314">
        <f>VLOOKUP(A314,'Subbu- Mini Project EXcel Clean'!A313:R1313,3,FALSE)</f>
        <v>44.5</v>
      </c>
      <c r="D314">
        <f>_xlfn.XLOOKUP(A314,'Subbu- Mini Project EXcel Clean'!A314:A1313,'Subbu- Mini Project EXcel Clean'!D314:D1313,"Entry Level",0)</f>
        <v>40.9</v>
      </c>
      <c r="E314">
        <f>_xlfn.XLOOKUP(A314,'Subbu- Mini Project EXcel Clean'!A314:A1313,'Subbu- Mini Project EXcel Clean'!F314:F1313,"Entry Level",0)</f>
        <v>49.7</v>
      </c>
      <c r="F314">
        <f>_xlfn.XLOOKUP(A314,'Subbu- Mini Project EXcel Clean'!A314:A1313,'Subbu- Mini Project EXcel Clean'!G314:G1313," ",0)</f>
        <v>45.55</v>
      </c>
      <c r="G314" t="str">
        <f>_xlfn.XLOOKUP(A314,'Subbu- Mini Project EXcel Clean'!A314:A1313,'Subbu- Mini Project EXcel Clean'!H314:H1313," ",0)</f>
        <v>Fail</v>
      </c>
      <c r="H314" t="str">
        <f>VLOOKUP(A314,'Subbu- Mini Project EXcel Clean'!A313:R1313,18,)</f>
        <v>High School</v>
      </c>
    </row>
    <row r="315" spans="1:8" x14ac:dyDescent="0.25">
      <c r="A315" t="s">
        <v>343</v>
      </c>
      <c r="B315">
        <f>VLOOKUP(A315,'Subbu- Mini Project EXcel Clean'!A314:R1314,2,FALSE)</f>
        <v>93.2</v>
      </c>
      <c r="C315">
        <f>VLOOKUP(A315,'Subbu- Mini Project EXcel Clean'!A314:R1314,3,FALSE)</f>
        <v>87.3</v>
      </c>
      <c r="D315">
        <f>_xlfn.XLOOKUP(A315,'Subbu- Mini Project EXcel Clean'!A315:A1314,'Subbu- Mini Project EXcel Clean'!D315:D1314,"Entry Level",0)</f>
        <v>95</v>
      </c>
      <c r="E315">
        <f>_xlfn.XLOOKUP(A315,'Subbu- Mini Project EXcel Clean'!A315:A1314,'Subbu- Mini Project EXcel Clean'!F315:F1314,"Entry Level",0)</f>
        <v>72.2</v>
      </c>
      <c r="F315">
        <f>_xlfn.XLOOKUP(A315,'Subbu- Mini Project EXcel Clean'!A315:A1314,'Subbu- Mini Project EXcel Clean'!G315:G1314," ",0)</f>
        <v>82.55</v>
      </c>
      <c r="G315" t="str">
        <f>_xlfn.XLOOKUP(A315,'Subbu- Mini Project EXcel Clean'!A315:A1314,'Subbu- Mini Project EXcel Clean'!H315:H1314," ",0)</f>
        <v>Pass</v>
      </c>
      <c r="H315" t="str">
        <f>VLOOKUP(A315,'Subbu- Mini Project EXcel Clean'!A314:R1314,18,)</f>
        <v>Master</v>
      </c>
    </row>
    <row r="316" spans="1:8" x14ac:dyDescent="0.25">
      <c r="A316" t="s">
        <v>344</v>
      </c>
      <c r="B316">
        <f>VLOOKUP(A316,'Subbu- Mini Project EXcel Clean'!A315:R1315,2,FALSE)</f>
        <v>89.6</v>
      </c>
      <c r="C316">
        <f>VLOOKUP(A316,'Subbu- Mini Project EXcel Clean'!A315:R1315,3,FALSE)</f>
        <v>91.2</v>
      </c>
      <c r="D316">
        <f>_xlfn.XLOOKUP(A316,'Subbu- Mini Project EXcel Clean'!A316:A1315,'Subbu- Mini Project EXcel Clean'!D316:D1315,"Entry Level",0)</f>
        <v>81.7</v>
      </c>
      <c r="E316">
        <f>_xlfn.XLOOKUP(A316,'Subbu- Mini Project EXcel Clean'!A316:A1315,'Subbu- Mini Project EXcel Clean'!F316:F1315,"Entry Level",0)</f>
        <v>74.3</v>
      </c>
      <c r="F316">
        <f>_xlfn.XLOOKUP(A316,'Subbu- Mini Project EXcel Clean'!A316:A1315,'Subbu- Mini Project EXcel Clean'!G316:G1315," ",0)</f>
        <v>80.150000000000006</v>
      </c>
      <c r="G316" t="str">
        <f>_xlfn.XLOOKUP(A316,'Subbu- Mini Project EXcel Clean'!A316:A1315,'Subbu- Mini Project EXcel Clean'!H316:H1315," ",0)</f>
        <v>Pass</v>
      </c>
      <c r="H316" t="str">
        <f>VLOOKUP(A316,'Subbu- Mini Project EXcel Clean'!A315:R1315,18,)</f>
        <v>Bachelor</v>
      </c>
    </row>
    <row r="317" spans="1:8" x14ac:dyDescent="0.25">
      <c r="A317" t="s">
        <v>345</v>
      </c>
      <c r="B317">
        <f>VLOOKUP(A317,'Subbu- Mini Project EXcel Clean'!A316:R1316,2,FALSE)</f>
        <v>77.900000000000006</v>
      </c>
      <c r="C317">
        <f>VLOOKUP(A317,'Subbu- Mini Project EXcel Clean'!A316:R1316,3,FALSE)</f>
        <v>77.900000000000006</v>
      </c>
      <c r="D317">
        <f>_xlfn.XLOOKUP(A317,'Subbu- Mini Project EXcel Clean'!A317:A1316,'Subbu- Mini Project EXcel Clean'!D317:D1316,"Entry Level",0)</f>
        <v>84.7</v>
      </c>
      <c r="E317">
        <f>_xlfn.XLOOKUP(A317,'Subbu- Mini Project EXcel Clean'!A317:A1316,'Subbu- Mini Project EXcel Clean'!F317:F1316,"Entry Level",0)</f>
        <v>62.6</v>
      </c>
      <c r="F317">
        <f>_xlfn.XLOOKUP(A317,'Subbu- Mini Project EXcel Clean'!A317:A1316,'Subbu- Mini Project EXcel Clean'!G317:G1316," ",0)</f>
        <v>70.45</v>
      </c>
      <c r="G317" t="str">
        <f>_xlfn.XLOOKUP(A317,'Subbu- Mini Project EXcel Clean'!A317:A1316,'Subbu- Mini Project EXcel Clean'!H317:H1316," ",0)</f>
        <v>Pass</v>
      </c>
      <c r="H317" t="str">
        <f>VLOOKUP(A317,'Subbu- Mini Project EXcel Clean'!A316:R1316,18,)</f>
        <v>Master</v>
      </c>
    </row>
    <row r="318" spans="1:8" x14ac:dyDescent="0.25">
      <c r="A318" t="s">
        <v>346</v>
      </c>
      <c r="B318">
        <f>VLOOKUP(A318,'Subbu- Mini Project EXcel Clean'!A317:R1317,2,FALSE)</f>
        <v>62.9</v>
      </c>
      <c r="C318">
        <f>VLOOKUP(A318,'Subbu- Mini Project EXcel Clean'!A317:R1317,3,FALSE)</f>
        <v>65.8</v>
      </c>
      <c r="D318">
        <f>_xlfn.XLOOKUP(A318,'Subbu- Mini Project EXcel Clean'!A318:A1317,'Subbu- Mini Project EXcel Clean'!D318:D1317,"Entry Level",0)</f>
        <v>67.7</v>
      </c>
      <c r="E318">
        <f>_xlfn.XLOOKUP(A318,'Subbu- Mini Project EXcel Clean'!A318:A1317,'Subbu- Mini Project EXcel Clean'!F318:F1317,"Entry Level",0)</f>
        <v>72.599999999999994</v>
      </c>
      <c r="F318">
        <f>_xlfn.XLOOKUP(A318,'Subbu- Mini Project EXcel Clean'!A318:A1317,'Subbu- Mini Project EXcel Clean'!G318:G1317," ",0)</f>
        <v>67.55</v>
      </c>
      <c r="G318" t="str">
        <f>_xlfn.XLOOKUP(A318,'Subbu- Mini Project EXcel Clean'!A318:A1317,'Subbu- Mini Project EXcel Clean'!H318:H1317," ",0)</f>
        <v>Pass</v>
      </c>
      <c r="H318" t="str">
        <f>VLOOKUP(A318,'Subbu- Mini Project EXcel Clean'!A317:R1317,18,)</f>
        <v>High School</v>
      </c>
    </row>
    <row r="319" spans="1:8" x14ac:dyDescent="0.25">
      <c r="A319" t="s">
        <v>347</v>
      </c>
      <c r="B319">
        <f>VLOOKUP(A319,'Subbu- Mini Project EXcel Clean'!A318:R1318,2,FALSE)</f>
        <v>39.5</v>
      </c>
      <c r="C319">
        <f>VLOOKUP(A319,'Subbu- Mini Project EXcel Clean'!A318:R1318,3,FALSE)</f>
        <v>44.2</v>
      </c>
      <c r="D319">
        <f>_xlfn.XLOOKUP(A319,'Subbu- Mini Project EXcel Clean'!A319:A1318,'Subbu- Mini Project EXcel Clean'!D319:D1318,"Entry Level",0)</f>
        <v>52.4</v>
      </c>
      <c r="E319">
        <f>_xlfn.XLOOKUP(A319,'Subbu- Mini Project EXcel Clean'!A319:A1318,'Subbu- Mini Project EXcel Clean'!F319:F1318,"Entry Level",0)</f>
        <v>53</v>
      </c>
      <c r="F319">
        <f>_xlfn.XLOOKUP(A319,'Subbu- Mini Project EXcel Clean'!A319:A1318,'Subbu- Mini Project EXcel Clean'!G319:G1318," ",0)</f>
        <v>51.25</v>
      </c>
      <c r="G319" t="str">
        <f>_xlfn.XLOOKUP(A319,'Subbu- Mini Project EXcel Clean'!A319:A1318,'Subbu- Mini Project EXcel Clean'!H319:H1318," ",0)</f>
        <v>Pass</v>
      </c>
      <c r="H319" t="str">
        <f>VLOOKUP(A319,'Subbu- Mini Project EXcel Clean'!A318:R1318,18,)</f>
        <v>Bachelor</v>
      </c>
    </row>
    <row r="320" spans="1:8" x14ac:dyDescent="0.25">
      <c r="A320" t="s">
        <v>348</v>
      </c>
      <c r="B320">
        <f>VLOOKUP(A320,'Subbu- Mini Project EXcel Clean'!A319:R1319,2,FALSE)</f>
        <v>53.2</v>
      </c>
      <c r="C320">
        <f>VLOOKUP(A320,'Subbu- Mini Project EXcel Clean'!A319:R1319,3,FALSE)</f>
        <v>40.799999999999997</v>
      </c>
      <c r="D320">
        <f>_xlfn.XLOOKUP(A320,'Subbu- Mini Project EXcel Clean'!A320:A1319,'Subbu- Mini Project EXcel Clean'!D320:D1319,"Entry Level",0)</f>
        <v>48</v>
      </c>
      <c r="E320">
        <f>_xlfn.XLOOKUP(A320,'Subbu- Mini Project EXcel Clean'!A320:A1319,'Subbu- Mini Project EXcel Clean'!F320:F1319,"Entry Level",0)</f>
        <v>50.2</v>
      </c>
      <c r="F320">
        <f>_xlfn.XLOOKUP(A320,'Subbu- Mini Project EXcel Clean'!A320:A1319,'Subbu- Mini Project EXcel Clean'!G320:G1319," ",0)</f>
        <v>49.4</v>
      </c>
      <c r="G320" t="str">
        <f>_xlfn.XLOOKUP(A320,'Subbu- Mini Project EXcel Clean'!A320:A1319,'Subbu- Mini Project EXcel Clean'!H320:H1319," ",0)</f>
        <v>Fail</v>
      </c>
      <c r="H320" t="str">
        <f>VLOOKUP(A320,'Subbu- Mini Project EXcel Clean'!A319:R1319,18,)</f>
        <v>High School</v>
      </c>
    </row>
    <row r="321" spans="1:8" x14ac:dyDescent="0.25">
      <c r="A321" t="s">
        <v>349</v>
      </c>
      <c r="B321">
        <f>VLOOKUP(A321,'Subbu- Mini Project EXcel Clean'!A320:R1320,2,FALSE)</f>
        <v>55.5</v>
      </c>
      <c r="C321">
        <f>VLOOKUP(A321,'Subbu- Mini Project EXcel Clean'!A320:R1320,3,FALSE)</f>
        <v>57.9</v>
      </c>
      <c r="D321">
        <f>_xlfn.XLOOKUP(A321,'Subbu- Mini Project EXcel Clean'!A321:A1320,'Subbu- Mini Project EXcel Clean'!D321:D1320,"Entry Level",0)</f>
        <v>56.7</v>
      </c>
      <c r="E321">
        <f>_xlfn.XLOOKUP(A321,'Subbu- Mini Project EXcel Clean'!A321:A1320,'Subbu- Mini Project EXcel Clean'!F321:F1320,"Entry Level",0)</f>
        <v>73.2</v>
      </c>
      <c r="F321">
        <f>_xlfn.XLOOKUP(A321,'Subbu- Mini Project EXcel Clean'!A321:A1320,'Subbu- Mini Project EXcel Clean'!G321:G1320," ",0)</f>
        <v>63.5</v>
      </c>
      <c r="G321" t="str">
        <f>_xlfn.XLOOKUP(A321,'Subbu- Mini Project EXcel Clean'!A321:A1320,'Subbu- Mini Project EXcel Clean'!H321:H1320," ",0)</f>
        <v>Pass</v>
      </c>
      <c r="H321" t="str">
        <f>VLOOKUP(A321,'Subbu- Mini Project EXcel Clean'!A320:R1320,18,)</f>
        <v>Master</v>
      </c>
    </row>
    <row r="322" spans="1:8" x14ac:dyDescent="0.25">
      <c r="A322" t="s">
        <v>350</v>
      </c>
      <c r="B322">
        <f>VLOOKUP(A322,'Subbu- Mini Project EXcel Clean'!A321:R1321,2,FALSE)</f>
        <v>75.2</v>
      </c>
      <c r="C322">
        <f>VLOOKUP(A322,'Subbu- Mini Project EXcel Clean'!A321:R1321,3,FALSE)</f>
        <v>72.099999999999994</v>
      </c>
      <c r="D322">
        <f>_xlfn.XLOOKUP(A322,'Subbu- Mini Project EXcel Clean'!A322:A1321,'Subbu- Mini Project EXcel Clean'!D322:D1321,"Entry Level",0)</f>
        <v>66.7</v>
      </c>
      <c r="E322">
        <f>_xlfn.XLOOKUP(A322,'Subbu- Mini Project EXcel Clean'!A322:A1321,'Subbu- Mini Project EXcel Clean'!F322:F1321,"Entry Level",0)</f>
        <v>85.9</v>
      </c>
      <c r="F322">
        <f>_xlfn.XLOOKUP(A322,'Subbu- Mini Project EXcel Clean'!A322:A1321,'Subbu- Mini Project EXcel Clean'!G322:G1321," ",0)</f>
        <v>78.05</v>
      </c>
      <c r="G322" t="str">
        <f>_xlfn.XLOOKUP(A322,'Subbu- Mini Project EXcel Clean'!A322:A1321,'Subbu- Mini Project EXcel Clean'!H322:H1321," ",0)</f>
        <v>Pass</v>
      </c>
      <c r="H322" t="str">
        <f>VLOOKUP(A322,'Subbu- Mini Project EXcel Clean'!A321:R1321,18,)</f>
        <v>High School</v>
      </c>
    </row>
    <row r="323" spans="1:8" x14ac:dyDescent="0.25">
      <c r="A323" t="s">
        <v>351</v>
      </c>
      <c r="B323">
        <f>VLOOKUP(A323,'Subbu- Mini Project EXcel Clean'!A322:R1322,2,FALSE)</f>
        <v>64.8</v>
      </c>
      <c r="C323">
        <f>VLOOKUP(A323,'Subbu- Mini Project EXcel Clean'!A322:R1322,3,FALSE)</f>
        <v>74.8</v>
      </c>
      <c r="D323">
        <f>_xlfn.XLOOKUP(A323,'Subbu- Mini Project EXcel Clean'!A323:A1322,'Subbu- Mini Project EXcel Clean'!D323:D1322,"Entry Level",0)</f>
        <v>83.6</v>
      </c>
      <c r="E323">
        <f>_xlfn.XLOOKUP(A323,'Subbu- Mini Project EXcel Clean'!A323:A1322,'Subbu- Mini Project EXcel Clean'!F323:F1322,"Entry Level",0)</f>
        <v>68.599999999999994</v>
      </c>
      <c r="F323">
        <f>_xlfn.XLOOKUP(A323,'Subbu- Mini Project EXcel Clean'!A323:A1322,'Subbu- Mini Project EXcel Clean'!G323:G1322," ",0)</f>
        <v>73.95</v>
      </c>
      <c r="G323" t="str">
        <f>_xlfn.XLOOKUP(A323,'Subbu- Mini Project EXcel Clean'!A323:A1322,'Subbu- Mini Project EXcel Clean'!H323:H1322," ",0)</f>
        <v>Pass</v>
      </c>
      <c r="H323" t="str">
        <f>VLOOKUP(A323,'Subbu- Mini Project EXcel Clean'!A322:R1322,18,)</f>
        <v>Master</v>
      </c>
    </row>
    <row r="324" spans="1:8" x14ac:dyDescent="0.25">
      <c r="A324" t="s">
        <v>352</v>
      </c>
      <c r="B324">
        <f>VLOOKUP(A324,'Subbu- Mini Project EXcel Clean'!A323:R1323,2,FALSE)</f>
        <v>86.8</v>
      </c>
      <c r="C324">
        <f>VLOOKUP(A324,'Subbu- Mini Project EXcel Clean'!A323:R1323,3,FALSE)</f>
        <v>72</v>
      </c>
      <c r="D324">
        <f>_xlfn.XLOOKUP(A324,'Subbu- Mini Project EXcel Clean'!A324:A1323,'Subbu- Mini Project EXcel Clean'!D324:D1323,"Entry Level",0)</f>
        <v>84.6</v>
      </c>
      <c r="E324">
        <f>_xlfn.XLOOKUP(A324,'Subbu- Mini Project EXcel Clean'!A324:A1323,'Subbu- Mini Project EXcel Clean'!F324:F1323,"Entry Level",0)</f>
        <v>84.6</v>
      </c>
      <c r="F324">
        <f>_xlfn.XLOOKUP(A324,'Subbu- Mini Project EXcel Clean'!A324:A1323,'Subbu- Mini Project EXcel Clean'!G324:G1323," ",0)</f>
        <v>80.45</v>
      </c>
      <c r="G324" t="str">
        <f>_xlfn.XLOOKUP(A324,'Subbu- Mini Project EXcel Clean'!A324:A1323,'Subbu- Mini Project EXcel Clean'!H324:H1323," ",0)</f>
        <v>Pass</v>
      </c>
      <c r="H324" t="str">
        <f>VLOOKUP(A324,'Subbu- Mini Project EXcel Clean'!A323:R1323,18,)</f>
        <v>Master</v>
      </c>
    </row>
    <row r="325" spans="1:8" x14ac:dyDescent="0.25">
      <c r="A325" t="s">
        <v>353</v>
      </c>
      <c r="B325">
        <f>VLOOKUP(A325,'Subbu- Mini Project EXcel Clean'!A324:R1324,2,FALSE)</f>
        <v>54.7</v>
      </c>
      <c r="C325">
        <f>VLOOKUP(A325,'Subbu- Mini Project EXcel Clean'!A324:R1324,3,FALSE)</f>
        <v>61</v>
      </c>
      <c r="D325">
        <f>_xlfn.XLOOKUP(A325,'Subbu- Mini Project EXcel Clean'!A325:A1324,'Subbu- Mini Project EXcel Clean'!D325:D1324,"Entry Level",0)</f>
        <v>60.7</v>
      </c>
      <c r="E325">
        <f>_xlfn.XLOOKUP(A325,'Subbu- Mini Project EXcel Clean'!A325:A1324,'Subbu- Mini Project EXcel Clean'!F325:F1324,"Entry Level",0)</f>
        <v>60.5</v>
      </c>
      <c r="F325">
        <f>_xlfn.XLOOKUP(A325,'Subbu- Mini Project EXcel Clean'!A325:A1324,'Subbu- Mini Project EXcel Clean'!G325:G1324," ",0)</f>
        <v>57.95</v>
      </c>
      <c r="G325" t="str">
        <f>_xlfn.XLOOKUP(A325,'Subbu- Mini Project EXcel Clean'!A325:A1324,'Subbu- Mini Project EXcel Clean'!H325:H1324," ",0)</f>
        <v>Pass</v>
      </c>
      <c r="H325" t="str">
        <f>VLOOKUP(A325,'Subbu- Mini Project EXcel Clean'!A324:R1324,18,)</f>
        <v>Bachelor</v>
      </c>
    </row>
    <row r="326" spans="1:8" x14ac:dyDescent="0.25">
      <c r="A326" t="s">
        <v>354</v>
      </c>
      <c r="B326">
        <f>VLOOKUP(A326,'Subbu- Mini Project EXcel Clean'!A325:R1325,2,FALSE)</f>
        <v>98.1</v>
      </c>
      <c r="C326">
        <f>VLOOKUP(A326,'Subbu- Mini Project EXcel Clean'!A325:R1325,3,FALSE)</f>
        <v>86.6</v>
      </c>
      <c r="D326">
        <f>_xlfn.XLOOKUP(A326,'Subbu- Mini Project EXcel Clean'!A326:A1325,'Subbu- Mini Project EXcel Clean'!D326:D1325,"Entry Level",0)</f>
        <v>88.9</v>
      </c>
      <c r="E326">
        <f>_xlfn.XLOOKUP(A326,'Subbu- Mini Project EXcel Clean'!A326:A1325,'Subbu- Mini Project EXcel Clean'!F326:F1325,"Entry Level",0)</f>
        <v>84.1</v>
      </c>
      <c r="F326">
        <f>_xlfn.XLOOKUP(A326,'Subbu- Mini Project EXcel Clean'!A326:A1325,'Subbu- Mini Project EXcel Clean'!G326:G1325," ",0)</f>
        <v>88.3</v>
      </c>
      <c r="G326" t="str">
        <f>_xlfn.XLOOKUP(A326,'Subbu- Mini Project EXcel Clean'!A326:A1325,'Subbu- Mini Project EXcel Clean'!H326:H1325," ",0)</f>
        <v>Pass</v>
      </c>
      <c r="H326" t="str">
        <f>VLOOKUP(A326,'Subbu- Mini Project EXcel Clean'!A325:R1325,18,)</f>
        <v>Bachelor</v>
      </c>
    </row>
    <row r="327" spans="1:8" x14ac:dyDescent="0.25">
      <c r="A327" t="s">
        <v>355</v>
      </c>
      <c r="B327">
        <f>VLOOKUP(A327,'Subbu- Mini Project EXcel Clean'!A326:R1326,2,FALSE)</f>
        <v>75.400000000000006</v>
      </c>
      <c r="C327">
        <f>VLOOKUP(A327,'Subbu- Mini Project EXcel Clean'!A326:R1326,3,FALSE)</f>
        <v>88.8</v>
      </c>
      <c r="D327">
        <f>_xlfn.XLOOKUP(A327,'Subbu- Mini Project EXcel Clean'!A327:A1326,'Subbu- Mini Project EXcel Clean'!D327:D1326,"Entry Level",0)</f>
        <v>82.4</v>
      </c>
      <c r="E327">
        <f>_xlfn.XLOOKUP(A327,'Subbu- Mini Project EXcel Clean'!A327:A1326,'Subbu- Mini Project EXcel Clean'!F327:F1326,"Entry Level",0)</f>
        <v>82</v>
      </c>
      <c r="F327">
        <f>_xlfn.XLOOKUP(A327,'Subbu- Mini Project EXcel Clean'!A327:A1326,'Subbu- Mini Project EXcel Clean'!G327:G1326," ",0)</f>
        <v>81.3</v>
      </c>
      <c r="G327" t="str">
        <f>_xlfn.XLOOKUP(A327,'Subbu- Mini Project EXcel Clean'!A327:A1326,'Subbu- Mini Project EXcel Clean'!H327:H1326," ",0)</f>
        <v>Pass</v>
      </c>
      <c r="H327" t="str">
        <f>VLOOKUP(A327,'Subbu- Mini Project EXcel Clean'!A326:R1326,18,)</f>
        <v>High School</v>
      </c>
    </row>
    <row r="328" spans="1:8" x14ac:dyDescent="0.25">
      <c r="A328" t="s">
        <v>356</v>
      </c>
      <c r="B328">
        <f>VLOOKUP(A328,'Subbu- Mini Project EXcel Clean'!A327:R1327,2,FALSE)</f>
        <v>73.599999999999994</v>
      </c>
      <c r="C328">
        <f>VLOOKUP(A328,'Subbu- Mini Project EXcel Clean'!A327:R1327,3,FALSE)</f>
        <v>66</v>
      </c>
      <c r="D328">
        <f>_xlfn.XLOOKUP(A328,'Subbu- Mini Project EXcel Clean'!A328:A1327,'Subbu- Mini Project EXcel Clean'!D328:D1327,"Entry Level",0)</f>
        <v>64</v>
      </c>
      <c r="E328">
        <f>_xlfn.XLOOKUP(A328,'Subbu- Mini Project EXcel Clean'!A328:A1327,'Subbu- Mini Project EXcel Clean'!F328:F1327,"Entry Level",0)</f>
        <v>60.4</v>
      </c>
      <c r="F328">
        <f>_xlfn.XLOOKUP(A328,'Subbu- Mini Project EXcel Clean'!A328:A1327,'Subbu- Mini Project EXcel Clean'!G328:G1327," ",0)</f>
        <v>65.45</v>
      </c>
      <c r="G328" t="str">
        <f>_xlfn.XLOOKUP(A328,'Subbu- Mini Project EXcel Clean'!A328:A1327,'Subbu- Mini Project EXcel Clean'!H328:H1327," ",0)</f>
        <v>Pass</v>
      </c>
      <c r="H328" t="str">
        <f>VLOOKUP(A328,'Subbu- Mini Project EXcel Clean'!A327:R1327,18,)</f>
        <v>Master</v>
      </c>
    </row>
    <row r="329" spans="1:8" x14ac:dyDescent="0.25">
      <c r="A329" t="s">
        <v>357</v>
      </c>
      <c r="B329">
        <f>VLOOKUP(A329,'Subbu- Mini Project EXcel Clean'!A328:R1328,2,FALSE)</f>
        <v>68.400000000000006</v>
      </c>
      <c r="C329">
        <f>VLOOKUP(A329,'Subbu- Mini Project EXcel Clean'!A328:R1328,3,FALSE)</f>
        <v>76.8</v>
      </c>
      <c r="D329">
        <f>_xlfn.XLOOKUP(A329,'Subbu- Mini Project EXcel Clean'!A329:A1328,'Subbu- Mini Project EXcel Clean'!D329:D1328,"Entry Level",0)</f>
        <v>76.5</v>
      </c>
      <c r="E329">
        <f>_xlfn.XLOOKUP(A329,'Subbu- Mini Project EXcel Clean'!A329:A1328,'Subbu- Mini Project EXcel Clean'!F329:F1328,"Entry Level",0)</f>
        <v>77.599999999999994</v>
      </c>
      <c r="F329">
        <f>_xlfn.XLOOKUP(A329,'Subbu- Mini Project EXcel Clean'!A329:A1328,'Subbu- Mini Project EXcel Clean'!G329:G1328," ",0)</f>
        <v>75.599999999999994</v>
      </c>
      <c r="G329" t="str">
        <f>_xlfn.XLOOKUP(A329,'Subbu- Mini Project EXcel Clean'!A329:A1328,'Subbu- Mini Project EXcel Clean'!H329:H1328," ",0)</f>
        <v>Pass</v>
      </c>
      <c r="H329" t="str">
        <f>VLOOKUP(A329,'Subbu- Mini Project EXcel Clean'!A328:R1328,18,)</f>
        <v>Master</v>
      </c>
    </row>
    <row r="330" spans="1:8" x14ac:dyDescent="0.25">
      <c r="A330" t="s">
        <v>358</v>
      </c>
      <c r="B330">
        <f>VLOOKUP(A330,'Subbu- Mini Project EXcel Clean'!A329:R1329,2,FALSE)</f>
        <v>60</v>
      </c>
      <c r="C330">
        <f>VLOOKUP(A330,'Subbu- Mini Project EXcel Clean'!A329:R1329,3,FALSE)</f>
        <v>61.4</v>
      </c>
      <c r="D330">
        <f>_xlfn.XLOOKUP(A330,'Subbu- Mini Project EXcel Clean'!A330:A1329,'Subbu- Mini Project EXcel Clean'!D330:D1329,"Entry Level",0)</f>
        <v>65.3</v>
      </c>
      <c r="E330">
        <f>_xlfn.XLOOKUP(A330,'Subbu- Mini Project EXcel Clean'!A330:A1329,'Subbu- Mini Project EXcel Clean'!F330:F1329,"Entry Level",0)</f>
        <v>65.400000000000006</v>
      </c>
      <c r="F330">
        <f>_xlfn.XLOOKUP(A330,'Subbu- Mini Project EXcel Clean'!A330:A1329,'Subbu- Mini Project EXcel Clean'!G330:G1329," ",0)</f>
        <v>64.25</v>
      </c>
      <c r="G330" t="str">
        <f>_xlfn.XLOOKUP(A330,'Subbu- Mini Project EXcel Clean'!A330:A1329,'Subbu- Mini Project EXcel Clean'!H330:H1329," ",0)</f>
        <v>Pass</v>
      </c>
      <c r="H330" t="str">
        <f>VLOOKUP(A330,'Subbu- Mini Project EXcel Clean'!A329:R1329,18,)</f>
        <v>Bachelor</v>
      </c>
    </row>
    <row r="331" spans="1:8" x14ac:dyDescent="0.25">
      <c r="A331" t="s">
        <v>359</v>
      </c>
      <c r="B331">
        <f>VLOOKUP(A331,'Subbu- Mini Project EXcel Clean'!A330:R1330,2,FALSE)</f>
        <v>63.2</v>
      </c>
      <c r="C331">
        <f>VLOOKUP(A331,'Subbu- Mini Project EXcel Clean'!A330:R1330,3,FALSE)</f>
        <v>56.6</v>
      </c>
      <c r="D331">
        <f>_xlfn.XLOOKUP(A331,'Subbu- Mini Project EXcel Clean'!A331:A1330,'Subbu- Mini Project EXcel Clean'!D331:D1330,"Entry Level",0)</f>
        <v>44.3</v>
      </c>
      <c r="E331">
        <f>_xlfn.XLOOKUP(A331,'Subbu- Mini Project EXcel Clean'!A331:A1330,'Subbu- Mini Project EXcel Clean'!F331:F1330,"Entry Level",0)</f>
        <v>64</v>
      </c>
      <c r="F331">
        <f>_xlfn.XLOOKUP(A331,'Subbu- Mini Project EXcel Clean'!A331:A1330,'Subbu- Mini Project EXcel Clean'!G331:G1330," ",0)</f>
        <v>58.8</v>
      </c>
      <c r="G331" t="str">
        <f>_xlfn.XLOOKUP(A331,'Subbu- Mini Project EXcel Clean'!A331:A1330,'Subbu- Mini Project EXcel Clean'!H331:H1330," ",0)</f>
        <v>Pass</v>
      </c>
      <c r="H331" t="str">
        <f>VLOOKUP(A331,'Subbu- Mini Project EXcel Clean'!A330:R1330,18,)</f>
        <v>Bachelor</v>
      </c>
    </row>
    <row r="332" spans="1:8" x14ac:dyDescent="0.25">
      <c r="A332" t="s">
        <v>360</v>
      </c>
      <c r="B332">
        <f>VLOOKUP(A332,'Subbu- Mini Project EXcel Clean'!A331:R1331,2,FALSE)</f>
        <v>58.6</v>
      </c>
      <c r="C332">
        <f>VLOOKUP(A332,'Subbu- Mini Project EXcel Clean'!A331:R1331,3,FALSE)</f>
        <v>56.9</v>
      </c>
      <c r="D332">
        <f>_xlfn.XLOOKUP(A332,'Subbu- Mini Project EXcel Clean'!A332:A1331,'Subbu- Mini Project EXcel Clean'!D332:D1331,"Entry Level",0)</f>
        <v>53.8</v>
      </c>
      <c r="E332">
        <f>_xlfn.XLOOKUP(A332,'Subbu- Mini Project EXcel Clean'!A332:A1331,'Subbu- Mini Project EXcel Clean'!F332:F1331,"Entry Level",0)</f>
        <v>65.400000000000006</v>
      </c>
      <c r="F332">
        <f>_xlfn.XLOOKUP(A332,'Subbu- Mini Project EXcel Clean'!A332:A1331,'Subbu- Mini Project EXcel Clean'!G332:G1331," ",0)</f>
        <v>62.5</v>
      </c>
      <c r="G332" t="str">
        <f>_xlfn.XLOOKUP(A332,'Subbu- Mini Project EXcel Clean'!A332:A1331,'Subbu- Mini Project EXcel Clean'!H332:H1331," ",0)</f>
        <v>Pass</v>
      </c>
      <c r="H332" t="str">
        <f>VLOOKUP(A332,'Subbu- Mini Project EXcel Clean'!A331:R1331,18,)</f>
        <v>Bachelor</v>
      </c>
    </row>
    <row r="333" spans="1:8" x14ac:dyDescent="0.25">
      <c r="A333" t="s">
        <v>361</v>
      </c>
      <c r="B333">
        <f>VLOOKUP(A333,'Subbu- Mini Project EXcel Clean'!A332:R1332,2,FALSE)</f>
        <v>82.8</v>
      </c>
      <c r="C333">
        <f>VLOOKUP(A333,'Subbu- Mini Project EXcel Clean'!A332:R1332,3,FALSE)</f>
        <v>80.900000000000006</v>
      </c>
      <c r="D333">
        <f>_xlfn.XLOOKUP(A333,'Subbu- Mini Project EXcel Clean'!A333:A1332,'Subbu- Mini Project EXcel Clean'!D333:D1332,"Entry Level",0)</f>
        <v>80.3</v>
      </c>
      <c r="E333">
        <f>_xlfn.XLOOKUP(A333,'Subbu- Mini Project EXcel Clean'!A333:A1332,'Subbu- Mini Project EXcel Clean'!F333:F1332,"Entry Level",0)</f>
        <v>100</v>
      </c>
      <c r="F333">
        <f>_xlfn.XLOOKUP(A333,'Subbu- Mini Project EXcel Clean'!A333:A1332,'Subbu- Mini Project EXcel Clean'!G333:G1332," ",0)</f>
        <v>90.85</v>
      </c>
      <c r="G333" t="str">
        <f>_xlfn.XLOOKUP(A333,'Subbu- Mini Project EXcel Clean'!A333:A1332,'Subbu- Mini Project EXcel Clean'!H333:H1332," ",0)</f>
        <v>Pass</v>
      </c>
      <c r="H333" t="str">
        <f>VLOOKUP(A333,'Subbu- Mini Project EXcel Clean'!A332:R1332,18,)</f>
        <v>Bachelor</v>
      </c>
    </row>
    <row r="334" spans="1:8" x14ac:dyDescent="0.25">
      <c r="A334" t="s">
        <v>362</v>
      </c>
      <c r="B334">
        <f>VLOOKUP(A334,'Subbu- Mini Project EXcel Clean'!A333:R1333,2,FALSE)</f>
        <v>45.1</v>
      </c>
      <c r="C334">
        <f>VLOOKUP(A334,'Subbu- Mini Project EXcel Clean'!A333:R1333,3,FALSE)</f>
        <v>41</v>
      </c>
      <c r="D334">
        <f>_xlfn.XLOOKUP(A334,'Subbu- Mini Project EXcel Clean'!A334:A1333,'Subbu- Mini Project EXcel Clean'!D334:D1333,"Entry Level",0)</f>
        <v>39.299999999999997</v>
      </c>
      <c r="E334">
        <f>_xlfn.XLOOKUP(A334,'Subbu- Mini Project EXcel Clean'!A334:A1333,'Subbu- Mini Project EXcel Clean'!F334:F1333,"Entry Level",0)</f>
        <v>47.6</v>
      </c>
      <c r="F334">
        <f>_xlfn.XLOOKUP(A334,'Subbu- Mini Project EXcel Clean'!A334:A1333,'Subbu- Mini Project EXcel Clean'!G334:G1333," ",0)</f>
        <v>44.2</v>
      </c>
      <c r="G334" t="str">
        <f>_xlfn.XLOOKUP(A334,'Subbu- Mini Project EXcel Clean'!A334:A1333,'Subbu- Mini Project EXcel Clean'!H334:H1333," ",0)</f>
        <v>Fail</v>
      </c>
      <c r="H334" t="str">
        <f>VLOOKUP(A334,'Subbu- Mini Project EXcel Clean'!A333:R1333,18,)</f>
        <v>High School</v>
      </c>
    </row>
    <row r="335" spans="1:8" x14ac:dyDescent="0.25">
      <c r="A335" t="s">
        <v>363</v>
      </c>
      <c r="B335">
        <f>VLOOKUP(A335,'Subbu- Mini Project EXcel Clean'!A334:R1334,2,FALSE)</f>
        <v>48.9</v>
      </c>
      <c r="C335">
        <f>VLOOKUP(A335,'Subbu- Mini Project EXcel Clean'!A334:R1334,3,FALSE)</f>
        <v>41.4</v>
      </c>
      <c r="D335">
        <f>_xlfn.XLOOKUP(A335,'Subbu- Mini Project EXcel Clean'!A335:A1334,'Subbu- Mini Project EXcel Clean'!D335:D1334,"Entry Level",0)</f>
        <v>40.299999999999997</v>
      </c>
      <c r="E335">
        <f>_xlfn.XLOOKUP(A335,'Subbu- Mini Project EXcel Clean'!A335:A1334,'Subbu- Mini Project EXcel Clean'!F335:F1334,"Entry Level",0)</f>
        <v>52.6</v>
      </c>
      <c r="F335">
        <f>_xlfn.XLOOKUP(A335,'Subbu- Mini Project EXcel Clean'!A335:A1334,'Subbu- Mini Project EXcel Clean'!G335:G1334," ",0)</f>
        <v>49.5</v>
      </c>
      <c r="G335" t="str">
        <f>_xlfn.XLOOKUP(A335,'Subbu- Mini Project EXcel Clean'!A335:A1334,'Subbu- Mini Project EXcel Clean'!H335:H1334," ",0)</f>
        <v>Fail</v>
      </c>
      <c r="H335" t="str">
        <f>VLOOKUP(A335,'Subbu- Mini Project EXcel Clean'!A334:R1334,18,)</f>
        <v>High School</v>
      </c>
    </row>
    <row r="336" spans="1:8" x14ac:dyDescent="0.25">
      <c r="A336" t="s">
        <v>364</v>
      </c>
      <c r="B336">
        <f>VLOOKUP(A336,'Subbu- Mini Project EXcel Clean'!A335:R1335,2,FALSE)</f>
        <v>43.3</v>
      </c>
      <c r="C336">
        <f>VLOOKUP(A336,'Subbu- Mini Project EXcel Clean'!A335:R1335,3,FALSE)</f>
        <v>46.2</v>
      </c>
      <c r="D336">
        <f>_xlfn.XLOOKUP(A336,'Subbu- Mini Project EXcel Clean'!A336:A1335,'Subbu- Mini Project EXcel Clean'!D336:D1335,"Entry Level",0)</f>
        <v>44.5</v>
      </c>
      <c r="E336">
        <f>_xlfn.XLOOKUP(A336,'Subbu- Mini Project EXcel Clean'!A336:A1335,'Subbu- Mini Project EXcel Clean'!F336:F1335,"Entry Level",0)</f>
        <v>56</v>
      </c>
      <c r="F336">
        <f>_xlfn.XLOOKUP(A336,'Subbu- Mini Project EXcel Clean'!A336:A1335,'Subbu- Mini Project EXcel Clean'!G336:G1335," ",0)</f>
        <v>49.25</v>
      </c>
      <c r="G336" t="str">
        <f>_xlfn.XLOOKUP(A336,'Subbu- Mini Project EXcel Clean'!A336:A1335,'Subbu- Mini Project EXcel Clean'!H336:H1335," ",0)</f>
        <v>Fail</v>
      </c>
      <c r="H336" t="str">
        <f>VLOOKUP(A336,'Subbu- Mini Project EXcel Clean'!A335:R1335,18,)</f>
        <v>High School</v>
      </c>
    </row>
    <row r="337" spans="1:8" x14ac:dyDescent="0.25">
      <c r="A337" t="s">
        <v>365</v>
      </c>
      <c r="B337">
        <f>VLOOKUP(A337,'Subbu- Mini Project EXcel Clean'!A336:R1336,2,FALSE)</f>
        <v>44.1</v>
      </c>
      <c r="C337">
        <f>VLOOKUP(A337,'Subbu- Mini Project EXcel Clean'!A336:R1336,3,FALSE)</f>
        <v>39.700000000000003</v>
      </c>
      <c r="D337">
        <f>_xlfn.XLOOKUP(A337,'Subbu- Mini Project EXcel Clean'!A337:A1336,'Subbu- Mini Project EXcel Clean'!D337:D1336,"Entry Level",0)</f>
        <v>43.5</v>
      </c>
      <c r="E337">
        <f>_xlfn.XLOOKUP(A337,'Subbu- Mini Project EXcel Clean'!A337:A1336,'Subbu- Mini Project EXcel Clean'!F337:F1336,"Entry Level",0)</f>
        <v>53.6</v>
      </c>
      <c r="F337">
        <f>_xlfn.XLOOKUP(A337,'Subbu- Mini Project EXcel Clean'!A337:A1336,'Subbu- Mini Project EXcel Clean'!G337:G1336," ",0)</f>
        <v>47.9</v>
      </c>
      <c r="G337" t="str">
        <f>_xlfn.XLOOKUP(A337,'Subbu- Mini Project EXcel Clean'!A337:A1336,'Subbu- Mini Project EXcel Clean'!H337:H1336," ",0)</f>
        <v>Fail</v>
      </c>
      <c r="H337" t="str">
        <f>VLOOKUP(A337,'Subbu- Mini Project EXcel Clean'!A336:R1336,18,)</f>
        <v>High School</v>
      </c>
    </row>
    <row r="338" spans="1:8" x14ac:dyDescent="0.25">
      <c r="A338" t="s">
        <v>366</v>
      </c>
      <c r="B338">
        <f>VLOOKUP(A338,'Subbu- Mini Project EXcel Clean'!A337:R1337,2,FALSE)</f>
        <v>99.1</v>
      </c>
      <c r="C338">
        <f>VLOOKUP(A338,'Subbu- Mini Project EXcel Clean'!A337:R1337,3,FALSE)</f>
        <v>85.9</v>
      </c>
      <c r="D338">
        <f>_xlfn.XLOOKUP(A338,'Subbu- Mini Project EXcel Clean'!A338:A1337,'Subbu- Mini Project EXcel Clean'!D338:D1337,"Entry Level",0)</f>
        <v>86.1</v>
      </c>
      <c r="E338">
        <f>_xlfn.XLOOKUP(A338,'Subbu- Mini Project EXcel Clean'!A338:A1337,'Subbu- Mini Project EXcel Clean'!F338:F1337,"Entry Level",0)</f>
        <v>94</v>
      </c>
      <c r="F338">
        <f>_xlfn.XLOOKUP(A338,'Subbu- Mini Project EXcel Clean'!A338:A1337,'Subbu- Mini Project EXcel Clean'!G338:G1337," ",0)</f>
        <v>90.55</v>
      </c>
      <c r="G338" t="str">
        <f>_xlfn.XLOOKUP(A338,'Subbu- Mini Project EXcel Clean'!A338:A1337,'Subbu- Mini Project EXcel Clean'!H338:H1337," ",0)</f>
        <v>Pass</v>
      </c>
      <c r="H338" t="str">
        <f>VLOOKUP(A338,'Subbu- Mini Project EXcel Clean'!A337:R1337,18,)</f>
        <v>Bachelor</v>
      </c>
    </row>
    <row r="339" spans="1:8" x14ac:dyDescent="0.25">
      <c r="A339" t="s">
        <v>367</v>
      </c>
      <c r="B339">
        <f>VLOOKUP(A339,'Subbu- Mini Project EXcel Clean'!A338:R1338,2,FALSE)</f>
        <v>78.400000000000006</v>
      </c>
      <c r="C339">
        <f>VLOOKUP(A339,'Subbu- Mini Project EXcel Clean'!A338:R1338,3,FALSE)</f>
        <v>73.7</v>
      </c>
      <c r="D339">
        <f>_xlfn.XLOOKUP(A339,'Subbu- Mini Project EXcel Clean'!A339:A1338,'Subbu- Mini Project EXcel Clean'!D339:D1338,"Entry Level",0)</f>
        <v>74.900000000000006</v>
      </c>
      <c r="E339">
        <f>_xlfn.XLOOKUP(A339,'Subbu- Mini Project EXcel Clean'!A339:A1338,'Subbu- Mini Project EXcel Clean'!F339:F1338,"Entry Level",0)</f>
        <v>75.099999999999994</v>
      </c>
      <c r="F339">
        <f>_xlfn.XLOOKUP(A339,'Subbu- Mini Project EXcel Clean'!A339:A1338,'Subbu- Mini Project EXcel Clean'!G339:G1338," ",0)</f>
        <v>76.900000000000006</v>
      </c>
      <c r="G339" t="str">
        <f>_xlfn.XLOOKUP(A339,'Subbu- Mini Project EXcel Clean'!A339:A1338,'Subbu- Mini Project EXcel Clean'!H339:H1338," ",0)</f>
        <v>Pass</v>
      </c>
      <c r="H339" t="str">
        <f>VLOOKUP(A339,'Subbu- Mini Project EXcel Clean'!A338:R1338,18,)</f>
        <v>High School</v>
      </c>
    </row>
    <row r="340" spans="1:8" x14ac:dyDescent="0.25">
      <c r="A340" t="s">
        <v>368</v>
      </c>
      <c r="B340">
        <f>VLOOKUP(A340,'Subbu- Mini Project EXcel Clean'!A339:R1339,2,FALSE)</f>
        <v>67.099999999999994</v>
      </c>
      <c r="C340">
        <f>VLOOKUP(A340,'Subbu- Mini Project EXcel Clean'!A339:R1339,3,FALSE)</f>
        <v>53.3</v>
      </c>
      <c r="D340">
        <f>_xlfn.XLOOKUP(A340,'Subbu- Mini Project EXcel Clean'!A340:A1339,'Subbu- Mini Project EXcel Clean'!D340:D1339,"Entry Level",0)</f>
        <v>71.3</v>
      </c>
      <c r="E340">
        <f>_xlfn.XLOOKUP(A340,'Subbu- Mini Project EXcel Clean'!A340:A1339,'Subbu- Mini Project EXcel Clean'!F340:F1339,"Entry Level",0)</f>
        <v>66.400000000000006</v>
      </c>
      <c r="F340">
        <f>_xlfn.XLOOKUP(A340,'Subbu- Mini Project EXcel Clean'!A340:A1339,'Subbu- Mini Project EXcel Clean'!G340:G1339," ",0)</f>
        <v>66.25</v>
      </c>
      <c r="G340" t="str">
        <f>_xlfn.XLOOKUP(A340,'Subbu- Mini Project EXcel Clean'!A340:A1339,'Subbu- Mini Project EXcel Clean'!H340:H1339," ",0)</f>
        <v>Pass</v>
      </c>
      <c r="H340" t="str">
        <f>VLOOKUP(A340,'Subbu- Mini Project EXcel Clean'!A339:R1339,18,)</f>
        <v>High School</v>
      </c>
    </row>
    <row r="341" spans="1:8" x14ac:dyDescent="0.25">
      <c r="A341" t="s">
        <v>369</v>
      </c>
      <c r="B341">
        <f>VLOOKUP(A341,'Subbu- Mini Project EXcel Clean'!A340:R1340,2,FALSE)</f>
        <v>50.6</v>
      </c>
      <c r="C341">
        <f>VLOOKUP(A341,'Subbu- Mini Project EXcel Clean'!A340:R1340,3,FALSE)</f>
        <v>44.4</v>
      </c>
      <c r="D341">
        <f>_xlfn.XLOOKUP(A341,'Subbu- Mini Project EXcel Clean'!A341:A1340,'Subbu- Mini Project EXcel Clean'!D341:D1340,"Entry Level",0)</f>
        <v>53.7</v>
      </c>
      <c r="E341">
        <f>_xlfn.XLOOKUP(A341,'Subbu- Mini Project EXcel Clean'!A341:A1340,'Subbu- Mini Project EXcel Clean'!F341:F1340,"Entry Level",0)</f>
        <v>61.7</v>
      </c>
      <c r="F341">
        <f>_xlfn.XLOOKUP(A341,'Subbu- Mini Project EXcel Clean'!A341:A1340,'Subbu- Mini Project EXcel Clean'!G341:G1340," ",0)</f>
        <v>53.55</v>
      </c>
      <c r="G341" t="str">
        <f>_xlfn.XLOOKUP(A341,'Subbu- Mini Project EXcel Clean'!A341:A1340,'Subbu- Mini Project EXcel Clean'!H341:H1340," ",0)</f>
        <v>Pass</v>
      </c>
      <c r="H341" t="str">
        <f>VLOOKUP(A341,'Subbu- Mini Project EXcel Clean'!A340:R1340,18,)</f>
        <v>High School</v>
      </c>
    </row>
    <row r="342" spans="1:8" x14ac:dyDescent="0.25">
      <c r="A342" t="s">
        <v>370</v>
      </c>
      <c r="B342">
        <f>VLOOKUP(A342,'Subbu- Mini Project EXcel Clean'!A341:R1341,2,FALSE)</f>
        <v>72.599999999999994</v>
      </c>
      <c r="C342">
        <f>VLOOKUP(A342,'Subbu- Mini Project EXcel Clean'!A341:R1341,3,FALSE)</f>
        <v>79.099999999999994</v>
      </c>
      <c r="D342">
        <f>_xlfn.XLOOKUP(A342,'Subbu- Mini Project EXcel Clean'!A342:A1341,'Subbu- Mini Project EXcel Clean'!D342:D1341,"Entry Level",0)</f>
        <v>64.599999999999994</v>
      </c>
      <c r="E342">
        <f>_xlfn.XLOOKUP(A342,'Subbu- Mini Project EXcel Clean'!A342:A1341,'Subbu- Mini Project EXcel Clean'!F342:F1341,"Entry Level",0)</f>
        <v>83.4</v>
      </c>
      <c r="F342">
        <f>_xlfn.XLOOKUP(A342,'Subbu- Mini Project EXcel Clean'!A342:A1341,'Subbu- Mini Project EXcel Clean'!G342:G1341," ",0)</f>
        <v>75.2</v>
      </c>
      <c r="G342" t="str">
        <f>_xlfn.XLOOKUP(A342,'Subbu- Mini Project EXcel Clean'!A342:A1341,'Subbu- Mini Project EXcel Clean'!H342:H1341," ",0)</f>
        <v>Pass</v>
      </c>
      <c r="H342" t="str">
        <f>VLOOKUP(A342,'Subbu- Mini Project EXcel Clean'!A341:R1341,18,)</f>
        <v>Bachelor</v>
      </c>
    </row>
    <row r="343" spans="1:8" x14ac:dyDescent="0.25">
      <c r="A343" t="s">
        <v>371</v>
      </c>
      <c r="B343">
        <f>VLOOKUP(A343,'Subbu- Mini Project EXcel Clean'!A342:R1342,2,FALSE)</f>
        <v>72</v>
      </c>
      <c r="C343">
        <f>VLOOKUP(A343,'Subbu- Mini Project EXcel Clean'!A342:R1342,3,FALSE)</f>
        <v>70</v>
      </c>
      <c r="D343">
        <f>_xlfn.XLOOKUP(A343,'Subbu- Mini Project EXcel Clean'!A343:A1342,'Subbu- Mini Project EXcel Clean'!D343:D1342,"Entry Level",0)</f>
        <v>63</v>
      </c>
      <c r="E343">
        <f>_xlfn.XLOOKUP(A343,'Subbu- Mini Project EXcel Clean'!A343:A1342,'Subbu- Mini Project EXcel Clean'!F343:F1342,"Entry Level",0)</f>
        <v>71.900000000000006</v>
      </c>
      <c r="F343">
        <f>_xlfn.XLOOKUP(A343,'Subbu- Mini Project EXcel Clean'!A343:A1342,'Subbu- Mini Project EXcel Clean'!G343:G1342," ",0)</f>
        <v>68.95</v>
      </c>
      <c r="G343" t="str">
        <f>_xlfn.XLOOKUP(A343,'Subbu- Mini Project EXcel Clean'!A343:A1342,'Subbu- Mini Project EXcel Clean'!H343:H1342," ",0)</f>
        <v>Pass</v>
      </c>
      <c r="H343" t="str">
        <f>VLOOKUP(A343,'Subbu- Mini Project EXcel Clean'!A342:R1342,18,)</f>
        <v>Master</v>
      </c>
    </row>
    <row r="344" spans="1:8" x14ac:dyDescent="0.25">
      <c r="A344" t="s">
        <v>372</v>
      </c>
      <c r="B344">
        <f>VLOOKUP(A344,'Subbu- Mini Project EXcel Clean'!A343:R1343,2,FALSE)</f>
        <v>52.7</v>
      </c>
      <c r="C344">
        <f>VLOOKUP(A344,'Subbu- Mini Project EXcel Clean'!A343:R1343,3,FALSE)</f>
        <v>49.4</v>
      </c>
      <c r="D344">
        <f>_xlfn.XLOOKUP(A344,'Subbu- Mini Project EXcel Clean'!A344:A1343,'Subbu- Mini Project EXcel Clean'!D344:D1343,"Entry Level",0)</f>
        <v>52</v>
      </c>
      <c r="E344">
        <f>_xlfn.XLOOKUP(A344,'Subbu- Mini Project EXcel Clean'!A344:A1343,'Subbu- Mini Project EXcel Clean'!F344:F1343,"Entry Level",0)</f>
        <v>56.2</v>
      </c>
      <c r="F344">
        <f>_xlfn.XLOOKUP(A344,'Subbu- Mini Project EXcel Clean'!A344:A1343,'Subbu- Mini Project EXcel Clean'!G344:G1343," ",0)</f>
        <v>52.85</v>
      </c>
      <c r="G344" t="str">
        <f>_xlfn.XLOOKUP(A344,'Subbu- Mini Project EXcel Clean'!A344:A1343,'Subbu- Mini Project EXcel Clean'!H344:H1343," ",0)</f>
        <v>Pass</v>
      </c>
      <c r="H344" t="str">
        <f>VLOOKUP(A344,'Subbu- Mini Project EXcel Clean'!A343:R1343,18,)</f>
        <v>Bachelor</v>
      </c>
    </row>
    <row r="345" spans="1:8" x14ac:dyDescent="0.25">
      <c r="A345" t="s">
        <v>373</v>
      </c>
      <c r="B345">
        <f>VLOOKUP(A345,'Subbu- Mini Project EXcel Clean'!A344:R1344,2,FALSE)</f>
        <v>58.1</v>
      </c>
      <c r="C345">
        <f>VLOOKUP(A345,'Subbu- Mini Project EXcel Clean'!A344:R1344,3,FALSE)</f>
        <v>62.5</v>
      </c>
      <c r="D345">
        <f>_xlfn.XLOOKUP(A345,'Subbu- Mini Project EXcel Clean'!A345:A1344,'Subbu- Mini Project EXcel Clean'!D345:D1344,"Entry Level",0)</f>
        <v>62.1</v>
      </c>
      <c r="E345">
        <f>_xlfn.XLOOKUP(A345,'Subbu- Mini Project EXcel Clean'!A345:A1344,'Subbu- Mini Project EXcel Clean'!F345:F1344,"Entry Level",0)</f>
        <v>55.6</v>
      </c>
      <c r="F345">
        <f>_xlfn.XLOOKUP(A345,'Subbu- Mini Project EXcel Clean'!A345:A1344,'Subbu- Mini Project EXcel Clean'!G345:G1344," ",0)</f>
        <v>59.75</v>
      </c>
      <c r="G345" t="str">
        <f>_xlfn.XLOOKUP(A345,'Subbu- Mini Project EXcel Clean'!A345:A1344,'Subbu- Mini Project EXcel Clean'!H345:H1344," ",0)</f>
        <v>Pass</v>
      </c>
      <c r="H345" t="str">
        <f>VLOOKUP(A345,'Subbu- Mini Project EXcel Clean'!A344:R1344,18,)</f>
        <v>Master</v>
      </c>
    </row>
    <row r="346" spans="1:8" x14ac:dyDescent="0.25">
      <c r="A346" t="s">
        <v>374</v>
      </c>
      <c r="B346">
        <f>VLOOKUP(A346,'Subbu- Mini Project EXcel Clean'!A345:R1345,2,FALSE)</f>
        <v>70.099999999999994</v>
      </c>
      <c r="C346">
        <f>VLOOKUP(A346,'Subbu- Mini Project EXcel Clean'!A345:R1345,3,FALSE)</f>
        <v>62</v>
      </c>
      <c r="D346">
        <f>_xlfn.XLOOKUP(A346,'Subbu- Mini Project EXcel Clean'!A346:A1345,'Subbu- Mini Project EXcel Clean'!D346:D1345,"Entry Level",0)</f>
        <v>61.2</v>
      </c>
      <c r="E346">
        <f>_xlfn.XLOOKUP(A346,'Subbu- Mini Project EXcel Clean'!A346:A1345,'Subbu- Mini Project EXcel Clean'!F346:F1345,"Entry Level",0)</f>
        <v>68.5</v>
      </c>
      <c r="F346">
        <f>_xlfn.XLOOKUP(A346,'Subbu- Mini Project EXcel Clean'!A346:A1345,'Subbu- Mini Project EXcel Clean'!G346:G1345," ",0)</f>
        <v>65.2</v>
      </c>
      <c r="G346" t="str">
        <f>_xlfn.XLOOKUP(A346,'Subbu- Mini Project EXcel Clean'!A346:A1345,'Subbu- Mini Project EXcel Clean'!H346:H1345," ",0)</f>
        <v>Pass</v>
      </c>
      <c r="H346" t="str">
        <f>VLOOKUP(A346,'Subbu- Mini Project EXcel Clean'!A345:R1345,18,)</f>
        <v>Master</v>
      </c>
    </row>
    <row r="347" spans="1:8" x14ac:dyDescent="0.25">
      <c r="A347" t="s">
        <v>375</v>
      </c>
      <c r="B347">
        <f>VLOOKUP(A347,'Subbu- Mini Project EXcel Clean'!A346:R1346,2,FALSE)</f>
        <v>68.099999999999994</v>
      </c>
      <c r="C347">
        <f>VLOOKUP(A347,'Subbu- Mini Project EXcel Clean'!A346:R1346,3,FALSE)</f>
        <v>76.599999999999994</v>
      </c>
      <c r="D347">
        <f>_xlfn.XLOOKUP(A347,'Subbu- Mini Project EXcel Clean'!A347:A1346,'Subbu- Mini Project EXcel Clean'!D347:D1346,"Entry Level",0)</f>
        <v>77.599999999999994</v>
      </c>
      <c r="E347">
        <f>_xlfn.XLOOKUP(A347,'Subbu- Mini Project EXcel Clean'!A347:A1346,'Subbu- Mini Project EXcel Clean'!F347:F1346,"Entry Level",0)</f>
        <v>75.3</v>
      </c>
      <c r="F347">
        <f>_xlfn.XLOOKUP(A347,'Subbu- Mini Project EXcel Clean'!A347:A1346,'Subbu- Mini Project EXcel Clean'!G347:G1346," ",0)</f>
        <v>74.599999999999994</v>
      </c>
      <c r="G347" t="str">
        <f>_xlfn.XLOOKUP(A347,'Subbu- Mini Project EXcel Clean'!A347:A1346,'Subbu- Mini Project EXcel Clean'!H347:H1346," ",0)</f>
        <v>Pass</v>
      </c>
      <c r="H347" t="str">
        <f>VLOOKUP(A347,'Subbu- Mini Project EXcel Clean'!A346:R1346,18,)</f>
        <v>High School</v>
      </c>
    </row>
    <row r="348" spans="1:8" x14ac:dyDescent="0.25">
      <c r="A348" t="s">
        <v>376</v>
      </c>
      <c r="B348">
        <f>VLOOKUP(A348,'Subbu- Mini Project EXcel Clean'!A347:R1347,2,FALSE)</f>
        <v>76.400000000000006</v>
      </c>
      <c r="C348">
        <f>VLOOKUP(A348,'Subbu- Mini Project EXcel Clean'!A347:R1347,3,FALSE)</f>
        <v>69</v>
      </c>
      <c r="D348">
        <f>_xlfn.XLOOKUP(A348,'Subbu- Mini Project EXcel Clean'!A348:A1347,'Subbu- Mini Project EXcel Clean'!D348:D1347,"Entry Level",0)</f>
        <v>65.400000000000006</v>
      </c>
      <c r="E348">
        <f>_xlfn.XLOOKUP(A348,'Subbu- Mini Project EXcel Clean'!A348:A1347,'Subbu- Mini Project EXcel Clean'!F348:F1347,"Entry Level",0)</f>
        <v>83.6</v>
      </c>
      <c r="F348">
        <f>_xlfn.XLOOKUP(A348,'Subbu- Mini Project EXcel Clean'!A348:A1347,'Subbu- Mini Project EXcel Clean'!G348:G1347," ",0)</f>
        <v>79.25</v>
      </c>
      <c r="G348" t="str">
        <f>_xlfn.XLOOKUP(A348,'Subbu- Mini Project EXcel Clean'!A348:A1347,'Subbu- Mini Project EXcel Clean'!H348:H1347," ",0)</f>
        <v>Pass</v>
      </c>
      <c r="H348" t="str">
        <f>VLOOKUP(A348,'Subbu- Mini Project EXcel Clean'!A347:R1347,18,)</f>
        <v>High School</v>
      </c>
    </row>
    <row r="349" spans="1:8" x14ac:dyDescent="0.25">
      <c r="A349" t="s">
        <v>377</v>
      </c>
      <c r="B349">
        <f>VLOOKUP(A349,'Subbu- Mini Project EXcel Clean'!A348:R1348,2,FALSE)</f>
        <v>38.700000000000003</v>
      </c>
      <c r="C349">
        <f>VLOOKUP(A349,'Subbu- Mini Project EXcel Clean'!A348:R1348,3,FALSE)</f>
        <v>48.1</v>
      </c>
      <c r="D349">
        <f>_xlfn.XLOOKUP(A349,'Subbu- Mini Project EXcel Clean'!A349:A1348,'Subbu- Mini Project EXcel Clean'!D349:D1348,"Entry Level",0)</f>
        <v>49.1</v>
      </c>
      <c r="E349">
        <f>_xlfn.XLOOKUP(A349,'Subbu- Mini Project EXcel Clean'!A349:A1348,'Subbu- Mini Project EXcel Clean'!F349:F1348,"Entry Level",0)</f>
        <v>47.5</v>
      </c>
      <c r="F349">
        <f>_xlfn.XLOOKUP(A349,'Subbu- Mini Project EXcel Clean'!A349:A1348,'Subbu- Mini Project EXcel Clean'!G349:G1348," ",0)</f>
        <v>45</v>
      </c>
      <c r="G349" t="str">
        <f>_xlfn.XLOOKUP(A349,'Subbu- Mini Project EXcel Clean'!A349:A1348,'Subbu- Mini Project EXcel Clean'!H349:H1348," ",0)</f>
        <v>Fail</v>
      </c>
      <c r="H349" t="str">
        <f>VLOOKUP(A349,'Subbu- Mini Project EXcel Clean'!A348:R1348,18,)</f>
        <v>High School</v>
      </c>
    </row>
    <row r="350" spans="1:8" x14ac:dyDescent="0.25">
      <c r="A350" t="s">
        <v>378</v>
      </c>
      <c r="B350">
        <f>VLOOKUP(A350,'Subbu- Mini Project EXcel Clean'!A349:R1349,2,FALSE)</f>
        <v>60.3</v>
      </c>
      <c r="C350">
        <f>VLOOKUP(A350,'Subbu- Mini Project EXcel Clean'!A349:R1349,3,FALSE)</f>
        <v>64.2</v>
      </c>
      <c r="D350">
        <f>_xlfn.XLOOKUP(A350,'Subbu- Mini Project EXcel Clean'!A350:A1349,'Subbu- Mini Project EXcel Clean'!D350:D1349,"Entry Level",0)</f>
        <v>61</v>
      </c>
      <c r="E350">
        <f>_xlfn.XLOOKUP(A350,'Subbu- Mini Project EXcel Clean'!A350:A1349,'Subbu- Mini Project EXcel Clean'!F350:F1349,"Entry Level",0)</f>
        <v>71.900000000000006</v>
      </c>
      <c r="F350">
        <f>_xlfn.XLOOKUP(A350,'Subbu- Mini Project EXcel Clean'!A350:A1349,'Subbu- Mini Project EXcel Clean'!G350:G1349," ",0)</f>
        <v>66.25</v>
      </c>
      <c r="G350" t="str">
        <f>_xlfn.XLOOKUP(A350,'Subbu- Mini Project EXcel Clean'!A350:A1349,'Subbu- Mini Project EXcel Clean'!H350:H1349," ",0)</f>
        <v>Pass</v>
      </c>
      <c r="H350" t="str">
        <f>VLOOKUP(A350,'Subbu- Mini Project EXcel Clean'!A349:R1349,18,)</f>
        <v>Bachelor</v>
      </c>
    </row>
    <row r="351" spans="1:8" x14ac:dyDescent="0.25">
      <c r="A351" t="s">
        <v>379</v>
      </c>
      <c r="B351">
        <f>VLOOKUP(A351,'Subbu- Mini Project EXcel Clean'!A350:R1350,2,FALSE)</f>
        <v>76.099999999999994</v>
      </c>
      <c r="C351">
        <f>VLOOKUP(A351,'Subbu- Mini Project EXcel Clean'!A350:R1350,3,FALSE)</f>
        <v>78</v>
      </c>
      <c r="D351">
        <f>_xlfn.XLOOKUP(A351,'Subbu- Mini Project EXcel Clean'!A351:A1350,'Subbu- Mini Project EXcel Clean'!D351:D1350,"Entry Level",0)</f>
        <v>72.400000000000006</v>
      </c>
      <c r="E351">
        <f>_xlfn.XLOOKUP(A351,'Subbu- Mini Project EXcel Clean'!A351:A1350,'Subbu- Mini Project EXcel Clean'!F351:F1350,"Entry Level",0)</f>
        <v>76.5</v>
      </c>
      <c r="F351">
        <f>_xlfn.XLOOKUP(A351,'Subbu- Mini Project EXcel Clean'!A351:A1350,'Subbu- Mini Project EXcel Clean'!G351:G1350," ",0)</f>
        <v>75.45</v>
      </c>
      <c r="G351" t="str">
        <f>_xlfn.XLOOKUP(A351,'Subbu- Mini Project EXcel Clean'!A351:A1350,'Subbu- Mini Project EXcel Clean'!H351:H1350," ",0)</f>
        <v>Pass</v>
      </c>
      <c r="H351" t="str">
        <f>VLOOKUP(A351,'Subbu- Mini Project EXcel Clean'!A350:R1350,18,)</f>
        <v>Bachelor</v>
      </c>
    </row>
    <row r="352" spans="1:8" x14ac:dyDescent="0.25">
      <c r="A352" t="s">
        <v>380</v>
      </c>
      <c r="B352">
        <f>VLOOKUP(A352,'Subbu- Mini Project EXcel Clean'!A351:R1351,2,FALSE)</f>
        <v>69.3</v>
      </c>
      <c r="C352">
        <f>VLOOKUP(A352,'Subbu- Mini Project EXcel Clean'!A351:R1351,3,FALSE)</f>
        <v>69.900000000000006</v>
      </c>
      <c r="D352">
        <f>_xlfn.XLOOKUP(A352,'Subbu- Mini Project EXcel Clean'!A352:A1351,'Subbu- Mini Project EXcel Clean'!D352:D1351,"Entry Level",0)</f>
        <v>67.2</v>
      </c>
      <c r="E352">
        <f>_xlfn.XLOOKUP(A352,'Subbu- Mini Project EXcel Clean'!A352:A1351,'Subbu- Mini Project EXcel Clean'!F352:F1351,"Entry Level",0)</f>
        <v>76.7</v>
      </c>
      <c r="F352">
        <f>_xlfn.XLOOKUP(A352,'Subbu- Mini Project EXcel Clean'!A352:A1351,'Subbu- Mini Project EXcel Clean'!G352:G1351," ",0)</f>
        <v>72.2</v>
      </c>
      <c r="G352" t="str">
        <f>_xlfn.XLOOKUP(A352,'Subbu- Mini Project EXcel Clean'!A352:A1351,'Subbu- Mini Project EXcel Clean'!H352:H1351," ",0)</f>
        <v>Pass</v>
      </c>
      <c r="H352" t="str">
        <f>VLOOKUP(A352,'Subbu- Mini Project EXcel Clean'!A351:R1351,18,)</f>
        <v>High School</v>
      </c>
    </row>
    <row r="353" spans="1:8" x14ac:dyDescent="0.25">
      <c r="A353" t="s">
        <v>381</v>
      </c>
      <c r="B353">
        <f>VLOOKUP(A353,'Subbu- Mini Project EXcel Clean'!A352:R1352,2,FALSE)</f>
        <v>89.2</v>
      </c>
      <c r="C353">
        <f>VLOOKUP(A353,'Subbu- Mini Project EXcel Clean'!A352:R1352,3,FALSE)</f>
        <v>87.2</v>
      </c>
      <c r="D353">
        <f>_xlfn.XLOOKUP(A353,'Subbu- Mini Project EXcel Clean'!A353:A1352,'Subbu- Mini Project EXcel Clean'!D353:D1352,"Entry Level",0)</f>
        <v>86.9</v>
      </c>
      <c r="E353">
        <f>_xlfn.XLOOKUP(A353,'Subbu- Mini Project EXcel Clean'!A353:A1352,'Subbu- Mini Project EXcel Clean'!F353:F1352,"Entry Level",0)</f>
        <v>88.6</v>
      </c>
      <c r="F353">
        <f>_xlfn.XLOOKUP(A353,'Subbu- Mini Project EXcel Clean'!A353:A1352,'Subbu- Mini Project EXcel Clean'!G353:G1352," ",0)</f>
        <v>87.85</v>
      </c>
      <c r="G353" t="str">
        <f>_xlfn.XLOOKUP(A353,'Subbu- Mini Project EXcel Clean'!A353:A1352,'Subbu- Mini Project EXcel Clean'!H353:H1352," ",0)</f>
        <v>Pass</v>
      </c>
      <c r="H353" t="str">
        <f>VLOOKUP(A353,'Subbu- Mini Project EXcel Clean'!A352:R1352,18,)</f>
        <v>Bachelor</v>
      </c>
    </row>
    <row r="354" spans="1:8" x14ac:dyDescent="0.25">
      <c r="A354" t="s">
        <v>382</v>
      </c>
      <c r="B354">
        <f>VLOOKUP(A354,'Subbu- Mini Project EXcel Clean'!A353:R1353,2,FALSE)</f>
        <v>84.3</v>
      </c>
      <c r="C354">
        <f>VLOOKUP(A354,'Subbu- Mini Project EXcel Clean'!A353:R1353,3,FALSE)</f>
        <v>79.599999999999994</v>
      </c>
      <c r="D354">
        <f>_xlfn.XLOOKUP(A354,'Subbu- Mini Project EXcel Clean'!A354:A1353,'Subbu- Mini Project EXcel Clean'!D354:D1353,"Entry Level",0)</f>
        <v>67.599999999999994</v>
      </c>
      <c r="E354">
        <f>_xlfn.XLOOKUP(A354,'Subbu- Mini Project EXcel Clean'!A354:A1353,'Subbu- Mini Project EXcel Clean'!F354:F1353,"Entry Level",0)</f>
        <v>87.5</v>
      </c>
      <c r="F354">
        <f>_xlfn.XLOOKUP(A354,'Subbu- Mini Project EXcel Clean'!A354:A1353,'Subbu- Mini Project EXcel Clean'!G354:G1353," ",0)</f>
        <v>81.849999999999994</v>
      </c>
      <c r="G354" t="str">
        <f>_xlfn.XLOOKUP(A354,'Subbu- Mini Project EXcel Clean'!A354:A1353,'Subbu- Mini Project EXcel Clean'!H354:H1353," ",0)</f>
        <v>Pass</v>
      </c>
      <c r="H354" t="str">
        <f>VLOOKUP(A354,'Subbu- Mini Project EXcel Clean'!A353:R1353,18,)</f>
        <v>Bachelor</v>
      </c>
    </row>
    <row r="355" spans="1:8" x14ac:dyDescent="0.25">
      <c r="A355" t="s">
        <v>383</v>
      </c>
      <c r="B355">
        <f>VLOOKUP(A355,'Subbu- Mini Project EXcel Clean'!A354:R1354,2,FALSE)</f>
        <v>51.2</v>
      </c>
      <c r="C355">
        <f>VLOOKUP(A355,'Subbu- Mini Project EXcel Clean'!A354:R1354,3,FALSE)</f>
        <v>51.9</v>
      </c>
      <c r="D355">
        <f>_xlfn.XLOOKUP(A355,'Subbu- Mini Project EXcel Clean'!A355:A1354,'Subbu- Mini Project EXcel Clean'!D355:D1354,"Entry Level",0)</f>
        <v>56.4</v>
      </c>
      <c r="E355">
        <f>_xlfn.XLOOKUP(A355,'Subbu- Mini Project EXcel Clean'!A355:A1354,'Subbu- Mini Project EXcel Clean'!F355:F1354,"Entry Level",0)</f>
        <v>54.8</v>
      </c>
      <c r="F355">
        <f>_xlfn.XLOOKUP(A355,'Subbu- Mini Project EXcel Clean'!A355:A1354,'Subbu- Mini Project EXcel Clean'!G355:G1354," ",0)</f>
        <v>51.9</v>
      </c>
      <c r="G355" t="str">
        <f>_xlfn.XLOOKUP(A355,'Subbu- Mini Project EXcel Clean'!A355:A1354,'Subbu- Mini Project EXcel Clean'!H355:H1354," ",0)</f>
        <v>Pass</v>
      </c>
      <c r="H355" t="str">
        <f>VLOOKUP(A355,'Subbu- Mini Project EXcel Clean'!A354:R1354,18,)</f>
        <v>Master</v>
      </c>
    </row>
    <row r="356" spans="1:8" x14ac:dyDescent="0.25">
      <c r="A356" t="s">
        <v>384</v>
      </c>
      <c r="B356">
        <f>VLOOKUP(A356,'Subbu- Mini Project EXcel Clean'!A355:R1355,2,FALSE)</f>
        <v>42.7</v>
      </c>
      <c r="C356">
        <f>VLOOKUP(A356,'Subbu- Mini Project EXcel Clean'!A355:R1355,3,FALSE)</f>
        <v>42.1</v>
      </c>
      <c r="D356">
        <f>_xlfn.XLOOKUP(A356,'Subbu- Mini Project EXcel Clean'!A356:A1355,'Subbu- Mini Project EXcel Clean'!D356:D1355,"Entry Level",0)</f>
        <v>44.1</v>
      </c>
      <c r="E356">
        <f>_xlfn.XLOOKUP(A356,'Subbu- Mini Project EXcel Clean'!A356:A1355,'Subbu- Mini Project EXcel Clean'!F356:F1355,"Entry Level",0)</f>
        <v>51.8</v>
      </c>
      <c r="F356">
        <f>_xlfn.XLOOKUP(A356,'Subbu- Mini Project EXcel Clean'!A356:A1355,'Subbu- Mini Project EXcel Clean'!G356:G1355," ",0)</f>
        <v>47.85</v>
      </c>
      <c r="G356" t="str">
        <f>_xlfn.XLOOKUP(A356,'Subbu- Mini Project EXcel Clean'!A356:A1355,'Subbu- Mini Project EXcel Clean'!H356:H1355," ",0)</f>
        <v>Fail</v>
      </c>
      <c r="H356" t="str">
        <f>VLOOKUP(A356,'Subbu- Mini Project EXcel Clean'!A355:R1355,18,)</f>
        <v>Bachelor</v>
      </c>
    </row>
    <row r="357" spans="1:8" x14ac:dyDescent="0.25">
      <c r="A357" t="s">
        <v>385</v>
      </c>
      <c r="B357">
        <f>VLOOKUP(A357,'Subbu- Mini Project EXcel Clean'!A356:R1356,2,FALSE)</f>
        <v>80.2</v>
      </c>
      <c r="C357">
        <f>VLOOKUP(A357,'Subbu- Mini Project EXcel Clean'!A356:R1356,3,FALSE)</f>
        <v>72.5</v>
      </c>
      <c r="D357">
        <f>_xlfn.XLOOKUP(A357,'Subbu- Mini Project EXcel Clean'!A357:A1356,'Subbu- Mini Project EXcel Clean'!D357:D1356,"Entry Level",0)</f>
        <v>77.5</v>
      </c>
      <c r="E357">
        <f>_xlfn.XLOOKUP(A357,'Subbu- Mini Project EXcel Clean'!A357:A1356,'Subbu- Mini Project EXcel Clean'!F357:F1356,"Entry Level",0)</f>
        <v>86.2</v>
      </c>
      <c r="F357">
        <f>_xlfn.XLOOKUP(A357,'Subbu- Mini Project EXcel Clean'!A357:A1356,'Subbu- Mini Project EXcel Clean'!G357:G1356," ",0)</f>
        <v>80.75</v>
      </c>
      <c r="G357" t="str">
        <f>_xlfn.XLOOKUP(A357,'Subbu- Mini Project EXcel Clean'!A357:A1356,'Subbu- Mini Project EXcel Clean'!H357:H1356," ",0)</f>
        <v>Pass</v>
      </c>
      <c r="H357" t="str">
        <f>VLOOKUP(A357,'Subbu- Mini Project EXcel Clean'!A356:R1356,18,)</f>
        <v>Master</v>
      </c>
    </row>
    <row r="358" spans="1:8" x14ac:dyDescent="0.25">
      <c r="A358" t="s">
        <v>386</v>
      </c>
      <c r="B358">
        <f>VLOOKUP(A358,'Subbu- Mini Project EXcel Clean'!A357:R1357,2,FALSE)</f>
        <v>47.4</v>
      </c>
      <c r="C358">
        <f>VLOOKUP(A358,'Subbu- Mini Project EXcel Clean'!A357:R1357,3,FALSE)</f>
        <v>42</v>
      </c>
      <c r="D358">
        <f>_xlfn.XLOOKUP(A358,'Subbu- Mini Project EXcel Clean'!A358:A1357,'Subbu- Mini Project EXcel Clean'!D358:D1357,"Entry Level",0)</f>
        <v>46.2</v>
      </c>
      <c r="E358">
        <f>_xlfn.XLOOKUP(A358,'Subbu- Mini Project EXcel Clean'!A358:A1357,'Subbu- Mini Project EXcel Clean'!F358:F1357,"Entry Level",0)</f>
        <v>45.3</v>
      </c>
      <c r="F358">
        <f>_xlfn.XLOOKUP(A358,'Subbu- Mini Project EXcel Clean'!A358:A1357,'Subbu- Mini Project EXcel Clean'!G358:G1357," ",0)</f>
        <v>43.4</v>
      </c>
      <c r="G358" t="str">
        <f>_xlfn.XLOOKUP(A358,'Subbu- Mini Project EXcel Clean'!A358:A1357,'Subbu- Mini Project EXcel Clean'!H358:H1357," ",0)</f>
        <v>Fail</v>
      </c>
      <c r="H358" t="str">
        <f>VLOOKUP(A358,'Subbu- Mini Project EXcel Clean'!A357:R1357,18,)</f>
        <v>High School</v>
      </c>
    </row>
    <row r="359" spans="1:8" x14ac:dyDescent="0.25">
      <c r="A359" t="s">
        <v>387</v>
      </c>
      <c r="B359">
        <f>VLOOKUP(A359,'Subbu- Mini Project EXcel Clean'!A358:R1358,2,FALSE)</f>
        <v>66.099999999999994</v>
      </c>
      <c r="C359">
        <f>VLOOKUP(A359,'Subbu- Mini Project EXcel Clean'!A358:R1358,3,FALSE)</f>
        <v>80</v>
      </c>
      <c r="D359">
        <f>_xlfn.XLOOKUP(A359,'Subbu- Mini Project EXcel Clean'!A359:A1358,'Subbu- Mini Project EXcel Clean'!D359:D1358,"Entry Level",0)</f>
        <v>67.099999999999994</v>
      </c>
      <c r="E359">
        <f>_xlfn.XLOOKUP(A359,'Subbu- Mini Project EXcel Clean'!A359:A1358,'Subbu- Mini Project EXcel Clean'!F359:F1358,"Entry Level",0)</f>
        <v>81.8</v>
      </c>
      <c r="F359">
        <f>_xlfn.XLOOKUP(A359,'Subbu- Mini Project EXcel Clean'!A359:A1358,'Subbu- Mini Project EXcel Clean'!G359:G1358," ",0)</f>
        <v>77</v>
      </c>
      <c r="G359" t="str">
        <f>_xlfn.XLOOKUP(A359,'Subbu- Mini Project EXcel Clean'!A359:A1358,'Subbu- Mini Project EXcel Clean'!H359:H1358," ",0)</f>
        <v>Pass</v>
      </c>
      <c r="H359" t="str">
        <f>VLOOKUP(A359,'Subbu- Mini Project EXcel Clean'!A358:R1358,18,)</f>
        <v>Bachelor</v>
      </c>
    </row>
    <row r="360" spans="1:8" x14ac:dyDescent="0.25">
      <c r="A360" t="s">
        <v>388</v>
      </c>
      <c r="B360">
        <f>VLOOKUP(A360,'Subbu- Mini Project EXcel Clean'!A359:R1359,2,FALSE)</f>
        <v>94.7</v>
      </c>
      <c r="C360">
        <f>VLOOKUP(A360,'Subbu- Mini Project EXcel Clean'!A359:R1359,3,FALSE)</f>
        <v>85.5</v>
      </c>
      <c r="D360">
        <f>_xlfn.XLOOKUP(A360,'Subbu- Mini Project EXcel Clean'!A360:A1359,'Subbu- Mini Project EXcel Clean'!D360:D1359,"Entry Level",0)</f>
        <v>94.1</v>
      </c>
      <c r="E360">
        <f>_xlfn.XLOOKUP(A360,'Subbu- Mini Project EXcel Clean'!A360:A1359,'Subbu- Mini Project EXcel Clean'!F360:F1359,"Entry Level",0)</f>
        <v>85.3</v>
      </c>
      <c r="F360">
        <f>_xlfn.XLOOKUP(A360,'Subbu- Mini Project EXcel Clean'!A360:A1359,'Subbu- Mini Project EXcel Clean'!G360:G1359," ",0)</f>
        <v>88.5</v>
      </c>
      <c r="G360" t="str">
        <f>_xlfn.XLOOKUP(A360,'Subbu- Mini Project EXcel Clean'!A360:A1359,'Subbu- Mini Project EXcel Clean'!H360:H1359," ",0)</f>
        <v>Pass</v>
      </c>
      <c r="H360" t="str">
        <f>VLOOKUP(A360,'Subbu- Mini Project EXcel Clean'!A359:R1359,18,)</f>
        <v>Master</v>
      </c>
    </row>
    <row r="361" spans="1:8" x14ac:dyDescent="0.25">
      <c r="A361" t="s">
        <v>389</v>
      </c>
      <c r="B361">
        <f>VLOOKUP(A361,'Subbu- Mini Project EXcel Clean'!A360:R1360,2,FALSE)</f>
        <v>75.2</v>
      </c>
      <c r="C361">
        <f>VLOOKUP(A361,'Subbu- Mini Project EXcel Clean'!A360:R1360,3,FALSE)</f>
        <v>64.3</v>
      </c>
      <c r="D361">
        <f>_xlfn.XLOOKUP(A361,'Subbu- Mini Project EXcel Clean'!A361:A1360,'Subbu- Mini Project EXcel Clean'!D361:D1360,"Entry Level",0)</f>
        <v>70.3</v>
      </c>
      <c r="E361">
        <f>_xlfn.XLOOKUP(A361,'Subbu- Mini Project EXcel Clean'!A361:A1360,'Subbu- Mini Project EXcel Clean'!F361:F1360,"Entry Level",0)</f>
        <v>73.3</v>
      </c>
      <c r="F361">
        <f>_xlfn.XLOOKUP(A361,'Subbu- Mini Project EXcel Clean'!A361:A1360,'Subbu- Mini Project EXcel Clean'!G361:G1360," ",0)</f>
        <v>72.5</v>
      </c>
      <c r="G361" t="str">
        <f>_xlfn.XLOOKUP(A361,'Subbu- Mini Project EXcel Clean'!A361:A1360,'Subbu- Mini Project EXcel Clean'!H361:H1360," ",0)</f>
        <v>Pass</v>
      </c>
      <c r="H361" t="str">
        <f>VLOOKUP(A361,'Subbu- Mini Project EXcel Clean'!A360:R1360,18,)</f>
        <v>Bachelor</v>
      </c>
    </row>
    <row r="362" spans="1:8" x14ac:dyDescent="0.25">
      <c r="A362" t="s">
        <v>390</v>
      </c>
      <c r="B362">
        <f>VLOOKUP(A362,'Subbu- Mini Project EXcel Clean'!A361:R1361,2,FALSE)</f>
        <v>59.9</v>
      </c>
      <c r="C362">
        <f>VLOOKUP(A362,'Subbu- Mini Project EXcel Clean'!A361:R1361,3,FALSE)</f>
        <v>62.2</v>
      </c>
      <c r="D362">
        <f>_xlfn.XLOOKUP(A362,'Subbu- Mini Project EXcel Clean'!A362:A1361,'Subbu- Mini Project EXcel Clean'!D362:D1361,"Entry Level",0)</f>
        <v>65.599999999999994</v>
      </c>
      <c r="E362">
        <f>_xlfn.XLOOKUP(A362,'Subbu- Mini Project EXcel Clean'!A362:A1361,'Subbu- Mini Project EXcel Clean'!F362:F1361,"Entry Level",0)</f>
        <v>64.599999999999994</v>
      </c>
      <c r="F362">
        <f>_xlfn.XLOOKUP(A362,'Subbu- Mini Project EXcel Clean'!A362:A1361,'Subbu- Mini Project EXcel Clean'!G362:G1361," ",0)</f>
        <v>62.95</v>
      </c>
      <c r="G362" t="str">
        <f>_xlfn.XLOOKUP(A362,'Subbu- Mini Project EXcel Clean'!A362:A1361,'Subbu- Mini Project EXcel Clean'!H362:H1361," ",0)</f>
        <v>Pass</v>
      </c>
      <c r="H362" t="str">
        <f>VLOOKUP(A362,'Subbu- Mini Project EXcel Clean'!A361:R1361,18,)</f>
        <v>Master</v>
      </c>
    </row>
    <row r="363" spans="1:8" x14ac:dyDescent="0.25">
      <c r="A363" t="s">
        <v>391</v>
      </c>
      <c r="B363">
        <f>VLOOKUP(A363,'Subbu- Mini Project EXcel Clean'!A362:R1362,2,FALSE)</f>
        <v>82.3</v>
      </c>
      <c r="C363">
        <f>VLOOKUP(A363,'Subbu- Mini Project EXcel Clean'!A362:R1362,3,FALSE)</f>
        <v>75.599999999999994</v>
      </c>
      <c r="D363">
        <f>_xlfn.XLOOKUP(A363,'Subbu- Mini Project EXcel Clean'!A363:A1362,'Subbu- Mini Project EXcel Clean'!D363:D1362,"Entry Level",0)</f>
        <v>64.7</v>
      </c>
      <c r="E363">
        <f>_xlfn.XLOOKUP(A363,'Subbu- Mini Project EXcel Clean'!A363:A1362,'Subbu- Mini Project EXcel Clean'!F363:F1362,"Entry Level",0)</f>
        <v>78.400000000000006</v>
      </c>
      <c r="F363">
        <f>_xlfn.XLOOKUP(A363,'Subbu- Mini Project EXcel Clean'!A363:A1362,'Subbu- Mini Project EXcel Clean'!G363:G1362," ",0)</f>
        <v>76.900000000000006</v>
      </c>
      <c r="G363" t="str">
        <f>_xlfn.XLOOKUP(A363,'Subbu- Mini Project EXcel Clean'!A363:A1362,'Subbu- Mini Project EXcel Clean'!H363:H1362," ",0)</f>
        <v>Pass</v>
      </c>
      <c r="H363" t="str">
        <f>VLOOKUP(A363,'Subbu- Mini Project EXcel Clean'!A362:R1362,18,)</f>
        <v>Master</v>
      </c>
    </row>
    <row r="364" spans="1:8" x14ac:dyDescent="0.25">
      <c r="A364" t="s">
        <v>392</v>
      </c>
      <c r="B364">
        <f>VLOOKUP(A364,'Subbu- Mini Project EXcel Clean'!A363:R1363,2,FALSE)</f>
        <v>64.5</v>
      </c>
      <c r="C364">
        <f>VLOOKUP(A364,'Subbu- Mini Project EXcel Clean'!A363:R1363,3,FALSE)</f>
        <v>66.099999999999994</v>
      </c>
      <c r="D364">
        <f>_xlfn.XLOOKUP(A364,'Subbu- Mini Project EXcel Clean'!A364:A1363,'Subbu- Mini Project EXcel Clean'!D364:D1363,"Entry Level",0)</f>
        <v>64.7</v>
      </c>
      <c r="E364">
        <f>_xlfn.XLOOKUP(A364,'Subbu- Mini Project EXcel Clean'!A364:A1363,'Subbu- Mini Project EXcel Clean'!F364:F1363,"Entry Level",0)</f>
        <v>77.3</v>
      </c>
      <c r="F364">
        <f>_xlfn.XLOOKUP(A364,'Subbu- Mini Project EXcel Clean'!A364:A1363,'Subbu- Mini Project EXcel Clean'!G364:G1363," ",0)</f>
        <v>71.25</v>
      </c>
      <c r="G364" t="str">
        <f>_xlfn.XLOOKUP(A364,'Subbu- Mini Project EXcel Clean'!A364:A1363,'Subbu- Mini Project EXcel Clean'!H364:H1363," ",0)</f>
        <v>Pass</v>
      </c>
      <c r="H364" t="str">
        <f>VLOOKUP(A364,'Subbu- Mini Project EXcel Clean'!A363:R1363,18,)</f>
        <v>Bachelor</v>
      </c>
    </row>
    <row r="365" spans="1:8" x14ac:dyDescent="0.25">
      <c r="A365" t="s">
        <v>393</v>
      </c>
      <c r="B365">
        <f>VLOOKUP(A365,'Subbu- Mini Project EXcel Clean'!A364:R1364,2,FALSE)</f>
        <v>70.599999999999994</v>
      </c>
      <c r="C365">
        <f>VLOOKUP(A365,'Subbu- Mini Project EXcel Clean'!A364:R1364,3,FALSE)</f>
        <v>71.2</v>
      </c>
      <c r="D365">
        <f>_xlfn.XLOOKUP(A365,'Subbu- Mini Project EXcel Clean'!A365:A1364,'Subbu- Mini Project EXcel Clean'!D365:D1364,"Entry Level",0)</f>
        <v>67</v>
      </c>
      <c r="E365">
        <f>_xlfn.XLOOKUP(A365,'Subbu- Mini Project EXcel Clean'!A365:A1364,'Subbu- Mini Project EXcel Clean'!F365:F1364,"Entry Level",0)</f>
        <v>80.3</v>
      </c>
      <c r="F365">
        <f>_xlfn.XLOOKUP(A365,'Subbu- Mini Project EXcel Clean'!A365:A1364,'Subbu- Mini Project EXcel Clean'!G365:G1364," ",0)</f>
        <v>75.150000000000006</v>
      </c>
      <c r="G365" t="str">
        <f>_xlfn.XLOOKUP(A365,'Subbu- Mini Project EXcel Clean'!A365:A1364,'Subbu- Mini Project EXcel Clean'!H365:H1364," ",0)</f>
        <v>Pass</v>
      </c>
      <c r="H365" t="str">
        <f>VLOOKUP(A365,'Subbu- Mini Project EXcel Clean'!A364:R1364,18,)</f>
        <v>High School</v>
      </c>
    </row>
    <row r="366" spans="1:8" x14ac:dyDescent="0.25">
      <c r="A366" t="s">
        <v>394</v>
      </c>
      <c r="B366">
        <f>VLOOKUP(A366,'Subbu- Mini Project EXcel Clean'!A365:R1365,2,FALSE)</f>
        <v>90.9</v>
      </c>
      <c r="C366">
        <f>VLOOKUP(A366,'Subbu- Mini Project EXcel Clean'!A365:R1365,3,FALSE)</f>
        <v>90.7</v>
      </c>
      <c r="D366">
        <f>_xlfn.XLOOKUP(A366,'Subbu- Mini Project EXcel Clean'!A366:A1365,'Subbu- Mini Project EXcel Clean'!D366:D1365,"Entry Level",0)</f>
        <v>93.9</v>
      </c>
      <c r="E366">
        <f>_xlfn.XLOOKUP(A366,'Subbu- Mini Project EXcel Clean'!A366:A1365,'Subbu- Mini Project EXcel Clean'!F366:F1365,"Entry Level",0)</f>
        <v>94.7</v>
      </c>
      <c r="F366">
        <f>_xlfn.XLOOKUP(A366,'Subbu- Mini Project EXcel Clean'!A366:A1365,'Subbu- Mini Project EXcel Clean'!G366:G1365," ",0)</f>
        <v>93.25</v>
      </c>
      <c r="G366" t="str">
        <f>_xlfn.XLOOKUP(A366,'Subbu- Mini Project EXcel Clean'!A366:A1365,'Subbu- Mini Project EXcel Clean'!H366:H1365," ",0)</f>
        <v>Pass</v>
      </c>
      <c r="H366" t="str">
        <f>VLOOKUP(A366,'Subbu- Mini Project EXcel Clean'!A365:R1365,18,)</f>
        <v>Master</v>
      </c>
    </row>
    <row r="367" spans="1:8" x14ac:dyDescent="0.25">
      <c r="A367" t="s">
        <v>395</v>
      </c>
      <c r="B367">
        <f>VLOOKUP(A367,'Subbu- Mini Project EXcel Clean'!A366:R1366,2,FALSE)</f>
        <v>61.3</v>
      </c>
      <c r="C367">
        <f>VLOOKUP(A367,'Subbu- Mini Project EXcel Clean'!A366:R1366,3,FALSE)</f>
        <v>68.7</v>
      </c>
      <c r="D367">
        <f>_xlfn.XLOOKUP(A367,'Subbu- Mini Project EXcel Clean'!A367:A1366,'Subbu- Mini Project EXcel Clean'!D367:D1366,"Entry Level",0)</f>
        <v>63.6</v>
      </c>
      <c r="E367">
        <f>_xlfn.XLOOKUP(A367,'Subbu- Mini Project EXcel Clean'!A367:A1366,'Subbu- Mini Project EXcel Clean'!F367:F1366,"Entry Level",0)</f>
        <v>62.8</v>
      </c>
      <c r="F367">
        <f>_xlfn.XLOOKUP(A367,'Subbu- Mini Project EXcel Clean'!A367:A1366,'Subbu- Mini Project EXcel Clean'!G367:G1366," ",0)</f>
        <v>62</v>
      </c>
      <c r="G367" t="str">
        <f>_xlfn.XLOOKUP(A367,'Subbu- Mini Project EXcel Clean'!A367:A1366,'Subbu- Mini Project EXcel Clean'!H367:H1366," ",0)</f>
        <v>Pass</v>
      </c>
      <c r="H367" t="str">
        <f>VLOOKUP(A367,'Subbu- Mini Project EXcel Clean'!A366:R1366,18,)</f>
        <v>High School</v>
      </c>
    </row>
    <row r="368" spans="1:8" x14ac:dyDescent="0.25">
      <c r="A368" t="s">
        <v>396</v>
      </c>
      <c r="B368">
        <f>VLOOKUP(A368,'Subbu- Mini Project EXcel Clean'!A367:R1367,2,FALSE)</f>
        <v>87.4</v>
      </c>
      <c r="C368">
        <f>VLOOKUP(A368,'Subbu- Mini Project EXcel Clean'!A367:R1367,3,FALSE)</f>
        <v>84.9</v>
      </c>
      <c r="D368">
        <f>_xlfn.XLOOKUP(A368,'Subbu- Mini Project EXcel Clean'!A368:A1367,'Subbu- Mini Project EXcel Clean'!D368:D1367,"Entry Level",0)</f>
        <v>89.3</v>
      </c>
      <c r="E368">
        <f>_xlfn.XLOOKUP(A368,'Subbu- Mini Project EXcel Clean'!A368:A1367,'Subbu- Mini Project EXcel Clean'!F368:F1367,"Entry Level",0)</f>
        <v>78</v>
      </c>
      <c r="F368">
        <f>_xlfn.XLOOKUP(A368,'Subbu- Mini Project EXcel Clean'!A368:A1367,'Subbu- Mini Project EXcel Clean'!G368:G1367," ",0)</f>
        <v>85.45</v>
      </c>
      <c r="G368" t="str">
        <f>_xlfn.XLOOKUP(A368,'Subbu- Mini Project EXcel Clean'!A368:A1367,'Subbu- Mini Project EXcel Clean'!H368:H1367," ",0)</f>
        <v>Pass</v>
      </c>
      <c r="H368" t="str">
        <f>VLOOKUP(A368,'Subbu- Mini Project EXcel Clean'!A367:R1367,18,)</f>
        <v>Bachelor</v>
      </c>
    </row>
    <row r="369" spans="1:8" x14ac:dyDescent="0.25">
      <c r="A369" t="s">
        <v>397</v>
      </c>
      <c r="B369">
        <f>VLOOKUP(A369,'Subbu- Mini Project EXcel Clean'!A368:R1368,2,FALSE)</f>
        <v>82.6</v>
      </c>
      <c r="C369">
        <f>VLOOKUP(A369,'Subbu- Mini Project EXcel Clean'!A368:R1368,3,FALSE)</f>
        <v>85.7</v>
      </c>
      <c r="D369">
        <f>_xlfn.XLOOKUP(A369,'Subbu- Mini Project EXcel Clean'!A369:A1368,'Subbu- Mini Project EXcel Clean'!D369:D1368,"Entry Level",0)</f>
        <v>86.2</v>
      </c>
      <c r="E369">
        <f>_xlfn.XLOOKUP(A369,'Subbu- Mini Project EXcel Clean'!A369:A1368,'Subbu- Mini Project EXcel Clean'!F369:F1368,"Entry Level",0)</f>
        <v>78.5</v>
      </c>
      <c r="F369">
        <f>_xlfn.XLOOKUP(A369,'Subbu- Mini Project EXcel Clean'!A369:A1368,'Subbu- Mini Project EXcel Clean'!G369:G1368," ",0)</f>
        <v>84.15</v>
      </c>
      <c r="G369" t="str">
        <f>_xlfn.XLOOKUP(A369,'Subbu- Mini Project EXcel Clean'!A369:A1368,'Subbu- Mini Project EXcel Clean'!H369:H1368," ",0)</f>
        <v>Pass</v>
      </c>
      <c r="H369" t="str">
        <f>VLOOKUP(A369,'Subbu- Mini Project EXcel Clean'!A368:R1368,18,)</f>
        <v>Bachelor</v>
      </c>
    </row>
    <row r="370" spans="1:8" x14ac:dyDescent="0.25">
      <c r="A370" t="s">
        <v>398</v>
      </c>
      <c r="B370">
        <f>VLOOKUP(A370,'Subbu- Mini Project EXcel Clean'!A369:R1369,2,FALSE)</f>
        <v>58.7</v>
      </c>
      <c r="C370">
        <f>VLOOKUP(A370,'Subbu- Mini Project EXcel Clean'!A369:R1369,3,FALSE)</f>
        <v>50.3</v>
      </c>
      <c r="D370">
        <f>_xlfn.XLOOKUP(A370,'Subbu- Mini Project EXcel Clean'!A370:A1369,'Subbu- Mini Project EXcel Clean'!D370:D1369,"Entry Level",0)</f>
        <v>50.2</v>
      </c>
      <c r="E370">
        <f>_xlfn.XLOOKUP(A370,'Subbu- Mini Project EXcel Clean'!A370:A1369,'Subbu- Mini Project EXcel Clean'!F370:F1369,"Entry Level",0)</f>
        <v>60.9</v>
      </c>
      <c r="F370">
        <f>_xlfn.XLOOKUP(A370,'Subbu- Mini Project EXcel Clean'!A370:A1369,'Subbu- Mini Project EXcel Clean'!G370:G1369," ",0)</f>
        <v>55.85</v>
      </c>
      <c r="G370" t="str">
        <f>_xlfn.XLOOKUP(A370,'Subbu- Mini Project EXcel Clean'!A370:A1369,'Subbu- Mini Project EXcel Clean'!H370:H1369," ",0)</f>
        <v>Pass</v>
      </c>
      <c r="H370" t="str">
        <f>VLOOKUP(A370,'Subbu- Mini Project EXcel Clean'!A369:R1369,18,)</f>
        <v>High School</v>
      </c>
    </row>
    <row r="371" spans="1:8" x14ac:dyDescent="0.25">
      <c r="A371" t="s">
        <v>399</v>
      </c>
      <c r="B371">
        <f>VLOOKUP(A371,'Subbu- Mini Project EXcel Clean'!A370:R1370,2,FALSE)</f>
        <v>39.6</v>
      </c>
      <c r="C371">
        <f>VLOOKUP(A371,'Subbu- Mini Project EXcel Clean'!A370:R1370,3,FALSE)</f>
        <v>35.6</v>
      </c>
      <c r="D371">
        <f>_xlfn.XLOOKUP(A371,'Subbu- Mini Project EXcel Clean'!A371:A1370,'Subbu- Mini Project EXcel Clean'!D371:D1370,"Entry Level",0)</f>
        <v>39.299999999999997</v>
      </c>
      <c r="E371">
        <f>_xlfn.XLOOKUP(A371,'Subbu- Mini Project EXcel Clean'!A371:A1370,'Subbu- Mini Project EXcel Clean'!F371:F1370,"Entry Level",0)</f>
        <v>52.4</v>
      </c>
      <c r="F371">
        <f>_xlfn.XLOOKUP(A371,'Subbu- Mini Project EXcel Clean'!A371:A1370,'Subbu- Mini Project EXcel Clean'!G371:G1370," ",0)</f>
        <v>48.1</v>
      </c>
      <c r="G371" t="str">
        <f>_xlfn.XLOOKUP(A371,'Subbu- Mini Project EXcel Clean'!A371:A1370,'Subbu- Mini Project EXcel Clean'!H371:H1370," ",0)</f>
        <v>Fail</v>
      </c>
      <c r="H371" t="str">
        <f>VLOOKUP(A371,'Subbu- Mini Project EXcel Clean'!A370:R1370,18,)</f>
        <v>Bachelor</v>
      </c>
    </row>
    <row r="372" spans="1:8" x14ac:dyDescent="0.25">
      <c r="A372" t="s">
        <v>400</v>
      </c>
      <c r="B372">
        <f>VLOOKUP(A372,'Subbu- Mini Project EXcel Clean'!A371:R1371,2,FALSE)</f>
        <v>40.6</v>
      </c>
      <c r="C372">
        <f>VLOOKUP(A372,'Subbu- Mini Project EXcel Clean'!A371:R1371,3,FALSE)</f>
        <v>44.7</v>
      </c>
      <c r="D372">
        <f>_xlfn.XLOOKUP(A372,'Subbu- Mini Project EXcel Clean'!A372:A1371,'Subbu- Mini Project EXcel Clean'!D372:D1371,"Entry Level",0)</f>
        <v>49.8</v>
      </c>
      <c r="E372">
        <f>_xlfn.XLOOKUP(A372,'Subbu- Mini Project EXcel Clean'!A372:A1371,'Subbu- Mini Project EXcel Clean'!F372:F1371,"Entry Level",0)</f>
        <v>55.3</v>
      </c>
      <c r="F372">
        <f>_xlfn.XLOOKUP(A372,'Subbu- Mini Project EXcel Clean'!A372:A1371,'Subbu- Mini Project EXcel Clean'!G372:G1371," ",0)</f>
        <v>50.4</v>
      </c>
      <c r="G372" t="str">
        <f>_xlfn.XLOOKUP(A372,'Subbu- Mini Project EXcel Clean'!A372:A1371,'Subbu- Mini Project EXcel Clean'!H372:H1371," ",0)</f>
        <v>Pass</v>
      </c>
      <c r="H372" t="str">
        <f>VLOOKUP(A372,'Subbu- Mini Project EXcel Clean'!A371:R1371,18,)</f>
        <v>Master</v>
      </c>
    </row>
    <row r="373" spans="1:8" x14ac:dyDescent="0.25">
      <c r="A373" t="s">
        <v>401</v>
      </c>
      <c r="B373">
        <f>VLOOKUP(A373,'Subbu- Mini Project EXcel Clean'!A372:R1372,2,FALSE)</f>
        <v>30.2</v>
      </c>
      <c r="C373">
        <f>VLOOKUP(A373,'Subbu- Mini Project EXcel Clean'!A372:R1372,3,FALSE)</f>
        <v>49.3</v>
      </c>
      <c r="D373">
        <f>_xlfn.XLOOKUP(A373,'Subbu- Mini Project EXcel Clean'!A373:A1372,'Subbu- Mini Project EXcel Clean'!D373:D1372,"Entry Level",0)</f>
        <v>39.200000000000003</v>
      </c>
      <c r="E373">
        <f>_xlfn.XLOOKUP(A373,'Subbu- Mini Project EXcel Clean'!A373:A1372,'Subbu- Mini Project EXcel Clean'!F373:F1372,"Entry Level",0)</f>
        <v>43.6</v>
      </c>
      <c r="F373">
        <f>_xlfn.XLOOKUP(A373,'Subbu- Mini Project EXcel Clean'!A373:A1372,'Subbu- Mini Project EXcel Clean'!G373:G1372," ",0)</f>
        <v>42.3</v>
      </c>
      <c r="G373" t="str">
        <f>_xlfn.XLOOKUP(A373,'Subbu- Mini Project EXcel Clean'!A373:A1372,'Subbu- Mini Project EXcel Clean'!H373:H1372," ",0)</f>
        <v>Fail</v>
      </c>
      <c r="H373" t="str">
        <f>VLOOKUP(A373,'Subbu- Mini Project EXcel Clean'!A372:R1372,18,)</f>
        <v>High School</v>
      </c>
    </row>
    <row r="374" spans="1:8" x14ac:dyDescent="0.25">
      <c r="A374" t="s">
        <v>402</v>
      </c>
      <c r="B374">
        <f>VLOOKUP(A374,'Subbu- Mini Project EXcel Clean'!A373:R1373,2,FALSE)</f>
        <v>42</v>
      </c>
      <c r="C374">
        <f>VLOOKUP(A374,'Subbu- Mini Project EXcel Clean'!A373:R1373,3,FALSE)</f>
        <v>45.3</v>
      </c>
      <c r="D374">
        <f>_xlfn.XLOOKUP(A374,'Subbu- Mini Project EXcel Clean'!A374:A1373,'Subbu- Mini Project EXcel Clean'!D374:D1373,"Entry Level",0)</f>
        <v>30.7</v>
      </c>
      <c r="E374">
        <f>_xlfn.XLOOKUP(A374,'Subbu- Mini Project EXcel Clean'!A374:A1373,'Subbu- Mini Project EXcel Clean'!F374:F1373,"Entry Level",0)</f>
        <v>53</v>
      </c>
      <c r="F374">
        <f>_xlfn.XLOOKUP(A374,'Subbu- Mini Project EXcel Clean'!A374:A1373,'Subbu- Mini Project EXcel Clean'!G374:G1373," ",0)</f>
        <v>49.1</v>
      </c>
      <c r="G374" t="str">
        <f>_xlfn.XLOOKUP(A374,'Subbu- Mini Project EXcel Clean'!A374:A1373,'Subbu- Mini Project EXcel Clean'!H374:H1373," ",0)</f>
        <v>Fail</v>
      </c>
      <c r="H374" t="str">
        <f>VLOOKUP(A374,'Subbu- Mini Project EXcel Clean'!A373:R1373,18,)</f>
        <v>Bachelor</v>
      </c>
    </row>
    <row r="375" spans="1:8" x14ac:dyDescent="0.25">
      <c r="A375" t="s">
        <v>403</v>
      </c>
      <c r="B375">
        <f>VLOOKUP(A375,'Subbu- Mini Project EXcel Clean'!A374:R1374,2,FALSE)</f>
        <v>70.900000000000006</v>
      </c>
      <c r="C375">
        <f>VLOOKUP(A375,'Subbu- Mini Project EXcel Clean'!A374:R1374,3,FALSE)</f>
        <v>78.7</v>
      </c>
      <c r="D375">
        <f>_xlfn.XLOOKUP(A375,'Subbu- Mini Project EXcel Clean'!A375:A1374,'Subbu- Mini Project EXcel Clean'!D375:D1374,"Entry Level",0)</f>
        <v>75.7</v>
      </c>
      <c r="E375">
        <f>_xlfn.XLOOKUP(A375,'Subbu- Mini Project EXcel Clean'!A375:A1374,'Subbu- Mini Project EXcel Clean'!F375:F1374,"Entry Level",0)</f>
        <v>73.5</v>
      </c>
      <c r="F375">
        <f>_xlfn.XLOOKUP(A375,'Subbu- Mini Project EXcel Clean'!A375:A1374,'Subbu- Mini Project EXcel Clean'!G375:G1374," ",0)</f>
        <v>75.55</v>
      </c>
      <c r="G375" t="str">
        <f>_xlfn.XLOOKUP(A375,'Subbu- Mini Project EXcel Clean'!A375:A1374,'Subbu- Mini Project EXcel Clean'!H375:H1374," ",0)</f>
        <v>Pass</v>
      </c>
      <c r="H375" t="str">
        <f>VLOOKUP(A375,'Subbu- Mini Project EXcel Clean'!A374:R1374,18,)</f>
        <v>Bachelor</v>
      </c>
    </row>
    <row r="376" spans="1:8" x14ac:dyDescent="0.25">
      <c r="A376" t="s">
        <v>404</v>
      </c>
      <c r="B376">
        <f>VLOOKUP(A376,'Subbu- Mini Project EXcel Clean'!A375:R1375,2,FALSE)</f>
        <v>52.1</v>
      </c>
      <c r="C376">
        <f>VLOOKUP(A376,'Subbu- Mini Project EXcel Clean'!A375:R1375,3,FALSE)</f>
        <v>37.6</v>
      </c>
      <c r="D376">
        <f>_xlfn.XLOOKUP(A376,'Subbu- Mini Project EXcel Clean'!A376:A1375,'Subbu- Mini Project EXcel Clean'!D376:D1375,"Entry Level",0)</f>
        <v>38.700000000000003</v>
      </c>
      <c r="E376">
        <f>_xlfn.XLOOKUP(A376,'Subbu- Mini Project EXcel Clean'!A376:A1375,'Subbu- Mini Project EXcel Clean'!F376:F1375,"Entry Level",0)</f>
        <v>55.4</v>
      </c>
      <c r="F376">
        <f>_xlfn.XLOOKUP(A376,'Subbu- Mini Project EXcel Clean'!A376:A1375,'Subbu- Mini Project EXcel Clean'!G376:G1375," ",0)</f>
        <v>49.65</v>
      </c>
      <c r="G376" t="str">
        <f>_xlfn.XLOOKUP(A376,'Subbu- Mini Project EXcel Clean'!A376:A1375,'Subbu- Mini Project EXcel Clean'!H376:H1375," ",0)</f>
        <v>Fail</v>
      </c>
      <c r="H376" t="str">
        <f>VLOOKUP(A376,'Subbu- Mini Project EXcel Clean'!A375:R1375,18,)</f>
        <v>High School</v>
      </c>
    </row>
    <row r="377" spans="1:8" x14ac:dyDescent="0.25">
      <c r="A377" t="s">
        <v>405</v>
      </c>
      <c r="B377">
        <f>VLOOKUP(A377,'Subbu- Mini Project EXcel Clean'!A376:R1376,2,FALSE)</f>
        <v>62.6</v>
      </c>
      <c r="C377">
        <f>VLOOKUP(A377,'Subbu- Mini Project EXcel Clean'!A376:R1376,3,FALSE)</f>
        <v>54.5</v>
      </c>
      <c r="D377">
        <f>_xlfn.XLOOKUP(A377,'Subbu- Mini Project EXcel Clean'!A377:A1376,'Subbu- Mini Project EXcel Clean'!D377:D1376,"Entry Level",0)</f>
        <v>49.4</v>
      </c>
      <c r="E377">
        <f>_xlfn.XLOOKUP(A377,'Subbu- Mini Project EXcel Clean'!A377:A1376,'Subbu- Mini Project EXcel Clean'!F377:F1376,"Entry Level",0)</f>
        <v>84.9</v>
      </c>
      <c r="F377">
        <f>_xlfn.XLOOKUP(A377,'Subbu- Mini Project EXcel Clean'!A377:A1376,'Subbu- Mini Project EXcel Clean'!G377:G1376," ",0)</f>
        <v>71.2</v>
      </c>
      <c r="G377" t="str">
        <f>_xlfn.XLOOKUP(A377,'Subbu- Mini Project EXcel Clean'!A377:A1376,'Subbu- Mini Project EXcel Clean'!H377:H1376," ",0)</f>
        <v>Pass</v>
      </c>
      <c r="H377" t="str">
        <f>VLOOKUP(A377,'Subbu- Mini Project EXcel Clean'!A376:R1376,18,)</f>
        <v>Master</v>
      </c>
    </row>
    <row r="378" spans="1:8" x14ac:dyDescent="0.25">
      <c r="A378" t="s">
        <v>406</v>
      </c>
      <c r="B378">
        <f>VLOOKUP(A378,'Subbu- Mini Project EXcel Clean'!A377:R1377,2,FALSE)</f>
        <v>83</v>
      </c>
      <c r="C378">
        <f>VLOOKUP(A378,'Subbu- Mini Project EXcel Clean'!A377:R1377,3,FALSE)</f>
        <v>84.6</v>
      </c>
      <c r="D378">
        <f>_xlfn.XLOOKUP(A378,'Subbu- Mini Project EXcel Clean'!A378:A1377,'Subbu- Mini Project EXcel Clean'!D378:D1377,"Entry Level",0)</f>
        <v>80.3</v>
      </c>
      <c r="E378">
        <f>_xlfn.XLOOKUP(A378,'Subbu- Mini Project EXcel Clean'!A378:A1377,'Subbu- Mini Project EXcel Clean'!F378:F1377,"Entry Level",0)</f>
        <v>64.5</v>
      </c>
      <c r="F378">
        <f>_xlfn.XLOOKUP(A378,'Subbu- Mini Project EXcel Clean'!A378:A1377,'Subbu- Mini Project EXcel Clean'!G378:G1377," ",0)</f>
        <v>75.5</v>
      </c>
      <c r="G378" t="str">
        <f>_xlfn.XLOOKUP(A378,'Subbu- Mini Project EXcel Clean'!A378:A1377,'Subbu- Mini Project EXcel Clean'!H378:H1377," ",0)</f>
        <v>Pass</v>
      </c>
      <c r="H378" t="str">
        <f>VLOOKUP(A378,'Subbu- Mini Project EXcel Clean'!A377:R1377,18,)</f>
        <v>High School</v>
      </c>
    </row>
    <row r="379" spans="1:8" x14ac:dyDescent="0.25">
      <c r="A379" t="s">
        <v>407</v>
      </c>
      <c r="B379">
        <f>VLOOKUP(A379,'Subbu- Mini Project EXcel Clean'!A378:R1378,2,FALSE)</f>
        <v>52.5</v>
      </c>
      <c r="C379">
        <f>VLOOKUP(A379,'Subbu- Mini Project EXcel Clean'!A378:R1378,3,FALSE)</f>
        <v>39.700000000000003</v>
      </c>
      <c r="D379">
        <f>_xlfn.XLOOKUP(A379,'Subbu- Mini Project EXcel Clean'!A379:A1378,'Subbu- Mini Project EXcel Clean'!D379:D1378,"Entry Level",0)</f>
        <v>41.8</v>
      </c>
      <c r="E379">
        <f>_xlfn.XLOOKUP(A379,'Subbu- Mini Project EXcel Clean'!A379:A1378,'Subbu- Mini Project EXcel Clean'!F379:F1378,"Entry Level",0)</f>
        <v>41.8</v>
      </c>
      <c r="F379">
        <f>_xlfn.XLOOKUP(A379,'Subbu- Mini Project EXcel Clean'!A379:A1378,'Subbu- Mini Project EXcel Clean'!G379:G1378," ",0)</f>
        <v>41.55</v>
      </c>
      <c r="G379" t="str">
        <f>_xlfn.XLOOKUP(A379,'Subbu- Mini Project EXcel Clean'!A379:A1378,'Subbu- Mini Project EXcel Clean'!H379:H1378," ",0)</f>
        <v>Fail</v>
      </c>
      <c r="H379" t="str">
        <f>VLOOKUP(A379,'Subbu- Mini Project EXcel Clean'!A378:R1378,18,)</f>
        <v>Bachelor</v>
      </c>
    </row>
    <row r="380" spans="1:8" x14ac:dyDescent="0.25">
      <c r="A380" t="s">
        <v>408</v>
      </c>
      <c r="B380">
        <f>VLOOKUP(A380,'Subbu- Mini Project EXcel Clean'!A379:R1379,2,FALSE)</f>
        <v>89.7</v>
      </c>
      <c r="C380">
        <f>VLOOKUP(A380,'Subbu- Mini Project EXcel Clean'!A379:R1379,3,FALSE)</f>
        <v>91.2</v>
      </c>
      <c r="D380">
        <f>_xlfn.XLOOKUP(A380,'Subbu- Mini Project EXcel Clean'!A380:A1379,'Subbu- Mini Project EXcel Clean'!D380:D1379,"Entry Level",0)</f>
        <v>91.4</v>
      </c>
      <c r="E380">
        <f>_xlfn.XLOOKUP(A380,'Subbu- Mini Project EXcel Clean'!A380:A1379,'Subbu- Mini Project EXcel Clean'!F380:F1379,"Entry Level",0)</f>
        <v>87.1</v>
      </c>
      <c r="F380">
        <f>_xlfn.XLOOKUP(A380,'Subbu- Mini Project EXcel Clean'!A380:A1379,'Subbu- Mini Project EXcel Clean'!G380:G1379," ",0)</f>
        <v>85.95</v>
      </c>
      <c r="G380" t="str">
        <f>_xlfn.XLOOKUP(A380,'Subbu- Mini Project EXcel Clean'!A380:A1379,'Subbu- Mini Project EXcel Clean'!H380:H1379," ",0)</f>
        <v>Pass</v>
      </c>
      <c r="H380" t="str">
        <f>VLOOKUP(A380,'Subbu- Mini Project EXcel Clean'!A379:R1379,18,)</f>
        <v>Bachelor</v>
      </c>
    </row>
    <row r="381" spans="1:8" x14ac:dyDescent="0.25">
      <c r="A381" t="s">
        <v>409</v>
      </c>
      <c r="B381">
        <f>VLOOKUP(A381,'Subbu- Mini Project EXcel Clean'!A380:R1380,2,FALSE)</f>
        <v>53.9</v>
      </c>
      <c r="C381">
        <f>VLOOKUP(A381,'Subbu- Mini Project EXcel Clean'!A380:R1380,3,FALSE)</f>
        <v>58.3</v>
      </c>
      <c r="D381">
        <f>_xlfn.XLOOKUP(A381,'Subbu- Mini Project EXcel Clean'!A381:A1380,'Subbu- Mini Project EXcel Clean'!D381:D1380,"Entry Level",0)</f>
        <v>57.1</v>
      </c>
      <c r="E381">
        <f>_xlfn.XLOOKUP(A381,'Subbu- Mini Project EXcel Clean'!A381:A1380,'Subbu- Mini Project EXcel Clean'!F381:F1380,"Entry Level",0)</f>
        <v>55.4</v>
      </c>
      <c r="F381">
        <f>_xlfn.XLOOKUP(A381,'Subbu- Mini Project EXcel Clean'!A381:A1380,'Subbu- Mini Project EXcel Clean'!G381:G1380," ",0)</f>
        <v>55.45</v>
      </c>
      <c r="G381" t="str">
        <f>_xlfn.XLOOKUP(A381,'Subbu- Mini Project EXcel Clean'!A381:A1380,'Subbu- Mini Project EXcel Clean'!H381:H1380," ",0)</f>
        <v>Pass</v>
      </c>
      <c r="H381" t="str">
        <f>VLOOKUP(A381,'Subbu- Mini Project EXcel Clean'!A380:R1380,18,)</f>
        <v>High School</v>
      </c>
    </row>
    <row r="382" spans="1:8" x14ac:dyDescent="0.25">
      <c r="A382" t="s">
        <v>410</v>
      </c>
      <c r="B382">
        <f>VLOOKUP(A382,'Subbu- Mini Project EXcel Clean'!A381:R1381,2,FALSE)</f>
        <v>34</v>
      </c>
      <c r="C382">
        <f>VLOOKUP(A382,'Subbu- Mini Project EXcel Clean'!A381:R1381,3,FALSE)</f>
        <v>40.9</v>
      </c>
      <c r="D382">
        <f>_xlfn.XLOOKUP(A382,'Subbu- Mini Project EXcel Clean'!A382:A1381,'Subbu- Mini Project EXcel Clean'!D382:D1381,"Entry Level",0)</f>
        <v>43.5</v>
      </c>
      <c r="E382">
        <f>_xlfn.XLOOKUP(A382,'Subbu- Mini Project EXcel Clean'!A382:A1381,'Subbu- Mini Project EXcel Clean'!F382:F1381,"Entry Level",0)</f>
        <v>45.7</v>
      </c>
      <c r="F382">
        <f>_xlfn.XLOOKUP(A382,'Subbu- Mini Project EXcel Clean'!A382:A1381,'Subbu- Mini Project EXcel Clean'!G382:G1381," ",0)</f>
        <v>46.1</v>
      </c>
      <c r="G382" t="str">
        <f>_xlfn.XLOOKUP(A382,'Subbu- Mini Project EXcel Clean'!A382:A1381,'Subbu- Mini Project EXcel Clean'!H382:H1381," ",0)</f>
        <v>Fail</v>
      </c>
      <c r="H382" t="str">
        <f>VLOOKUP(A382,'Subbu- Mini Project EXcel Clean'!A381:R1381,18,)</f>
        <v>Master</v>
      </c>
    </row>
    <row r="383" spans="1:8" x14ac:dyDescent="0.25">
      <c r="A383" t="s">
        <v>411</v>
      </c>
      <c r="B383">
        <f>VLOOKUP(A383,'Subbu- Mini Project EXcel Clean'!A382:R1382,2,FALSE)</f>
        <v>89.8</v>
      </c>
      <c r="C383">
        <f>VLOOKUP(A383,'Subbu- Mini Project EXcel Clean'!A382:R1382,3,FALSE)</f>
        <v>79.599999999999994</v>
      </c>
      <c r="D383">
        <f>_xlfn.XLOOKUP(A383,'Subbu- Mini Project EXcel Clean'!A383:A1382,'Subbu- Mini Project EXcel Clean'!D383:D1382,"Entry Level",0)</f>
        <v>80.599999999999994</v>
      </c>
      <c r="E383">
        <f>_xlfn.XLOOKUP(A383,'Subbu- Mini Project EXcel Clean'!A383:A1382,'Subbu- Mini Project EXcel Clean'!F383:F1382,"Entry Level",0)</f>
        <v>68.099999999999994</v>
      </c>
      <c r="F383">
        <f>_xlfn.XLOOKUP(A383,'Subbu- Mini Project EXcel Clean'!A383:A1382,'Subbu- Mini Project EXcel Clean'!G383:G1382," ",0)</f>
        <v>73.2</v>
      </c>
      <c r="G383" t="str">
        <f>_xlfn.XLOOKUP(A383,'Subbu- Mini Project EXcel Clean'!A383:A1382,'Subbu- Mini Project EXcel Clean'!H383:H1382," ",0)</f>
        <v>Pass</v>
      </c>
      <c r="H383" t="str">
        <f>VLOOKUP(A383,'Subbu- Mini Project EXcel Clean'!A382:R1382,18,)</f>
        <v>Master</v>
      </c>
    </row>
    <row r="384" spans="1:8" x14ac:dyDescent="0.25">
      <c r="A384" t="s">
        <v>412</v>
      </c>
      <c r="B384">
        <f>VLOOKUP(A384,'Subbu- Mini Project EXcel Clean'!A383:R1383,2,FALSE)</f>
        <v>67.599999999999994</v>
      </c>
      <c r="C384">
        <f>VLOOKUP(A384,'Subbu- Mini Project EXcel Clean'!A383:R1383,3,FALSE)</f>
        <v>77.099999999999994</v>
      </c>
      <c r="D384">
        <f>_xlfn.XLOOKUP(A384,'Subbu- Mini Project EXcel Clean'!A384:A1383,'Subbu- Mini Project EXcel Clean'!D384:D1383,"Entry Level",0)</f>
        <v>72.3</v>
      </c>
      <c r="E384">
        <f>_xlfn.XLOOKUP(A384,'Subbu- Mini Project EXcel Clean'!A384:A1383,'Subbu- Mini Project EXcel Clean'!F384:F1383,"Entry Level",0)</f>
        <v>73.599999999999994</v>
      </c>
      <c r="F384">
        <f>_xlfn.XLOOKUP(A384,'Subbu- Mini Project EXcel Clean'!A384:A1383,'Subbu- Mini Project EXcel Clean'!G384:G1383," ",0)</f>
        <v>74.099999999999994</v>
      </c>
      <c r="G384" t="str">
        <f>_xlfn.XLOOKUP(A384,'Subbu- Mini Project EXcel Clean'!A384:A1383,'Subbu- Mini Project EXcel Clean'!H384:H1383," ",0)</f>
        <v>Pass</v>
      </c>
      <c r="H384" t="str">
        <f>VLOOKUP(A384,'Subbu- Mini Project EXcel Clean'!A383:R1383,18,)</f>
        <v>Master</v>
      </c>
    </row>
    <row r="385" spans="1:8" x14ac:dyDescent="0.25">
      <c r="A385" t="s">
        <v>413</v>
      </c>
      <c r="B385">
        <f>VLOOKUP(A385,'Subbu- Mini Project EXcel Clean'!A384:R1384,2,FALSE)</f>
        <v>80</v>
      </c>
      <c r="C385">
        <f>VLOOKUP(A385,'Subbu- Mini Project EXcel Clean'!A384:R1384,3,FALSE)</f>
        <v>94</v>
      </c>
      <c r="D385">
        <f>_xlfn.XLOOKUP(A385,'Subbu- Mini Project EXcel Clean'!A385:A1384,'Subbu- Mini Project EXcel Clean'!D385:D1384,"Entry Level",0)</f>
        <v>84.8</v>
      </c>
      <c r="E385">
        <f>_xlfn.XLOOKUP(A385,'Subbu- Mini Project EXcel Clean'!A385:A1384,'Subbu- Mini Project EXcel Clean'!F385:F1384,"Entry Level",0)</f>
        <v>70.7</v>
      </c>
      <c r="F385">
        <f>_xlfn.XLOOKUP(A385,'Subbu- Mini Project EXcel Clean'!A385:A1384,'Subbu- Mini Project EXcel Clean'!G385:G1384," ",0)</f>
        <v>79.5</v>
      </c>
      <c r="G385" t="str">
        <f>_xlfn.XLOOKUP(A385,'Subbu- Mini Project EXcel Clean'!A385:A1384,'Subbu- Mini Project EXcel Clean'!H385:H1384," ",0)</f>
        <v>Pass</v>
      </c>
      <c r="H385" t="str">
        <f>VLOOKUP(A385,'Subbu- Mini Project EXcel Clean'!A384:R1384,18,)</f>
        <v>High School</v>
      </c>
    </row>
    <row r="386" spans="1:8" x14ac:dyDescent="0.25">
      <c r="A386" t="s">
        <v>414</v>
      </c>
      <c r="B386">
        <f>VLOOKUP(A386,'Subbu- Mini Project EXcel Clean'!A385:R1385,2,FALSE)</f>
        <v>85.5</v>
      </c>
      <c r="C386">
        <f>VLOOKUP(A386,'Subbu- Mini Project EXcel Clean'!A385:R1385,3,FALSE)</f>
        <v>88.3</v>
      </c>
      <c r="D386">
        <f>_xlfn.XLOOKUP(A386,'Subbu- Mini Project EXcel Clean'!A386:A1385,'Subbu- Mini Project EXcel Clean'!D386:D1385,"Entry Level",0)</f>
        <v>74.7</v>
      </c>
      <c r="E386">
        <f>_xlfn.XLOOKUP(A386,'Subbu- Mini Project EXcel Clean'!A386:A1385,'Subbu- Mini Project EXcel Clean'!F386:F1385,"Entry Level",0)</f>
        <v>85.1</v>
      </c>
      <c r="F386">
        <f>_xlfn.XLOOKUP(A386,'Subbu- Mini Project EXcel Clean'!A386:A1385,'Subbu- Mini Project EXcel Clean'!G386:G1385," ",0)</f>
        <v>82.75</v>
      </c>
      <c r="G386" t="str">
        <f>_xlfn.XLOOKUP(A386,'Subbu- Mini Project EXcel Clean'!A386:A1385,'Subbu- Mini Project EXcel Clean'!H386:H1385," ",0)</f>
        <v>Pass</v>
      </c>
      <c r="H386" t="str">
        <f>VLOOKUP(A386,'Subbu- Mini Project EXcel Clean'!A385:R1385,18,)</f>
        <v>Master</v>
      </c>
    </row>
    <row r="387" spans="1:8" x14ac:dyDescent="0.25">
      <c r="A387" t="s">
        <v>415</v>
      </c>
      <c r="B387">
        <f>VLOOKUP(A387,'Subbu- Mini Project EXcel Clean'!A386:R1386,2,FALSE)</f>
        <v>96.4</v>
      </c>
      <c r="C387">
        <f>VLOOKUP(A387,'Subbu- Mini Project EXcel Clean'!A386:R1386,3,FALSE)</f>
        <v>79.099999999999994</v>
      </c>
      <c r="D387">
        <f>_xlfn.XLOOKUP(A387,'Subbu- Mini Project EXcel Clean'!A387:A1386,'Subbu- Mini Project EXcel Clean'!D387:D1386,"Entry Level",0)</f>
        <v>75.400000000000006</v>
      </c>
      <c r="E387">
        <f>_xlfn.XLOOKUP(A387,'Subbu- Mini Project EXcel Clean'!A387:A1386,'Subbu- Mini Project EXcel Clean'!F387:F1386,"Entry Level",0)</f>
        <v>89.3</v>
      </c>
      <c r="F387">
        <f>_xlfn.XLOOKUP(A387,'Subbu- Mini Project EXcel Clean'!A387:A1386,'Subbu- Mini Project EXcel Clean'!G387:G1386," ",0)</f>
        <v>86.75</v>
      </c>
      <c r="G387" t="str">
        <f>_xlfn.XLOOKUP(A387,'Subbu- Mini Project EXcel Clean'!A387:A1386,'Subbu- Mini Project EXcel Clean'!H387:H1386," ",0)</f>
        <v>Pass</v>
      </c>
      <c r="H387" t="str">
        <f>VLOOKUP(A387,'Subbu- Mini Project EXcel Clean'!A386:R1386,18,)</f>
        <v>Master</v>
      </c>
    </row>
    <row r="388" spans="1:8" x14ac:dyDescent="0.25">
      <c r="A388" t="s">
        <v>416</v>
      </c>
      <c r="B388">
        <f>VLOOKUP(A388,'Subbu- Mini Project EXcel Clean'!A387:R1387,2,FALSE)</f>
        <v>62.4</v>
      </c>
      <c r="C388">
        <f>VLOOKUP(A388,'Subbu- Mini Project EXcel Clean'!A387:R1387,3,FALSE)</f>
        <v>51.5</v>
      </c>
      <c r="D388">
        <f>_xlfn.XLOOKUP(A388,'Subbu- Mini Project EXcel Clean'!A388:A1387,'Subbu- Mini Project EXcel Clean'!D388:D1387,"Entry Level",0)</f>
        <v>53.6</v>
      </c>
      <c r="E388">
        <f>_xlfn.XLOOKUP(A388,'Subbu- Mini Project EXcel Clean'!A388:A1387,'Subbu- Mini Project EXcel Clean'!F388:F1387,"Entry Level",0)</f>
        <v>68</v>
      </c>
      <c r="F388">
        <f>_xlfn.XLOOKUP(A388,'Subbu- Mini Project EXcel Clean'!A388:A1387,'Subbu- Mini Project EXcel Clean'!G388:G1387," ",0)</f>
        <v>61.75</v>
      </c>
      <c r="G388" t="str">
        <f>_xlfn.XLOOKUP(A388,'Subbu- Mini Project EXcel Clean'!A388:A1387,'Subbu- Mini Project EXcel Clean'!H388:H1387," ",0)</f>
        <v>Pass</v>
      </c>
      <c r="H388" t="str">
        <f>VLOOKUP(A388,'Subbu- Mini Project EXcel Clean'!A387:R1387,18,)</f>
        <v>Master</v>
      </c>
    </row>
    <row r="389" spans="1:8" x14ac:dyDescent="0.25">
      <c r="A389" t="s">
        <v>417</v>
      </c>
      <c r="B389">
        <f>VLOOKUP(A389,'Subbu- Mini Project EXcel Clean'!A388:R1388,2,FALSE)</f>
        <v>52.6</v>
      </c>
      <c r="C389">
        <f>VLOOKUP(A389,'Subbu- Mini Project EXcel Clean'!A388:R1388,3,FALSE)</f>
        <v>43.5</v>
      </c>
      <c r="D389">
        <f>_xlfn.XLOOKUP(A389,'Subbu- Mini Project EXcel Clean'!A389:A1388,'Subbu- Mini Project EXcel Clean'!D389:D1388,"Entry Level",0)</f>
        <v>50.5</v>
      </c>
      <c r="E389">
        <f>_xlfn.XLOOKUP(A389,'Subbu- Mini Project EXcel Clean'!A389:A1388,'Subbu- Mini Project EXcel Clean'!F389:F1388,"Entry Level",0)</f>
        <v>55.5</v>
      </c>
      <c r="F389">
        <f>_xlfn.XLOOKUP(A389,'Subbu- Mini Project EXcel Clean'!A389:A1388,'Subbu- Mini Project EXcel Clean'!G389:G1388," ",0)</f>
        <v>52.65</v>
      </c>
      <c r="G389" t="str">
        <f>_xlfn.XLOOKUP(A389,'Subbu- Mini Project EXcel Clean'!A389:A1388,'Subbu- Mini Project EXcel Clean'!H389:H1388," ",0)</f>
        <v>Pass</v>
      </c>
      <c r="H389" t="str">
        <f>VLOOKUP(A389,'Subbu- Mini Project EXcel Clean'!A388:R1388,18,)</f>
        <v>Master</v>
      </c>
    </row>
    <row r="390" spans="1:8" x14ac:dyDescent="0.25">
      <c r="A390" t="s">
        <v>418</v>
      </c>
      <c r="B390">
        <f>VLOOKUP(A390,'Subbu- Mini Project EXcel Clean'!A389:R1389,2,FALSE)</f>
        <v>84.3</v>
      </c>
      <c r="C390">
        <f>VLOOKUP(A390,'Subbu- Mini Project EXcel Clean'!A389:R1389,3,FALSE)</f>
        <v>80.099999999999994</v>
      </c>
      <c r="D390">
        <f>_xlfn.XLOOKUP(A390,'Subbu- Mini Project EXcel Clean'!A390:A1389,'Subbu- Mini Project EXcel Clean'!D390:D1389,"Entry Level",0)</f>
        <v>80.8</v>
      </c>
      <c r="E390">
        <f>_xlfn.XLOOKUP(A390,'Subbu- Mini Project EXcel Clean'!A390:A1389,'Subbu- Mini Project EXcel Clean'!F390:F1389,"Entry Level",0)</f>
        <v>77.3</v>
      </c>
      <c r="F390">
        <f>_xlfn.XLOOKUP(A390,'Subbu- Mini Project EXcel Clean'!A390:A1389,'Subbu- Mini Project EXcel Clean'!G390:G1389," ",0)</f>
        <v>79.3</v>
      </c>
      <c r="G390" t="str">
        <f>_xlfn.XLOOKUP(A390,'Subbu- Mini Project EXcel Clean'!A390:A1389,'Subbu- Mini Project EXcel Clean'!H390:H1389," ",0)</f>
        <v>Pass</v>
      </c>
      <c r="H390" t="str">
        <f>VLOOKUP(A390,'Subbu- Mini Project EXcel Clean'!A389:R1389,18,)</f>
        <v>Bachelor</v>
      </c>
    </row>
    <row r="391" spans="1:8" x14ac:dyDescent="0.25">
      <c r="A391" t="s">
        <v>419</v>
      </c>
      <c r="B391">
        <f>VLOOKUP(A391,'Subbu- Mini Project EXcel Clean'!A390:R1390,2,FALSE)</f>
        <v>88.6</v>
      </c>
      <c r="C391">
        <f>VLOOKUP(A391,'Subbu- Mini Project EXcel Clean'!A390:R1390,3,FALSE)</f>
        <v>86.7</v>
      </c>
      <c r="D391">
        <f>_xlfn.XLOOKUP(A391,'Subbu- Mini Project EXcel Clean'!A391:A1390,'Subbu- Mini Project EXcel Clean'!D391:D1390,"Entry Level",0)</f>
        <v>82.3</v>
      </c>
      <c r="E391">
        <f>_xlfn.XLOOKUP(A391,'Subbu- Mini Project EXcel Clean'!A391:A1390,'Subbu- Mini Project EXcel Clean'!F391:F1390,"Entry Level",0)</f>
        <v>100</v>
      </c>
      <c r="F391">
        <f>_xlfn.XLOOKUP(A391,'Subbu- Mini Project EXcel Clean'!A391:A1390,'Subbu- Mini Project EXcel Clean'!G391:G1390," ",0)</f>
        <v>92.2</v>
      </c>
      <c r="G391" t="str">
        <f>_xlfn.XLOOKUP(A391,'Subbu- Mini Project EXcel Clean'!A391:A1390,'Subbu- Mini Project EXcel Clean'!H391:H1390," ",0)</f>
        <v>Pass</v>
      </c>
      <c r="H391" t="str">
        <f>VLOOKUP(A391,'Subbu- Mini Project EXcel Clean'!A390:R1390,18,)</f>
        <v>High School</v>
      </c>
    </row>
    <row r="392" spans="1:8" x14ac:dyDescent="0.25">
      <c r="A392" t="s">
        <v>420</v>
      </c>
      <c r="B392">
        <f>VLOOKUP(A392,'Subbu- Mini Project EXcel Clean'!A391:R1391,2,FALSE)</f>
        <v>98.3</v>
      </c>
      <c r="C392">
        <f>VLOOKUP(A392,'Subbu- Mini Project EXcel Clean'!A391:R1391,3,FALSE)</f>
        <v>99.4</v>
      </c>
      <c r="D392">
        <f>_xlfn.XLOOKUP(A392,'Subbu- Mini Project EXcel Clean'!A392:A1391,'Subbu- Mini Project EXcel Clean'!D392:D1391,"Entry Level",0)</f>
        <v>89.7</v>
      </c>
      <c r="E392">
        <f>_xlfn.XLOOKUP(A392,'Subbu- Mini Project EXcel Clean'!A392:A1391,'Subbu- Mini Project EXcel Clean'!F392:F1391,"Entry Level",0)</f>
        <v>91.2</v>
      </c>
      <c r="F392">
        <f>_xlfn.XLOOKUP(A392,'Subbu- Mini Project EXcel Clean'!A392:A1391,'Subbu- Mini Project EXcel Clean'!G392:G1391," ",0)</f>
        <v>92.85</v>
      </c>
      <c r="G392" t="str">
        <f>_xlfn.XLOOKUP(A392,'Subbu- Mini Project EXcel Clean'!A392:A1391,'Subbu- Mini Project EXcel Clean'!H392:H1391," ",0)</f>
        <v>Pass</v>
      </c>
      <c r="H392" t="str">
        <f>VLOOKUP(A392,'Subbu- Mini Project EXcel Clean'!A391:R1391,18,)</f>
        <v>High School</v>
      </c>
    </row>
    <row r="393" spans="1:8" x14ac:dyDescent="0.25">
      <c r="A393" t="s">
        <v>421</v>
      </c>
      <c r="B393">
        <f>VLOOKUP(A393,'Subbu- Mini Project EXcel Clean'!A392:R1392,2,FALSE)</f>
        <v>64.099999999999994</v>
      </c>
      <c r="C393">
        <f>VLOOKUP(A393,'Subbu- Mini Project EXcel Clean'!A392:R1392,3,FALSE)</f>
        <v>62.3</v>
      </c>
      <c r="D393">
        <f>_xlfn.XLOOKUP(A393,'Subbu- Mini Project EXcel Clean'!A393:A1392,'Subbu- Mini Project EXcel Clean'!D393:D1392,"Entry Level",0)</f>
        <v>65.7</v>
      </c>
      <c r="E393">
        <f>_xlfn.XLOOKUP(A393,'Subbu- Mini Project EXcel Clean'!A393:A1392,'Subbu- Mini Project EXcel Clean'!F393:F1392,"Entry Level",0)</f>
        <v>77.7</v>
      </c>
      <c r="F393">
        <f>_xlfn.XLOOKUP(A393,'Subbu- Mini Project EXcel Clean'!A393:A1392,'Subbu- Mini Project EXcel Clean'!G393:G1392," ",0)</f>
        <v>70.2</v>
      </c>
      <c r="G393" t="str">
        <f>_xlfn.XLOOKUP(A393,'Subbu- Mini Project EXcel Clean'!A393:A1392,'Subbu- Mini Project EXcel Clean'!H393:H1392," ",0)</f>
        <v>Pass</v>
      </c>
      <c r="H393" t="str">
        <f>VLOOKUP(A393,'Subbu- Mini Project EXcel Clean'!A392:R1392,18,)</f>
        <v>Master</v>
      </c>
    </row>
    <row r="394" spans="1:8" x14ac:dyDescent="0.25">
      <c r="A394" t="s">
        <v>422</v>
      </c>
      <c r="B394">
        <f>VLOOKUP(A394,'Subbu- Mini Project EXcel Clean'!A393:R1393,2,FALSE)</f>
        <v>61</v>
      </c>
      <c r="C394">
        <f>VLOOKUP(A394,'Subbu- Mini Project EXcel Clean'!A393:R1393,3,FALSE)</f>
        <v>58.9</v>
      </c>
      <c r="D394">
        <f>_xlfn.XLOOKUP(A394,'Subbu- Mini Project EXcel Clean'!A394:A1393,'Subbu- Mini Project EXcel Clean'!D394:D1393,"Entry Level",0)</f>
        <v>53.9</v>
      </c>
      <c r="E394">
        <f>_xlfn.XLOOKUP(A394,'Subbu- Mini Project EXcel Clean'!A394:A1393,'Subbu- Mini Project EXcel Clean'!F394:F1393,"Entry Level",0)</f>
        <v>55.2</v>
      </c>
      <c r="F394">
        <f>_xlfn.XLOOKUP(A394,'Subbu- Mini Project EXcel Clean'!A394:A1393,'Subbu- Mini Project EXcel Clean'!G394:G1393," ",0)</f>
        <v>57.85</v>
      </c>
      <c r="G394" t="str">
        <f>_xlfn.XLOOKUP(A394,'Subbu- Mini Project EXcel Clean'!A394:A1393,'Subbu- Mini Project EXcel Clean'!H394:H1393," ",0)</f>
        <v>Pass</v>
      </c>
      <c r="H394" t="str">
        <f>VLOOKUP(A394,'Subbu- Mini Project EXcel Clean'!A393:R1393,18,)</f>
        <v>High School</v>
      </c>
    </row>
    <row r="395" spans="1:8" x14ac:dyDescent="0.25">
      <c r="A395" t="s">
        <v>423</v>
      </c>
      <c r="B395">
        <f>VLOOKUP(A395,'Subbu- Mini Project EXcel Clean'!A394:R1394,2,FALSE)</f>
        <v>82.4</v>
      </c>
      <c r="C395">
        <f>VLOOKUP(A395,'Subbu- Mini Project EXcel Clean'!A394:R1394,3,FALSE)</f>
        <v>83.5</v>
      </c>
      <c r="D395">
        <f>_xlfn.XLOOKUP(A395,'Subbu- Mini Project EXcel Clean'!A395:A1394,'Subbu- Mini Project EXcel Clean'!D395:D1394,"Entry Level",0)</f>
        <v>86.6</v>
      </c>
      <c r="E395">
        <f>_xlfn.XLOOKUP(A395,'Subbu- Mini Project EXcel Clean'!A395:A1394,'Subbu- Mini Project EXcel Clean'!F395:F1394,"Entry Level",0)</f>
        <v>100</v>
      </c>
      <c r="F395">
        <f>_xlfn.XLOOKUP(A395,'Subbu- Mini Project EXcel Clean'!A395:A1394,'Subbu- Mini Project EXcel Clean'!G395:G1394," ",0)</f>
        <v>91.35</v>
      </c>
      <c r="G395" t="str">
        <f>_xlfn.XLOOKUP(A395,'Subbu- Mini Project EXcel Clean'!A395:A1394,'Subbu- Mini Project EXcel Clean'!H395:H1394," ",0)</f>
        <v>Pass</v>
      </c>
      <c r="H395" t="str">
        <f>VLOOKUP(A395,'Subbu- Mini Project EXcel Clean'!A394:R1394,18,)</f>
        <v>High School</v>
      </c>
    </row>
    <row r="396" spans="1:8" x14ac:dyDescent="0.25">
      <c r="A396" t="s">
        <v>424</v>
      </c>
      <c r="B396">
        <f>VLOOKUP(A396,'Subbu- Mini Project EXcel Clean'!A395:R1395,2,FALSE)</f>
        <v>55</v>
      </c>
      <c r="C396">
        <f>VLOOKUP(A396,'Subbu- Mini Project EXcel Clean'!A395:R1395,3,FALSE)</f>
        <v>54.6</v>
      </c>
      <c r="D396">
        <f>_xlfn.XLOOKUP(A396,'Subbu- Mini Project EXcel Clean'!A396:A1395,'Subbu- Mini Project EXcel Clean'!D396:D1395,"Entry Level",0)</f>
        <v>53.7</v>
      </c>
      <c r="E396">
        <f>_xlfn.XLOOKUP(A396,'Subbu- Mini Project EXcel Clean'!A396:A1395,'Subbu- Mini Project EXcel Clean'!F396:F1395,"Entry Level",0)</f>
        <v>68.599999999999994</v>
      </c>
      <c r="F396">
        <f>_xlfn.XLOOKUP(A396,'Subbu- Mini Project EXcel Clean'!A396:A1395,'Subbu- Mini Project EXcel Clean'!G396:G1395," ",0)</f>
        <v>63.65</v>
      </c>
      <c r="G396" t="str">
        <f>_xlfn.XLOOKUP(A396,'Subbu- Mini Project EXcel Clean'!A396:A1395,'Subbu- Mini Project EXcel Clean'!H396:H1395," ",0)</f>
        <v>Pass</v>
      </c>
      <c r="H396" t="str">
        <f>VLOOKUP(A396,'Subbu- Mini Project EXcel Clean'!A395:R1395,18,)</f>
        <v>Bachelor</v>
      </c>
    </row>
    <row r="397" spans="1:8" x14ac:dyDescent="0.25">
      <c r="A397" t="s">
        <v>425</v>
      </c>
      <c r="B397">
        <f>VLOOKUP(A397,'Subbu- Mini Project EXcel Clean'!A396:R1396,2,FALSE)</f>
        <v>89.8</v>
      </c>
      <c r="C397">
        <f>VLOOKUP(A397,'Subbu- Mini Project EXcel Clean'!A396:R1396,3,FALSE)</f>
        <v>101.6</v>
      </c>
      <c r="D397">
        <f>_xlfn.XLOOKUP(A397,'Subbu- Mini Project EXcel Clean'!A397:A1396,'Subbu- Mini Project EXcel Clean'!D397:D1396,"Entry Level",0)</f>
        <v>87.4</v>
      </c>
      <c r="E397">
        <f>_xlfn.XLOOKUP(A397,'Subbu- Mini Project EXcel Clean'!A397:A1396,'Subbu- Mini Project EXcel Clean'!F397:F1396,"Entry Level",0)</f>
        <v>100</v>
      </c>
      <c r="F397">
        <f>_xlfn.XLOOKUP(A397,'Subbu- Mini Project EXcel Clean'!A397:A1396,'Subbu- Mini Project EXcel Clean'!G397:G1396," ",0)</f>
        <v>95.6</v>
      </c>
      <c r="G397" t="str">
        <f>_xlfn.XLOOKUP(A397,'Subbu- Mini Project EXcel Clean'!A397:A1396,'Subbu- Mini Project EXcel Clean'!H397:H1396," ",0)</f>
        <v>Pass</v>
      </c>
      <c r="H397" t="str">
        <f>VLOOKUP(A397,'Subbu- Mini Project EXcel Clean'!A396:R1396,18,)</f>
        <v>High School</v>
      </c>
    </row>
    <row r="398" spans="1:8" x14ac:dyDescent="0.25">
      <c r="A398" t="s">
        <v>426</v>
      </c>
      <c r="B398">
        <f>VLOOKUP(A398,'Subbu- Mini Project EXcel Clean'!A397:R1397,2,FALSE)</f>
        <v>78.7</v>
      </c>
      <c r="C398">
        <f>VLOOKUP(A398,'Subbu- Mini Project EXcel Clean'!A397:R1397,3,FALSE)</f>
        <v>79.2</v>
      </c>
      <c r="D398">
        <f>_xlfn.XLOOKUP(A398,'Subbu- Mini Project EXcel Clean'!A398:A1397,'Subbu- Mini Project EXcel Clean'!D398:D1397,"Entry Level",0)</f>
        <v>79.900000000000006</v>
      </c>
      <c r="E398">
        <f>_xlfn.XLOOKUP(A398,'Subbu- Mini Project EXcel Clean'!A398:A1397,'Subbu- Mini Project EXcel Clean'!F398:F1397,"Entry Level",0)</f>
        <v>92.4</v>
      </c>
      <c r="F398">
        <f>_xlfn.XLOOKUP(A398,'Subbu- Mini Project EXcel Clean'!A398:A1397,'Subbu- Mini Project EXcel Clean'!G398:G1397," ",0)</f>
        <v>89.8</v>
      </c>
      <c r="G398" t="str">
        <f>_xlfn.XLOOKUP(A398,'Subbu- Mini Project EXcel Clean'!A398:A1397,'Subbu- Mini Project EXcel Clean'!H398:H1397," ",0)</f>
        <v>Pass</v>
      </c>
      <c r="H398" t="str">
        <f>VLOOKUP(A398,'Subbu- Mini Project EXcel Clean'!A397:R1397,18,)</f>
        <v>Bachelor</v>
      </c>
    </row>
    <row r="399" spans="1:8" x14ac:dyDescent="0.25">
      <c r="A399" t="s">
        <v>427</v>
      </c>
      <c r="B399">
        <f>VLOOKUP(A399,'Subbu- Mini Project EXcel Clean'!A398:R1398,2,FALSE)</f>
        <v>63.1</v>
      </c>
      <c r="C399">
        <f>VLOOKUP(A399,'Subbu- Mini Project EXcel Clean'!A398:R1398,3,FALSE)</f>
        <v>64.5</v>
      </c>
      <c r="D399">
        <f>_xlfn.XLOOKUP(A399,'Subbu- Mini Project EXcel Clean'!A399:A1398,'Subbu- Mini Project EXcel Clean'!D399:D1398,"Entry Level",0)</f>
        <v>61.1</v>
      </c>
      <c r="E399">
        <f>_xlfn.XLOOKUP(A399,'Subbu- Mini Project EXcel Clean'!A399:A1398,'Subbu- Mini Project EXcel Clean'!F399:F1398,"Entry Level",0)</f>
        <v>51.9</v>
      </c>
      <c r="F399">
        <f>_xlfn.XLOOKUP(A399,'Subbu- Mini Project EXcel Clean'!A399:A1398,'Subbu- Mini Project EXcel Clean'!G399:G1398," ",0)</f>
        <v>57.75</v>
      </c>
      <c r="G399" t="str">
        <f>_xlfn.XLOOKUP(A399,'Subbu- Mini Project EXcel Clean'!A399:A1398,'Subbu- Mini Project EXcel Clean'!H399:H1398," ",0)</f>
        <v>Pass</v>
      </c>
      <c r="H399" t="str">
        <f>VLOOKUP(A399,'Subbu- Mini Project EXcel Clean'!A398:R1398,18,)</f>
        <v>High School</v>
      </c>
    </row>
    <row r="400" spans="1:8" x14ac:dyDescent="0.25">
      <c r="A400" t="s">
        <v>428</v>
      </c>
      <c r="B400">
        <f>VLOOKUP(A400,'Subbu- Mini Project EXcel Clean'!A399:R1399,2,FALSE)</f>
        <v>76.400000000000006</v>
      </c>
      <c r="C400">
        <f>VLOOKUP(A400,'Subbu- Mini Project EXcel Clean'!A399:R1399,3,FALSE)</f>
        <v>91.4</v>
      </c>
      <c r="D400">
        <f>_xlfn.XLOOKUP(A400,'Subbu- Mini Project EXcel Clean'!A400:A1399,'Subbu- Mini Project EXcel Clean'!D400:D1399,"Entry Level",0)</f>
        <v>86.2</v>
      </c>
      <c r="E400">
        <f>_xlfn.XLOOKUP(A400,'Subbu- Mini Project EXcel Clean'!A400:A1399,'Subbu- Mini Project EXcel Clean'!F400:F1399,"Entry Level",0)</f>
        <v>89.3</v>
      </c>
      <c r="F400">
        <f>_xlfn.XLOOKUP(A400,'Subbu- Mini Project EXcel Clean'!A400:A1399,'Subbu- Mini Project EXcel Clean'!G400:G1399," ",0)</f>
        <v>85.3</v>
      </c>
      <c r="G400" t="str">
        <f>_xlfn.XLOOKUP(A400,'Subbu- Mini Project EXcel Clean'!A400:A1399,'Subbu- Mini Project EXcel Clean'!H400:H1399," ",0)</f>
        <v>Pass</v>
      </c>
      <c r="H400" t="str">
        <f>VLOOKUP(A400,'Subbu- Mini Project EXcel Clean'!A399:R1399,18,)</f>
        <v>Bachelor</v>
      </c>
    </row>
    <row r="401" spans="1:8" x14ac:dyDescent="0.25">
      <c r="A401" t="s">
        <v>429</v>
      </c>
      <c r="B401">
        <f>VLOOKUP(A401,'Subbu- Mini Project EXcel Clean'!A400:R1400,2,FALSE)</f>
        <v>76</v>
      </c>
      <c r="C401">
        <f>VLOOKUP(A401,'Subbu- Mini Project EXcel Clean'!A400:R1400,3,FALSE)</f>
        <v>81.5</v>
      </c>
      <c r="D401">
        <f>_xlfn.XLOOKUP(A401,'Subbu- Mini Project EXcel Clean'!A401:A1400,'Subbu- Mini Project EXcel Clean'!D401:D1400,"Entry Level",0)</f>
        <v>84.1</v>
      </c>
      <c r="E401">
        <f>_xlfn.XLOOKUP(A401,'Subbu- Mini Project EXcel Clean'!A401:A1400,'Subbu- Mini Project EXcel Clean'!F401:F1400,"Entry Level",0)</f>
        <v>80.5</v>
      </c>
      <c r="F401">
        <f>_xlfn.XLOOKUP(A401,'Subbu- Mini Project EXcel Clean'!A401:A1400,'Subbu- Mini Project EXcel Clean'!G401:G1400," ",0)</f>
        <v>81</v>
      </c>
      <c r="G401" t="str">
        <f>_xlfn.XLOOKUP(A401,'Subbu- Mini Project EXcel Clean'!A401:A1400,'Subbu- Mini Project EXcel Clean'!H401:H1400," ",0)</f>
        <v>Pass</v>
      </c>
      <c r="H401" t="str">
        <f>VLOOKUP(A401,'Subbu- Mini Project EXcel Clean'!A400:R1400,18,)</f>
        <v>Bachelor</v>
      </c>
    </row>
    <row r="402" spans="1:8" x14ac:dyDescent="0.25">
      <c r="A402" t="s">
        <v>430</v>
      </c>
      <c r="B402">
        <f>VLOOKUP(A402,'Subbu- Mini Project EXcel Clean'!A401:R1401,2,FALSE)</f>
        <v>46.6</v>
      </c>
      <c r="C402">
        <f>VLOOKUP(A402,'Subbu- Mini Project EXcel Clean'!A401:R1401,3,FALSE)</f>
        <v>44.7</v>
      </c>
      <c r="D402">
        <f>_xlfn.XLOOKUP(A402,'Subbu- Mini Project EXcel Clean'!A402:A1401,'Subbu- Mini Project EXcel Clean'!D402:D1401,"Entry Level",0)</f>
        <v>50.6</v>
      </c>
      <c r="E402">
        <f>_xlfn.XLOOKUP(A402,'Subbu- Mini Project EXcel Clean'!A402:A1401,'Subbu- Mini Project EXcel Clean'!F402:F1401,"Entry Level",0)</f>
        <v>45.7</v>
      </c>
      <c r="F402">
        <f>_xlfn.XLOOKUP(A402,'Subbu- Mini Project EXcel Clean'!A402:A1401,'Subbu- Mini Project EXcel Clean'!G402:G1401," ",0)</f>
        <v>45.7</v>
      </c>
      <c r="G402" t="str">
        <f>_xlfn.XLOOKUP(A402,'Subbu- Mini Project EXcel Clean'!A402:A1401,'Subbu- Mini Project EXcel Clean'!H402:H1401," ",0)</f>
        <v>Fail</v>
      </c>
      <c r="H402" t="str">
        <f>VLOOKUP(A402,'Subbu- Mini Project EXcel Clean'!A401:R1401,18,)</f>
        <v>High School</v>
      </c>
    </row>
    <row r="403" spans="1:8" x14ac:dyDescent="0.25">
      <c r="A403" t="s">
        <v>431</v>
      </c>
      <c r="B403">
        <f>VLOOKUP(A403,'Subbu- Mini Project EXcel Clean'!A402:R1402,2,FALSE)</f>
        <v>96.6</v>
      </c>
      <c r="C403">
        <f>VLOOKUP(A403,'Subbu- Mini Project EXcel Clean'!A402:R1402,3,FALSE)</f>
        <v>87.9</v>
      </c>
      <c r="D403">
        <f>_xlfn.XLOOKUP(A403,'Subbu- Mini Project EXcel Clean'!A403:A1402,'Subbu- Mini Project EXcel Clean'!D403:D1402,"Entry Level",0)</f>
        <v>92.3</v>
      </c>
      <c r="E403">
        <f>_xlfn.XLOOKUP(A403,'Subbu- Mini Project EXcel Clean'!A403:A1402,'Subbu- Mini Project EXcel Clean'!F403:F1402,"Entry Level",0)</f>
        <v>98.4</v>
      </c>
      <c r="F403">
        <f>_xlfn.XLOOKUP(A403,'Subbu- Mini Project EXcel Clean'!A403:A1402,'Subbu- Mini Project EXcel Clean'!G403:G1402," ",0)</f>
        <v>94</v>
      </c>
      <c r="G403" t="str">
        <f>_xlfn.XLOOKUP(A403,'Subbu- Mini Project EXcel Clean'!A403:A1402,'Subbu- Mini Project EXcel Clean'!H403:H1402," ",0)</f>
        <v>Pass</v>
      </c>
      <c r="H403" t="str">
        <f>VLOOKUP(A403,'Subbu- Mini Project EXcel Clean'!A402:R1402,18,)</f>
        <v>Bachelor</v>
      </c>
    </row>
    <row r="404" spans="1:8" x14ac:dyDescent="0.25">
      <c r="A404" t="s">
        <v>432</v>
      </c>
      <c r="B404">
        <f>VLOOKUP(A404,'Subbu- Mini Project EXcel Clean'!A403:R1403,2,FALSE)</f>
        <v>72.400000000000006</v>
      </c>
      <c r="C404">
        <f>VLOOKUP(A404,'Subbu- Mini Project EXcel Clean'!A403:R1403,3,FALSE)</f>
        <v>66.900000000000006</v>
      </c>
      <c r="D404">
        <f>_xlfn.XLOOKUP(A404,'Subbu- Mini Project EXcel Clean'!A404:A1403,'Subbu- Mini Project EXcel Clean'!D404:D1403,"Entry Level",0)</f>
        <v>62.3</v>
      </c>
      <c r="E404">
        <f>_xlfn.XLOOKUP(A404,'Subbu- Mini Project EXcel Clean'!A404:A1403,'Subbu- Mini Project EXcel Clean'!F404:F1403,"Entry Level",0)</f>
        <v>58.8</v>
      </c>
      <c r="F404">
        <f>_xlfn.XLOOKUP(A404,'Subbu- Mini Project EXcel Clean'!A404:A1403,'Subbu- Mini Project EXcel Clean'!G404:G1403," ",0)</f>
        <v>63.3</v>
      </c>
      <c r="G404" t="str">
        <f>_xlfn.XLOOKUP(A404,'Subbu- Mini Project EXcel Clean'!A404:A1403,'Subbu- Mini Project EXcel Clean'!H404:H1403," ",0)</f>
        <v>Pass</v>
      </c>
      <c r="H404" t="str">
        <f>VLOOKUP(A404,'Subbu- Mini Project EXcel Clean'!A403:R1403,18,)</f>
        <v>Bachelor</v>
      </c>
    </row>
    <row r="405" spans="1:8" x14ac:dyDescent="0.25">
      <c r="A405" t="s">
        <v>433</v>
      </c>
      <c r="B405">
        <f>VLOOKUP(A405,'Subbu- Mini Project EXcel Clean'!A404:R1404,2,FALSE)</f>
        <v>77.599999999999994</v>
      </c>
      <c r="C405">
        <f>VLOOKUP(A405,'Subbu- Mini Project EXcel Clean'!A404:R1404,3,FALSE)</f>
        <v>92.3</v>
      </c>
      <c r="D405">
        <f>_xlfn.XLOOKUP(A405,'Subbu- Mini Project EXcel Clean'!A405:A1404,'Subbu- Mini Project EXcel Clean'!D405:D1404,"Entry Level",0)</f>
        <v>83.8</v>
      </c>
      <c r="E405">
        <f>_xlfn.XLOOKUP(A405,'Subbu- Mini Project EXcel Clean'!A405:A1404,'Subbu- Mini Project EXcel Clean'!F405:F1404,"Entry Level",0)</f>
        <v>89.6</v>
      </c>
      <c r="F405">
        <f>_xlfn.XLOOKUP(A405,'Subbu- Mini Project EXcel Clean'!A405:A1404,'Subbu- Mini Project EXcel Clean'!G405:G1404," ",0)</f>
        <v>87.55</v>
      </c>
      <c r="G405" t="str">
        <f>_xlfn.XLOOKUP(A405,'Subbu- Mini Project EXcel Clean'!A405:A1404,'Subbu- Mini Project EXcel Clean'!H405:H1404," ",0)</f>
        <v>Pass</v>
      </c>
      <c r="H405" t="str">
        <f>VLOOKUP(A405,'Subbu- Mini Project EXcel Clean'!A404:R1404,18,)</f>
        <v>High School</v>
      </c>
    </row>
    <row r="406" spans="1:8" x14ac:dyDescent="0.25">
      <c r="A406" t="s">
        <v>434</v>
      </c>
      <c r="B406">
        <f>VLOOKUP(A406,'Subbu- Mini Project EXcel Clean'!A405:R1405,2,FALSE)</f>
        <v>52.7</v>
      </c>
      <c r="C406">
        <f>VLOOKUP(A406,'Subbu- Mini Project EXcel Clean'!A405:R1405,3,FALSE)</f>
        <v>46.5</v>
      </c>
      <c r="D406">
        <f>_xlfn.XLOOKUP(A406,'Subbu- Mini Project EXcel Clean'!A406:A1405,'Subbu- Mini Project EXcel Clean'!D406:D1405,"Entry Level",0)</f>
        <v>53.7</v>
      </c>
      <c r="E406">
        <f>_xlfn.XLOOKUP(A406,'Subbu- Mini Project EXcel Clean'!A406:A1405,'Subbu- Mini Project EXcel Clean'!F406:F1405,"Entry Level",0)</f>
        <v>56.2</v>
      </c>
      <c r="F406">
        <f>_xlfn.XLOOKUP(A406,'Subbu- Mini Project EXcel Clean'!A406:A1405,'Subbu- Mini Project EXcel Clean'!G406:G1405," ",0)</f>
        <v>56.9</v>
      </c>
      <c r="G406" t="str">
        <f>_xlfn.XLOOKUP(A406,'Subbu- Mini Project EXcel Clean'!A406:A1405,'Subbu- Mini Project EXcel Clean'!H406:H1405," ",0)</f>
        <v>Pass</v>
      </c>
      <c r="H406" t="str">
        <f>VLOOKUP(A406,'Subbu- Mini Project EXcel Clean'!A405:R1405,18,)</f>
        <v>Bachelor</v>
      </c>
    </row>
    <row r="407" spans="1:8" x14ac:dyDescent="0.25">
      <c r="A407" t="s">
        <v>435</v>
      </c>
      <c r="B407">
        <f>VLOOKUP(A407,'Subbu- Mini Project EXcel Clean'!A406:R1406,2,FALSE)</f>
        <v>94</v>
      </c>
      <c r="C407">
        <f>VLOOKUP(A407,'Subbu- Mini Project EXcel Clean'!A406:R1406,3,FALSE)</f>
        <v>96.9</v>
      </c>
      <c r="D407">
        <f>_xlfn.XLOOKUP(A407,'Subbu- Mini Project EXcel Clean'!A407:A1406,'Subbu- Mini Project EXcel Clean'!D407:D1406,"Entry Level",0)</f>
        <v>95.9</v>
      </c>
      <c r="E407">
        <f>_xlfn.XLOOKUP(A407,'Subbu- Mini Project EXcel Clean'!A407:A1406,'Subbu- Mini Project EXcel Clean'!F407:F1406,"Entry Level",0)</f>
        <v>90.9</v>
      </c>
      <c r="F407">
        <f>_xlfn.XLOOKUP(A407,'Subbu- Mini Project EXcel Clean'!A407:A1406,'Subbu- Mini Project EXcel Clean'!G407:G1406," ",0)</f>
        <v>90.1</v>
      </c>
      <c r="G407" t="str">
        <f>_xlfn.XLOOKUP(A407,'Subbu- Mini Project EXcel Clean'!A407:A1406,'Subbu- Mini Project EXcel Clean'!H407:H1406," ",0)</f>
        <v>Pass</v>
      </c>
      <c r="H407" t="str">
        <f>VLOOKUP(A407,'Subbu- Mini Project EXcel Clean'!A406:R1406,18,)</f>
        <v>Bachelor</v>
      </c>
    </row>
    <row r="408" spans="1:8" x14ac:dyDescent="0.25">
      <c r="A408" t="s">
        <v>436</v>
      </c>
      <c r="B408">
        <f>VLOOKUP(A408,'Subbu- Mini Project EXcel Clean'!A407:R1407,2,FALSE)</f>
        <v>56.5</v>
      </c>
      <c r="C408">
        <f>VLOOKUP(A408,'Subbu- Mini Project EXcel Clean'!A407:R1407,3,FALSE)</f>
        <v>54.3</v>
      </c>
      <c r="D408">
        <f>_xlfn.XLOOKUP(A408,'Subbu- Mini Project EXcel Clean'!A408:A1407,'Subbu- Mini Project EXcel Clean'!D408:D1407,"Entry Level",0)</f>
        <v>55.4</v>
      </c>
      <c r="E408">
        <f>_xlfn.XLOOKUP(A408,'Subbu- Mini Project EXcel Clean'!A408:A1407,'Subbu- Mini Project EXcel Clean'!F408:F1407,"Entry Level",0)</f>
        <v>64.400000000000006</v>
      </c>
      <c r="F408">
        <f>_xlfn.XLOOKUP(A408,'Subbu- Mini Project EXcel Clean'!A408:A1407,'Subbu- Mini Project EXcel Clean'!G408:G1407," ",0)</f>
        <v>62.9</v>
      </c>
      <c r="G408" t="str">
        <f>_xlfn.XLOOKUP(A408,'Subbu- Mini Project EXcel Clean'!A408:A1407,'Subbu- Mini Project EXcel Clean'!H408:H1407," ",0)</f>
        <v>Pass</v>
      </c>
      <c r="H408" t="str">
        <f>VLOOKUP(A408,'Subbu- Mini Project EXcel Clean'!A407:R1407,18,)</f>
        <v>Bachelor</v>
      </c>
    </row>
    <row r="409" spans="1:8" x14ac:dyDescent="0.25">
      <c r="A409" t="s">
        <v>437</v>
      </c>
      <c r="B409">
        <f>VLOOKUP(A409,'Subbu- Mini Project EXcel Clean'!A408:R1408,2,FALSE)</f>
        <v>39.5</v>
      </c>
      <c r="C409">
        <f>VLOOKUP(A409,'Subbu- Mini Project EXcel Clean'!A408:R1408,3,FALSE)</f>
        <v>39.299999999999997</v>
      </c>
      <c r="D409">
        <f>_xlfn.XLOOKUP(A409,'Subbu- Mini Project EXcel Clean'!A409:A1408,'Subbu- Mini Project EXcel Clean'!D409:D1408,"Entry Level",0)</f>
        <v>45.1</v>
      </c>
      <c r="E409">
        <f>_xlfn.XLOOKUP(A409,'Subbu- Mini Project EXcel Clean'!A409:A1408,'Subbu- Mini Project EXcel Clean'!F409:F1408,"Entry Level",0)</f>
        <v>55.3</v>
      </c>
      <c r="F409">
        <f>_xlfn.XLOOKUP(A409,'Subbu- Mini Project EXcel Clean'!A409:A1408,'Subbu- Mini Project EXcel Clean'!G409:G1408," ",0)</f>
        <v>47.95</v>
      </c>
      <c r="G409" t="str">
        <f>_xlfn.XLOOKUP(A409,'Subbu- Mini Project EXcel Clean'!A409:A1408,'Subbu- Mini Project EXcel Clean'!H409:H1408," ",0)</f>
        <v>Fail</v>
      </c>
      <c r="H409" t="str">
        <f>VLOOKUP(A409,'Subbu- Mini Project EXcel Clean'!A408:R1408,18,)</f>
        <v>Bachelor</v>
      </c>
    </row>
    <row r="410" spans="1:8" x14ac:dyDescent="0.25">
      <c r="A410" t="s">
        <v>438</v>
      </c>
      <c r="B410">
        <f>VLOOKUP(A410,'Subbu- Mini Project EXcel Clean'!A409:R1409,2,FALSE)</f>
        <v>92.5</v>
      </c>
      <c r="C410">
        <f>VLOOKUP(A410,'Subbu- Mini Project EXcel Clean'!A409:R1409,3,FALSE)</f>
        <v>87.6</v>
      </c>
      <c r="D410">
        <f>_xlfn.XLOOKUP(A410,'Subbu- Mini Project EXcel Clean'!A410:A1409,'Subbu- Mini Project EXcel Clean'!D410:D1409,"Entry Level",0)</f>
        <v>94.3</v>
      </c>
      <c r="E410">
        <f>_xlfn.XLOOKUP(A410,'Subbu- Mini Project EXcel Clean'!A410:A1409,'Subbu- Mini Project EXcel Clean'!F410:F1409,"Entry Level",0)</f>
        <v>96.1</v>
      </c>
      <c r="F410">
        <f>_xlfn.XLOOKUP(A410,'Subbu- Mini Project EXcel Clean'!A410:A1409,'Subbu- Mini Project EXcel Clean'!G410:G1409," ",0)</f>
        <v>92.95</v>
      </c>
      <c r="G410" t="str">
        <f>_xlfn.XLOOKUP(A410,'Subbu- Mini Project EXcel Clean'!A410:A1409,'Subbu- Mini Project EXcel Clean'!H410:H1409," ",0)</f>
        <v>Pass</v>
      </c>
      <c r="H410" t="str">
        <f>VLOOKUP(A410,'Subbu- Mini Project EXcel Clean'!A409:R1409,18,)</f>
        <v>Bachelor</v>
      </c>
    </row>
    <row r="411" spans="1:8" x14ac:dyDescent="0.25">
      <c r="A411" t="s">
        <v>439</v>
      </c>
      <c r="B411">
        <f>VLOOKUP(A411,'Subbu- Mini Project EXcel Clean'!A410:R1410,2,FALSE)</f>
        <v>40.200000000000003</v>
      </c>
      <c r="C411">
        <f>VLOOKUP(A411,'Subbu- Mini Project EXcel Clean'!A410:R1410,3,FALSE)</f>
        <v>48</v>
      </c>
      <c r="D411">
        <f>_xlfn.XLOOKUP(A411,'Subbu- Mini Project EXcel Clean'!A411:A1410,'Subbu- Mini Project EXcel Clean'!D411:D1410,"Entry Level",0)</f>
        <v>54.2</v>
      </c>
      <c r="E411">
        <f>_xlfn.XLOOKUP(A411,'Subbu- Mini Project EXcel Clean'!A411:A1410,'Subbu- Mini Project EXcel Clean'!F411:F1410,"Entry Level",0)</f>
        <v>64.2</v>
      </c>
      <c r="F411">
        <f>_xlfn.XLOOKUP(A411,'Subbu- Mini Project EXcel Clean'!A411:A1410,'Subbu- Mini Project EXcel Clean'!G411:G1410," ",0)</f>
        <v>54.6</v>
      </c>
      <c r="G411" t="str">
        <f>_xlfn.XLOOKUP(A411,'Subbu- Mini Project EXcel Clean'!A411:A1410,'Subbu- Mini Project EXcel Clean'!H411:H1410," ",0)</f>
        <v>Pass</v>
      </c>
      <c r="H411" t="str">
        <f>VLOOKUP(A411,'Subbu- Mini Project EXcel Clean'!A410:R1410,18,)</f>
        <v>Master</v>
      </c>
    </row>
    <row r="412" spans="1:8" x14ac:dyDescent="0.25">
      <c r="A412" t="s">
        <v>440</v>
      </c>
      <c r="B412">
        <f>VLOOKUP(A412,'Subbu- Mini Project EXcel Clean'!A411:R1411,2,FALSE)</f>
        <v>58.1</v>
      </c>
      <c r="C412">
        <f>VLOOKUP(A412,'Subbu- Mini Project EXcel Clean'!A411:R1411,3,FALSE)</f>
        <v>49.6</v>
      </c>
      <c r="D412">
        <f>_xlfn.XLOOKUP(A412,'Subbu- Mini Project EXcel Clean'!A412:A1411,'Subbu- Mini Project EXcel Clean'!D412:D1411,"Entry Level",0)</f>
        <v>55.5</v>
      </c>
      <c r="E412">
        <f>_xlfn.XLOOKUP(A412,'Subbu- Mini Project EXcel Clean'!A412:A1411,'Subbu- Mini Project EXcel Clean'!F412:F1411,"Entry Level",0)</f>
        <v>62.8</v>
      </c>
      <c r="F412">
        <f>_xlfn.XLOOKUP(A412,'Subbu- Mini Project EXcel Clean'!A412:A1411,'Subbu- Mini Project EXcel Clean'!G412:G1411," ",0)</f>
        <v>60.2</v>
      </c>
      <c r="G412" t="str">
        <f>_xlfn.XLOOKUP(A412,'Subbu- Mini Project EXcel Clean'!A412:A1411,'Subbu- Mini Project EXcel Clean'!H412:H1411," ",0)</f>
        <v>Pass</v>
      </c>
      <c r="H412" t="str">
        <f>VLOOKUP(A412,'Subbu- Mini Project EXcel Clean'!A411:R1411,18,)</f>
        <v>Bachelor</v>
      </c>
    </row>
    <row r="413" spans="1:8" x14ac:dyDescent="0.25">
      <c r="A413" t="s">
        <v>441</v>
      </c>
      <c r="B413">
        <f>VLOOKUP(A413,'Subbu- Mini Project EXcel Clean'!A412:R1412,2,FALSE)</f>
        <v>85.6</v>
      </c>
      <c r="C413">
        <f>VLOOKUP(A413,'Subbu- Mini Project EXcel Clean'!A412:R1412,3,FALSE)</f>
        <v>94.6</v>
      </c>
      <c r="D413">
        <f>_xlfn.XLOOKUP(A413,'Subbu- Mini Project EXcel Clean'!A413:A1412,'Subbu- Mini Project EXcel Clean'!D413:D1412,"Entry Level",0)</f>
        <v>95.8</v>
      </c>
      <c r="E413">
        <f>_xlfn.XLOOKUP(A413,'Subbu- Mini Project EXcel Clean'!A413:A1412,'Subbu- Mini Project EXcel Clean'!F413:F1412,"Entry Level",0)</f>
        <v>87.6</v>
      </c>
      <c r="F413">
        <f>_xlfn.XLOOKUP(A413,'Subbu- Mini Project EXcel Clean'!A413:A1412,'Subbu- Mini Project EXcel Clean'!G413:G1412," ",0)</f>
        <v>89.95</v>
      </c>
      <c r="G413" t="str">
        <f>_xlfn.XLOOKUP(A413,'Subbu- Mini Project EXcel Clean'!A413:A1412,'Subbu- Mini Project EXcel Clean'!H413:H1412," ",0)</f>
        <v>Pass</v>
      </c>
      <c r="H413" t="str">
        <f>VLOOKUP(A413,'Subbu- Mini Project EXcel Clean'!A412:R1412,18,)</f>
        <v>Bachelor</v>
      </c>
    </row>
    <row r="414" spans="1:8" x14ac:dyDescent="0.25">
      <c r="A414" t="s">
        <v>442</v>
      </c>
      <c r="B414">
        <f>VLOOKUP(A414,'Subbu- Mini Project EXcel Clean'!A413:R1413,2,FALSE)</f>
        <v>89.3</v>
      </c>
      <c r="C414">
        <f>VLOOKUP(A414,'Subbu- Mini Project EXcel Clean'!A413:R1413,3,FALSE)</f>
        <v>102.4</v>
      </c>
      <c r="D414">
        <f>_xlfn.XLOOKUP(A414,'Subbu- Mini Project EXcel Clean'!A414:A1413,'Subbu- Mini Project EXcel Clean'!D414:D1413,"Entry Level",0)</f>
        <v>103.7</v>
      </c>
      <c r="E414">
        <f>_xlfn.XLOOKUP(A414,'Subbu- Mini Project EXcel Clean'!A414:A1413,'Subbu- Mini Project EXcel Clean'!F414:F1413,"Entry Level",0)</f>
        <v>96.2</v>
      </c>
      <c r="F414">
        <f>_xlfn.XLOOKUP(A414,'Subbu- Mini Project EXcel Clean'!A414:A1413,'Subbu- Mini Project EXcel Clean'!G414:G1413," ",0)</f>
        <v>94.25</v>
      </c>
      <c r="G414" t="str">
        <f>_xlfn.XLOOKUP(A414,'Subbu- Mini Project EXcel Clean'!A414:A1413,'Subbu- Mini Project EXcel Clean'!H414:H1413," ",0)</f>
        <v>Pass</v>
      </c>
      <c r="H414" t="str">
        <f>VLOOKUP(A414,'Subbu- Mini Project EXcel Clean'!A413:R1413,18,)</f>
        <v>Bachelor</v>
      </c>
    </row>
    <row r="415" spans="1:8" x14ac:dyDescent="0.25">
      <c r="A415" t="s">
        <v>443</v>
      </c>
      <c r="B415">
        <f>VLOOKUP(A415,'Subbu- Mini Project EXcel Clean'!A414:R1414,2,FALSE)</f>
        <v>73.099999999999994</v>
      </c>
      <c r="C415">
        <f>VLOOKUP(A415,'Subbu- Mini Project EXcel Clean'!A414:R1414,3,FALSE)</f>
        <v>64.7</v>
      </c>
      <c r="D415">
        <f>_xlfn.XLOOKUP(A415,'Subbu- Mini Project EXcel Clean'!A415:A1414,'Subbu- Mini Project EXcel Clean'!D415:D1414,"Entry Level",0)</f>
        <v>68.5</v>
      </c>
      <c r="E415">
        <f>_xlfn.XLOOKUP(A415,'Subbu- Mini Project EXcel Clean'!A415:A1414,'Subbu- Mini Project EXcel Clean'!F415:F1414,"Entry Level",0)</f>
        <v>82</v>
      </c>
      <c r="F415">
        <f>_xlfn.XLOOKUP(A415,'Subbu- Mini Project EXcel Clean'!A415:A1414,'Subbu- Mini Project EXcel Clean'!G415:G1414," ",0)</f>
        <v>76.75</v>
      </c>
      <c r="G415" t="str">
        <f>_xlfn.XLOOKUP(A415,'Subbu- Mini Project EXcel Clean'!A415:A1414,'Subbu- Mini Project EXcel Clean'!H415:H1414," ",0)</f>
        <v>Pass</v>
      </c>
      <c r="H415" t="str">
        <f>VLOOKUP(A415,'Subbu- Mini Project EXcel Clean'!A414:R1414,18,)</f>
        <v>Bachelor</v>
      </c>
    </row>
    <row r="416" spans="1:8" x14ac:dyDescent="0.25">
      <c r="A416" t="s">
        <v>444</v>
      </c>
      <c r="B416">
        <f>VLOOKUP(A416,'Subbu- Mini Project EXcel Clean'!A415:R1415,2,FALSE)</f>
        <v>66.8</v>
      </c>
      <c r="C416">
        <f>VLOOKUP(A416,'Subbu- Mini Project EXcel Clean'!A415:R1415,3,FALSE)</f>
        <v>75.7</v>
      </c>
      <c r="D416">
        <f>_xlfn.XLOOKUP(A416,'Subbu- Mini Project EXcel Clean'!A416:A1415,'Subbu- Mini Project EXcel Clean'!D416:D1415,"Entry Level",0)</f>
        <v>67.099999999999994</v>
      </c>
      <c r="E416">
        <f>_xlfn.XLOOKUP(A416,'Subbu- Mini Project EXcel Clean'!A416:A1415,'Subbu- Mini Project EXcel Clean'!F416:F1415,"Entry Level",0)</f>
        <v>86.3</v>
      </c>
      <c r="F416">
        <f>_xlfn.XLOOKUP(A416,'Subbu- Mini Project EXcel Clean'!A416:A1415,'Subbu- Mini Project EXcel Clean'!G416:G1415," ",0)</f>
        <v>80.55</v>
      </c>
      <c r="G416" t="str">
        <f>_xlfn.XLOOKUP(A416,'Subbu- Mini Project EXcel Clean'!A416:A1415,'Subbu- Mini Project EXcel Clean'!H416:H1415," ",0)</f>
        <v>Pass</v>
      </c>
      <c r="H416" t="str">
        <f>VLOOKUP(A416,'Subbu- Mini Project EXcel Clean'!A415:R1415,18,)</f>
        <v>High School</v>
      </c>
    </row>
    <row r="417" spans="1:8" x14ac:dyDescent="0.25">
      <c r="A417" t="s">
        <v>445</v>
      </c>
      <c r="B417">
        <f>VLOOKUP(A417,'Subbu- Mini Project EXcel Clean'!A416:R1416,2,FALSE)</f>
        <v>66.900000000000006</v>
      </c>
      <c r="C417">
        <f>VLOOKUP(A417,'Subbu- Mini Project EXcel Clean'!A416:R1416,3,FALSE)</f>
        <v>61.4</v>
      </c>
      <c r="D417">
        <f>_xlfn.XLOOKUP(A417,'Subbu- Mini Project EXcel Clean'!A417:A1416,'Subbu- Mini Project EXcel Clean'!D417:D1416,"Entry Level",0)</f>
        <v>55.3</v>
      </c>
      <c r="E417">
        <f>_xlfn.XLOOKUP(A417,'Subbu- Mini Project EXcel Clean'!A417:A1416,'Subbu- Mini Project EXcel Clean'!F417:F1416,"Entry Level",0)</f>
        <v>63.1</v>
      </c>
      <c r="F417">
        <f>_xlfn.XLOOKUP(A417,'Subbu- Mini Project EXcel Clean'!A417:A1416,'Subbu- Mini Project EXcel Clean'!G417:G1416," ",0)</f>
        <v>63.9</v>
      </c>
      <c r="G417" t="str">
        <f>_xlfn.XLOOKUP(A417,'Subbu- Mini Project EXcel Clean'!A417:A1416,'Subbu- Mini Project EXcel Clean'!H417:H1416," ",0)</f>
        <v>Pass</v>
      </c>
      <c r="H417" t="str">
        <f>VLOOKUP(A417,'Subbu- Mini Project EXcel Clean'!A416:R1416,18,)</f>
        <v>Master</v>
      </c>
    </row>
    <row r="418" spans="1:8" x14ac:dyDescent="0.25">
      <c r="A418" t="s">
        <v>446</v>
      </c>
      <c r="B418">
        <f>VLOOKUP(A418,'Subbu- Mini Project EXcel Clean'!A417:R1417,2,FALSE)</f>
        <v>56</v>
      </c>
      <c r="C418">
        <f>VLOOKUP(A418,'Subbu- Mini Project EXcel Clean'!A417:R1417,3,FALSE)</f>
        <v>58.3</v>
      </c>
      <c r="D418">
        <f>_xlfn.XLOOKUP(A418,'Subbu- Mini Project EXcel Clean'!A418:A1417,'Subbu- Mini Project EXcel Clean'!D418:D1417,"Entry Level",0)</f>
        <v>59.7</v>
      </c>
      <c r="E418">
        <f>_xlfn.XLOOKUP(A418,'Subbu- Mini Project EXcel Clean'!A418:A1417,'Subbu- Mini Project EXcel Clean'!F418:F1417,"Entry Level",0)</f>
        <v>71.599999999999994</v>
      </c>
      <c r="F418">
        <f>_xlfn.XLOOKUP(A418,'Subbu- Mini Project EXcel Clean'!A418:A1417,'Subbu- Mini Project EXcel Clean'!G418:G1417," ",0)</f>
        <v>63.85</v>
      </c>
      <c r="G418" t="str">
        <f>_xlfn.XLOOKUP(A418,'Subbu- Mini Project EXcel Clean'!A418:A1417,'Subbu- Mini Project EXcel Clean'!H418:H1417," ",0)</f>
        <v>Pass</v>
      </c>
      <c r="H418" t="str">
        <f>VLOOKUP(A418,'Subbu- Mini Project EXcel Clean'!A417:R1417,18,)</f>
        <v>High School</v>
      </c>
    </row>
    <row r="419" spans="1:8" x14ac:dyDescent="0.25">
      <c r="A419" t="s">
        <v>447</v>
      </c>
      <c r="B419">
        <f>VLOOKUP(A419,'Subbu- Mini Project EXcel Clean'!A418:R1418,2,FALSE)</f>
        <v>60.8</v>
      </c>
      <c r="C419">
        <f>VLOOKUP(A419,'Subbu- Mini Project EXcel Clean'!A418:R1418,3,FALSE)</f>
        <v>58.2</v>
      </c>
      <c r="D419">
        <f>_xlfn.XLOOKUP(A419,'Subbu- Mini Project EXcel Clean'!A419:A1418,'Subbu- Mini Project EXcel Clean'!D419:D1418,"Entry Level",0)</f>
        <v>48.7</v>
      </c>
      <c r="E419">
        <f>_xlfn.XLOOKUP(A419,'Subbu- Mini Project EXcel Clean'!A419:A1418,'Subbu- Mini Project EXcel Clean'!F419:F1418,"Entry Level",0)</f>
        <v>64.8</v>
      </c>
      <c r="F419">
        <f>_xlfn.XLOOKUP(A419,'Subbu- Mini Project EXcel Clean'!A419:A1418,'Subbu- Mini Project EXcel Clean'!G419:G1418," ",0)</f>
        <v>61.45</v>
      </c>
      <c r="G419" t="str">
        <f>_xlfn.XLOOKUP(A419,'Subbu- Mini Project EXcel Clean'!A419:A1418,'Subbu- Mini Project EXcel Clean'!H419:H1418," ",0)</f>
        <v>Pass</v>
      </c>
      <c r="H419" t="str">
        <f>VLOOKUP(A419,'Subbu- Mini Project EXcel Clean'!A418:R1418,18,)</f>
        <v>Master</v>
      </c>
    </row>
    <row r="420" spans="1:8" x14ac:dyDescent="0.25">
      <c r="A420" t="s">
        <v>448</v>
      </c>
      <c r="B420">
        <f>VLOOKUP(A420,'Subbu- Mini Project EXcel Clean'!A419:R1419,2,FALSE)</f>
        <v>78.099999999999994</v>
      </c>
      <c r="C420">
        <f>VLOOKUP(A420,'Subbu- Mini Project EXcel Clean'!A419:R1419,3,FALSE)</f>
        <v>73.8</v>
      </c>
      <c r="D420">
        <f>_xlfn.XLOOKUP(A420,'Subbu- Mini Project EXcel Clean'!A420:A1419,'Subbu- Mini Project EXcel Clean'!D420:D1419,"Entry Level",0)</f>
        <v>75.099999999999994</v>
      </c>
      <c r="E420">
        <f>_xlfn.XLOOKUP(A420,'Subbu- Mini Project EXcel Clean'!A420:A1419,'Subbu- Mini Project EXcel Clean'!F420:F1419,"Entry Level",0)</f>
        <v>86.6</v>
      </c>
      <c r="F420">
        <f>_xlfn.XLOOKUP(A420,'Subbu- Mini Project EXcel Clean'!A420:A1419,'Subbu- Mini Project EXcel Clean'!G420:G1419," ",0)</f>
        <v>81.8</v>
      </c>
      <c r="G420" t="str">
        <f>_xlfn.XLOOKUP(A420,'Subbu- Mini Project EXcel Clean'!A420:A1419,'Subbu- Mini Project EXcel Clean'!H420:H1419," ",0)</f>
        <v>Pass</v>
      </c>
      <c r="H420" t="str">
        <f>VLOOKUP(A420,'Subbu- Mini Project EXcel Clean'!A419:R1419,18,)</f>
        <v>Bachelor</v>
      </c>
    </row>
    <row r="421" spans="1:8" x14ac:dyDescent="0.25">
      <c r="A421" t="s">
        <v>449</v>
      </c>
      <c r="B421">
        <f>VLOOKUP(A421,'Subbu- Mini Project EXcel Clean'!A420:R1420,2,FALSE)</f>
        <v>88.2</v>
      </c>
      <c r="C421">
        <f>VLOOKUP(A421,'Subbu- Mini Project EXcel Clean'!A420:R1420,3,FALSE)</f>
        <v>83.8</v>
      </c>
      <c r="D421">
        <f>_xlfn.XLOOKUP(A421,'Subbu- Mini Project EXcel Clean'!A421:A1420,'Subbu- Mini Project EXcel Clean'!D421:D1420,"Entry Level",0)</f>
        <v>83.6</v>
      </c>
      <c r="E421">
        <f>_xlfn.XLOOKUP(A421,'Subbu- Mini Project EXcel Clean'!A421:A1420,'Subbu- Mini Project EXcel Clean'!F421:F1420,"Entry Level",0)</f>
        <v>80.099999999999994</v>
      </c>
      <c r="F421">
        <f>_xlfn.XLOOKUP(A421,'Subbu- Mini Project EXcel Clean'!A421:A1420,'Subbu- Mini Project EXcel Clean'!G421:G1420," ",0)</f>
        <v>80.75</v>
      </c>
      <c r="G421" t="str">
        <f>_xlfn.XLOOKUP(A421,'Subbu- Mini Project EXcel Clean'!A421:A1420,'Subbu- Mini Project EXcel Clean'!H421:H1420," ",0)</f>
        <v>Pass</v>
      </c>
      <c r="H421" t="str">
        <f>VLOOKUP(A421,'Subbu- Mini Project EXcel Clean'!A420:R1420,18,)</f>
        <v>Bachelor</v>
      </c>
    </row>
    <row r="422" spans="1:8" x14ac:dyDescent="0.25">
      <c r="A422" t="s">
        <v>450</v>
      </c>
      <c r="B422">
        <f>VLOOKUP(A422,'Subbu- Mini Project EXcel Clean'!A421:R1421,2,FALSE)</f>
        <v>84.2</v>
      </c>
      <c r="C422">
        <f>VLOOKUP(A422,'Subbu- Mini Project EXcel Clean'!A421:R1421,3,FALSE)</f>
        <v>92.6</v>
      </c>
      <c r="D422">
        <f>_xlfn.XLOOKUP(A422,'Subbu- Mini Project EXcel Clean'!A422:A1421,'Subbu- Mini Project EXcel Clean'!D422:D1421,"Entry Level",0)</f>
        <v>84.5</v>
      </c>
      <c r="E422">
        <f>_xlfn.XLOOKUP(A422,'Subbu- Mini Project EXcel Clean'!A422:A1421,'Subbu- Mini Project EXcel Clean'!F422:F1421,"Entry Level",0)</f>
        <v>100</v>
      </c>
      <c r="F422">
        <f>_xlfn.XLOOKUP(A422,'Subbu- Mini Project EXcel Clean'!A422:A1421,'Subbu- Mini Project EXcel Clean'!G422:G1421," ",0)</f>
        <v>91.75</v>
      </c>
      <c r="G422" t="str">
        <f>_xlfn.XLOOKUP(A422,'Subbu- Mini Project EXcel Clean'!A422:A1421,'Subbu- Mini Project EXcel Clean'!H422:H1421," ",0)</f>
        <v>Pass</v>
      </c>
      <c r="H422" t="str">
        <f>VLOOKUP(A422,'Subbu- Mini Project EXcel Clean'!A421:R1421,18,)</f>
        <v>Master</v>
      </c>
    </row>
    <row r="423" spans="1:8" x14ac:dyDescent="0.25">
      <c r="A423" t="s">
        <v>451</v>
      </c>
      <c r="B423">
        <f>VLOOKUP(A423,'Subbu- Mini Project EXcel Clean'!A422:R1422,2,FALSE)</f>
        <v>81.3</v>
      </c>
      <c r="C423">
        <f>VLOOKUP(A423,'Subbu- Mini Project EXcel Clean'!A422:R1422,3,FALSE)</f>
        <v>82.5</v>
      </c>
      <c r="D423">
        <f>_xlfn.XLOOKUP(A423,'Subbu- Mini Project EXcel Clean'!A423:A1422,'Subbu- Mini Project EXcel Clean'!D423:D1422,"Entry Level",0)</f>
        <v>85.6</v>
      </c>
      <c r="E423">
        <f>_xlfn.XLOOKUP(A423,'Subbu- Mini Project EXcel Clean'!A423:A1422,'Subbu- Mini Project EXcel Clean'!F423:F1422,"Entry Level",0)</f>
        <v>70.3</v>
      </c>
      <c r="F423">
        <f>_xlfn.XLOOKUP(A423,'Subbu- Mini Project EXcel Clean'!A423:A1422,'Subbu- Mini Project EXcel Clean'!G423:G1422," ",0)</f>
        <v>76.849999999999994</v>
      </c>
      <c r="G423" t="str">
        <f>_xlfn.XLOOKUP(A423,'Subbu- Mini Project EXcel Clean'!A423:A1422,'Subbu- Mini Project EXcel Clean'!H423:H1422," ",0)</f>
        <v>Pass</v>
      </c>
      <c r="H423" t="str">
        <f>VLOOKUP(A423,'Subbu- Mini Project EXcel Clean'!A422:R1422,18,)</f>
        <v>Master</v>
      </c>
    </row>
    <row r="424" spans="1:8" x14ac:dyDescent="0.25">
      <c r="A424" t="s">
        <v>452</v>
      </c>
      <c r="B424">
        <f>VLOOKUP(A424,'Subbu- Mini Project EXcel Clean'!A423:R1423,2,FALSE)</f>
        <v>45.6</v>
      </c>
      <c r="C424">
        <f>VLOOKUP(A424,'Subbu- Mini Project EXcel Clean'!A423:R1423,3,FALSE)</f>
        <v>48.6</v>
      </c>
      <c r="D424">
        <f>_xlfn.XLOOKUP(A424,'Subbu- Mini Project EXcel Clean'!A424:A1423,'Subbu- Mini Project EXcel Clean'!D424:D1423,"Entry Level",0)</f>
        <v>46.1</v>
      </c>
      <c r="E424">
        <f>_xlfn.XLOOKUP(A424,'Subbu- Mini Project EXcel Clean'!A424:A1423,'Subbu- Mini Project EXcel Clean'!F424:F1423,"Entry Level",0)</f>
        <v>52.3</v>
      </c>
      <c r="F424">
        <f>_xlfn.XLOOKUP(A424,'Subbu- Mini Project EXcel Clean'!A424:A1423,'Subbu- Mini Project EXcel Clean'!G424:G1423," ",0)</f>
        <v>48.65</v>
      </c>
      <c r="G424" t="str">
        <f>_xlfn.XLOOKUP(A424,'Subbu- Mini Project EXcel Clean'!A424:A1423,'Subbu- Mini Project EXcel Clean'!H424:H1423," ",0)</f>
        <v>Fail</v>
      </c>
      <c r="H424" t="str">
        <f>VLOOKUP(A424,'Subbu- Mini Project EXcel Clean'!A423:R1423,18,)</f>
        <v>High School</v>
      </c>
    </row>
    <row r="425" spans="1:8" x14ac:dyDescent="0.25">
      <c r="A425" t="s">
        <v>453</v>
      </c>
      <c r="B425">
        <f>VLOOKUP(A425,'Subbu- Mini Project EXcel Clean'!A424:R1424,2,FALSE)</f>
        <v>69.900000000000006</v>
      </c>
      <c r="C425">
        <f>VLOOKUP(A425,'Subbu- Mini Project EXcel Clean'!A424:R1424,3,FALSE)</f>
        <v>60.7</v>
      </c>
      <c r="D425">
        <f>_xlfn.XLOOKUP(A425,'Subbu- Mini Project EXcel Clean'!A425:A1424,'Subbu- Mini Project EXcel Clean'!D425:D1424,"Entry Level",0)</f>
        <v>73.599999999999994</v>
      </c>
      <c r="E425">
        <f>_xlfn.XLOOKUP(A425,'Subbu- Mini Project EXcel Clean'!A425:A1424,'Subbu- Mini Project EXcel Clean'!F425:F1424,"Entry Level",0)</f>
        <v>74.599999999999994</v>
      </c>
      <c r="F425">
        <f>_xlfn.XLOOKUP(A425,'Subbu- Mini Project EXcel Clean'!A425:A1424,'Subbu- Mini Project EXcel Clean'!G425:G1424," ",0)</f>
        <v>70.900000000000006</v>
      </c>
      <c r="G425" t="str">
        <f>_xlfn.XLOOKUP(A425,'Subbu- Mini Project EXcel Clean'!A425:A1424,'Subbu- Mini Project EXcel Clean'!H425:H1424," ",0)</f>
        <v>Pass</v>
      </c>
      <c r="H425" t="str">
        <f>VLOOKUP(A425,'Subbu- Mini Project EXcel Clean'!A424:R1424,18,)</f>
        <v>Master</v>
      </c>
    </row>
    <row r="426" spans="1:8" x14ac:dyDescent="0.25">
      <c r="A426" t="s">
        <v>454</v>
      </c>
      <c r="B426">
        <f>VLOOKUP(A426,'Subbu- Mini Project EXcel Clean'!A425:R1425,2,FALSE)</f>
        <v>43.4</v>
      </c>
      <c r="C426">
        <f>VLOOKUP(A426,'Subbu- Mini Project EXcel Clean'!A425:R1425,3,FALSE)</f>
        <v>38.4</v>
      </c>
      <c r="D426">
        <f>_xlfn.XLOOKUP(A426,'Subbu- Mini Project EXcel Clean'!A426:A1425,'Subbu- Mini Project EXcel Clean'!D426:D1425,"Entry Level",0)</f>
        <v>38.4</v>
      </c>
      <c r="E426">
        <f>_xlfn.XLOOKUP(A426,'Subbu- Mini Project EXcel Clean'!A426:A1425,'Subbu- Mini Project EXcel Clean'!F426:F1425,"Entry Level",0)</f>
        <v>55.9</v>
      </c>
      <c r="F426">
        <f>_xlfn.XLOOKUP(A426,'Subbu- Mini Project EXcel Clean'!A426:A1425,'Subbu- Mini Project EXcel Clean'!G426:G1425," ",0)</f>
        <v>49.55</v>
      </c>
      <c r="G426" t="str">
        <f>_xlfn.XLOOKUP(A426,'Subbu- Mini Project EXcel Clean'!A426:A1425,'Subbu- Mini Project EXcel Clean'!H426:H1425," ",0)</f>
        <v>Fail</v>
      </c>
      <c r="H426" t="str">
        <f>VLOOKUP(A426,'Subbu- Mini Project EXcel Clean'!A425:R1425,18,)</f>
        <v>Bachelor</v>
      </c>
    </row>
    <row r="427" spans="1:8" x14ac:dyDescent="0.25">
      <c r="A427" t="s">
        <v>455</v>
      </c>
      <c r="B427">
        <f>VLOOKUP(A427,'Subbu- Mini Project EXcel Clean'!A426:R1426,2,FALSE)</f>
        <v>70.400000000000006</v>
      </c>
      <c r="C427">
        <f>VLOOKUP(A427,'Subbu- Mini Project EXcel Clean'!A426:R1426,3,FALSE)</f>
        <v>72.599999999999994</v>
      </c>
      <c r="D427">
        <f>_xlfn.XLOOKUP(A427,'Subbu- Mini Project EXcel Clean'!A427:A1426,'Subbu- Mini Project EXcel Clean'!D427:D1426,"Entry Level",0)</f>
        <v>66.8</v>
      </c>
      <c r="E427">
        <f>_xlfn.XLOOKUP(A427,'Subbu- Mini Project EXcel Clean'!A427:A1426,'Subbu- Mini Project EXcel Clean'!F427:F1426,"Entry Level",0)</f>
        <v>81.400000000000006</v>
      </c>
      <c r="F427">
        <f>_xlfn.XLOOKUP(A427,'Subbu- Mini Project EXcel Clean'!A427:A1426,'Subbu- Mini Project EXcel Clean'!G427:G1426," ",0)</f>
        <v>75.8</v>
      </c>
      <c r="G427" t="str">
        <f>_xlfn.XLOOKUP(A427,'Subbu- Mini Project EXcel Clean'!A427:A1426,'Subbu- Mini Project EXcel Clean'!H427:H1426," ",0)</f>
        <v>Pass</v>
      </c>
      <c r="H427" t="str">
        <f>VLOOKUP(A427,'Subbu- Mini Project EXcel Clean'!A426:R1426,18,)</f>
        <v>High School</v>
      </c>
    </row>
    <row r="428" spans="1:8" x14ac:dyDescent="0.25">
      <c r="A428" t="s">
        <v>456</v>
      </c>
      <c r="B428">
        <f>VLOOKUP(A428,'Subbu- Mini Project EXcel Clean'!A427:R1427,2,FALSE)</f>
        <v>60.8</v>
      </c>
      <c r="C428">
        <f>VLOOKUP(A428,'Subbu- Mini Project EXcel Clean'!A427:R1427,3,FALSE)</f>
        <v>71.7</v>
      </c>
      <c r="D428">
        <f>_xlfn.XLOOKUP(A428,'Subbu- Mini Project EXcel Clean'!A428:A1427,'Subbu- Mini Project EXcel Clean'!D428:D1427,"Entry Level",0)</f>
        <v>60.4</v>
      </c>
      <c r="E428">
        <f>_xlfn.XLOOKUP(A428,'Subbu- Mini Project EXcel Clean'!A428:A1427,'Subbu- Mini Project EXcel Clean'!F428:F1427,"Entry Level",0)</f>
        <v>64.5</v>
      </c>
      <c r="F428">
        <f>_xlfn.XLOOKUP(A428,'Subbu- Mini Project EXcel Clean'!A428:A1427,'Subbu- Mini Project EXcel Clean'!G428:G1427," ",0)</f>
        <v>64.400000000000006</v>
      </c>
      <c r="G428" t="str">
        <f>_xlfn.XLOOKUP(A428,'Subbu- Mini Project EXcel Clean'!A428:A1427,'Subbu- Mini Project EXcel Clean'!H428:H1427," ",0)</f>
        <v>Pass</v>
      </c>
      <c r="H428" t="str">
        <f>VLOOKUP(A428,'Subbu- Mini Project EXcel Clean'!A427:R1427,18,)</f>
        <v>Master</v>
      </c>
    </row>
    <row r="429" spans="1:8" x14ac:dyDescent="0.25">
      <c r="A429" t="s">
        <v>457</v>
      </c>
      <c r="B429">
        <f>VLOOKUP(A429,'Subbu- Mini Project EXcel Clean'!A428:R1428,2,FALSE)</f>
        <v>85.5</v>
      </c>
      <c r="C429">
        <f>VLOOKUP(A429,'Subbu- Mini Project EXcel Clean'!A428:R1428,3,FALSE)</f>
        <v>90.6</v>
      </c>
      <c r="D429">
        <f>_xlfn.XLOOKUP(A429,'Subbu- Mini Project EXcel Clean'!A429:A1428,'Subbu- Mini Project EXcel Clean'!D429:D1428,"Entry Level",0)</f>
        <v>93</v>
      </c>
      <c r="E429">
        <f>_xlfn.XLOOKUP(A429,'Subbu- Mini Project EXcel Clean'!A429:A1428,'Subbu- Mini Project EXcel Clean'!F429:F1428,"Entry Level",0)</f>
        <v>81.400000000000006</v>
      </c>
      <c r="F429">
        <f>_xlfn.XLOOKUP(A429,'Subbu- Mini Project EXcel Clean'!A429:A1428,'Subbu- Mini Project EXcel Clean'!G429:G1428," ",0)</f>
        <v>85.1</v>
      </c>
      <c r="G429" t="str">
        <f>_xlfn.XLOOKUP(A429,'Subbu- Mini Project EXcel Clean'!A429:A1428,'Subbu- Mini Project EXcel Clean'!H429:H1428," ",0)</f>
        <v>Pass</v>
      </c>
      <c r="H429" t="str">
        <f>VLOOKUP(A429,'Subbu- Mini Project EXcel Clean'!A428:R1428,18,)</f>
        <v>Master</v>
      </c>
    </row>
    <row r="430" spans="1:8" x14ac:dyDescent="0.25">
      <c r="A430" t="s">
        <v>458</v>
      </c>
      <c r="B430">
        <f>VLOOKUP(A430,'Subbu- Mini Project EXcel Clean'!A429:R1429,2,FALSE)</f>
        <v>52.3</v>
      </c>
      <c r="C430">
        <f>VLOOKUP(A430,'Subbu- Mini Project EXcel Clean'!A429:R1429,3,FALSE)</f>
        <v>57.7</v>
      </c>
      <c r="D430">
        <f>_xlfn.XLOOKUP(A430,'Subbu- Mini Project EXcel Clean'!A430:A1429,'Subbu- Mini Project EXcel Clean'!D430:D1429,"Entry Level",0)</f>
        <v>63.8</v>
      </c>
      <c r="E430">
        <f>_xlfn.XLOOKUP(A430,'Subbu- Mini Project EXcel Clean'!A430:A1429,'Subbu- Mini Project EXcel Clean'!F430:F1429,"Entry Level",0)</f>
        <v>63.8</v>
      </c>
      <c r="F430">
        <f>_xlfn.XLOOKUP(A430,'Subbu- Mini Project EXcel Clean'!A430:A1429,'Subbu- Mini Project EXcel Clean'!G430:G1429," ",0)</f>
        <v>61.55</v>
      </c>
      <c r="G430" t="str">
        <f>_xlfn.XLOOKUP(A430,'Subbu- Mini Project EXcel Clean'!A430:A1429,'Subbu- Mini Project EXcel Clean'!H430:H1429," ",0)</f>
        <v>Pass</v>
      </c>
      <c r="H430" t="str">
        <f>VLOOKUP(A430,'Subbu- Mini Project EXcel Clean'!A429:R1429,18,)</f>
        <v>High School</v>
      </c>
    </row>
    <row r="431" spans="1:8" x14ac:dyDescent="0.25">
      <c r="A431" t="s">
        <v>459</v>
      </c>
      <c r="B431">
        <f>VLOOKUP(A431,'Subbu- Mini Project EXcel Clean'!A430:R1430,2,FALSE)</f>
        <v>55.2</v>
      </c>
      <c r="C431">
        <f>VLOOKUP(A431,'Subbu- Mini Project EXcel Clean'!A430:R1430,3,FALSE)</f>
        <v>46.4</v>
      </c>
      <c r="D431">
        <f>_xlfn.XLOOKUP(A431,'Subbu- Mini Project EXcel Clean'!A431:A1430,'Subbu- Mini Project EXcel Clean'!D431:D1430,"Entry Level",0)</f>
        <v>48.7</v>
      </c>
      <c r="E431">
        <f>_xlfn.XLOOKUP(A431,'Subbu- Mini Project EXcel Clean'!A431:A1430,'Subbu- Mini Project EXcel Clean'!F431:F1430,"Entry Level",0)</f>
        <v>50.6</v>
      </c>
      <c r="F431">
        <f>_xlfn.XLOOKUP(A431,'Subbu- Mini Project EXcel Clean'!A431:A1430,'Subbu- Mini Project EXcel Clean'!G431:G1430," ",0)</f>
        <v>48.5</v>
      </c>
      <c r="G431" t="str">
        <f>_xlfn.XLOOKUP(A431,'Subbu- Mini Project EXcel Clean'!A431:A1430,'Subbu- Mini Project EXcel Clean'!H431:H1430," ",0)</f>
        <v>Fail</v>
      </c>
      <c r="H431" t="str">
        <f>VLOOKUP(A431,'Subbu- Mini Project EXcel Clean'!A430:R1430,18,)</f>
        <v>Master</v>
      </c>
    </row>
    <row r="432" spans="1:8" x14ac:dyDescent="0.25">
      <c r="A432" t="s">
        <v>460</v>
      </c>
      <c r="B432">
        <f>VLOOKUP(A432,'Subbu- Mini Project EXcel Clean'!A431:R1431,2,FALSE)</f>
        <v>41.6</v>
      </c>
      <c r="C432">
        <f>VLOOKUP(A432,'Subbu- Mini Project EXcel Clean'!A431:R1431,3,FALSE)</f>
        <v>41.6</v>
      </c>
      <c r="D432">
        <f>_xlfn.XLOOKUP(A432,'Subbu- Mini Project EXcel Clean'!A432:A1431,'Subbu- Mini Project EXcel Clean'!D432:D1431,"Entry Level",0)</f>
        <v>53.8</v>
      </c>
      <c r="E432">
        <f>_xlfn.XLOOKUP(A432,'Subbu- Mini Project EXcel Clean'!A432:A1431,'Subbu- Mini Project EXcel Clean'!F432:F1431,"Entry Level",0)</f>
        <v>60.8</v>
      </c>
      <c r="F432">
        <f>_xlfn.XLOOKUP(A432,'Subbu- Mini Project EXcel Clean'!A432:A1431,'Subbu- Mini Project EXcel Clean'!G432:G1431," ",0)</f>
        <v>54.35</v>
      </c>
      <c r="G432" t="str">
        <f>_xlfn.XLOOKUP(A432,'Subbu- Mini Project EXcel Clean'!A432:A1431,'Subbu- Mini Project EXcel Clean'!H432:H1431," ",0)</f>
        <v>Pass</v>
      </c>
      <c r="H432" t="str">
        <f>VLOOKUP(A432,'Subbu- Mini Project EXcel Clean'!A431:R1431,18,)</f>
        <v>Bachelor</v>
      </c>
    </row>
    <row r="433" spans="1:8" x14ac:dyDescent="0.25">
      <c r="A433" t="s">
        <v>461</v>
      </c>
      <c r="B433">
        <f>VLOOKUP(A433,'Subbu- Mini Project EXcel Clean'!A432:R1432,2,FALSE)</f>
        <v>78.400000000000006</v>
      </c>
      <c r="C433">
        <f>VLOOKUP(A433,'Subbu- Mini Project EXcel Clean'!A432:R1432,3,FALSE)</f>
        <v>84.9</v>
      </c>
      <c r="D433">
        <f>_xlfn.XLOOKUP(A433,'Subbu- Mini Project EXcel Clean'!A433:A1432,'Subbu- Mini Project EXcel Clean'!D433:D1432,"Entry Level",0)</f>
        <v>76</v>
      </c>
      <c r="E433">
        <f>_xlfn.XLOOKUP(A433,'Subbu- Mini Project EXcel Clean'!A433:A1432,'Subbu- Mini Project EXcel Clean'!F433:F1432,"Entry Level",0)</f>
        <v>78.5</v>
      </c>
      <c r="F433">
        <f>_xlfn.XLOOKUP(A433,'Subbu- Mini Project EXcel Clean'!A433:A1432,'Subbu- Mini Project EXcel Clean'!G433:G1432," ",0)</f>
        <v>80.2</v>
      </c>
      <c r="G433" t="str">
        <f>_xlfn.XLOOKUP(A433,'Subbu- Mini Project EXcel Clean'!A433:A1432,'Subbu- Mini Project EXcel Clean'!H433:H1432," ",0)</f>
        <v>Pass</v>
      </c>
      <c r="H433" t="str">
        <f>VLOOKUP(A433,'Subbu- Mini Project EXcel Clean'!A432:R1432,18,)</f>
        <v>High School</v>
      </c>
    </row>
    <row r="434" spans="1:8" x14ac:dyDescent="0.25">
      <c r="A434" t="s">
        <v>462</v>
      </c>
      <c r="B434">
        <f>VLOOKUP(A434,'Subbu- Mini Project EXcel Clean'!A433:R1433,2,FALSE)</f>
        <v>70.400000000000006</v>
      </c>
      <c r="C434">
        <f>VLOOKUP(A434,'Subbu- Mini Project EXcel Clean'!A433:R1433,3,FALSE)</f>
        <v>78.400000000000006</v>
      </c>
      <c r="D434">
        <f>_xlfn.XLOOKUP(A434,'Subbu- Mini Project EXcel Clean'!A434:A1433,'Subbu- Mini Project EXcel Clean'!D434:D1433,"Entry Level",0)</f>
        <v>82.3</v>
      </c>
      <c r="E434">
        <f>_xlfn.XLOOKUP(A434,'Subbu- Mini Project EXcel Clean'!A434:A1433,'Subbu- Mini Project EXcel Clean'!F434:F1433,"Entry Level",0)</f>
        <v>72.400000000000006</v>
      </c>
      <c r="F434">
        <f>_xlfn.XLOOKUP(A434,'Subbu- Mini Project EXcel Clean'!A434:A1433,'Subbu- Mini Project EXcel Clean'!G434:G1433," ",0)</f>
        <v>73.2</v>
      </c>
      <c r="G434" t="str">
        <f>_xlfn.XLOOKUP(A434,'Subbu- Mini Project EXcel Clean'!A434:A1433,'Subbu- Mini Project EXcel Clean'!H434:H1433," ",0)</f>
        <v>Pass</v>
      </c>
      <c r="H434" t="str">
        <f>VLOOKUP(A434,'Subbu- Mini Project EXcel Clean'!A433:R1433,18,)</f>
        <v>Master</v>
      </c>
    </row>
    <row r="435" spans="1:8" x14ac:dyDescent="0.25">
      <c r="A435" t="s">
        <v>463</v>
      </c>
      <c r="B435">
        <f>VLOOKUP(A435,'Subbu- Mini Project EXcel Clean'!A434:R1434,2,FALSE)</f>
        <v>50</v>
      </c>
      <c r="C435">
        <f>VLOOKUP(A435,'Subbu- Mini Project EXcel Clean'!A434:R1434,3,FALSE)</f>
        <v>43.3</v>
      </c>
      <c r="D435">
        <f>_xlfn.XLOOKUP(A435,'Subbu- Mini Project EXcel Clean'!A435:A1434,'Subbu- Mini Project EXcel Clean'!D435:D1434,"Entry Level",0)</f>
        <v>53.2</v>
      </c>
      <c r="E435">
        <f>_xlfn.XLOOKUP(A435,'Subbu- Mini Project EXcel Clean'!A435:A1434,'Subbu- Mini Project EXcel Clean'!F435:F1434,"Entry Level",0)</f>
        <v>60.7</v>
      </c>
      <c r="F435">
        <f>_xlfn.XLOOKUP(A435,'Subbu- Mini Project EXcel Clean'!A435:A1434,'Subbu- Mini Project EXcel Clean'!G435:G1434," ",0)</f>
        <v>53.15</v>
      </c>
      <c r="G435" t="str">
        <f>_xlfn.XLOOKUP(A435,'Subbu- Mini Project EXcel Clean'!A435:A1434,'Subbu- Mini Project EXcel Clean'!H435:H1434," ",0)</f>
        <v>Pass</v>
      </c>
      <c r="H435" t="str">
        <f>VLOOKUP(A435,'Subbu- Mini Project EXcel Clean'!A434:R1434,18,)</f>
        <v>Bachelor</v>
      </c>
    </row>
    <row r="436" spans="1:8" x14ac:dyDescent="0.25">
      <c r="A436" t="s">
        <v>464</v>
      </c>
      <c r="B436">
        <f>VLOOKUP(A436,'Subbu- Mini Project EXcel Clean'!A435:R1435,2,FALSE)</f>
        <v>43.2</v>
      </c>
      <c r="C436">
        <f>VLOOKUP(A436,'Subbu- Mini Project EXcel Clean'!A435:R1435,3,FALSE)</f>
        <v>42.3</v>
      </c>
      <c r="D436">
        <f>_xlfn.XLOOKUP(A436,'Subbu- Mini Project EXcel Clean'!A436:A1435,'Subbu- Mini Project EXcel Clean'!D436:D1435,"Entry Level",0)</f>
        <v>48.3</v>
      </c>
      <c r="E436">
        <f>_xlfn.XLOOKUP(A436,'Subbu- Mini Project EXcel Clean'!A436:A1435,'Subbu- Mini Project EXcel Clean'!F436:F1435,"Entry Level",0)</f>
        <v>48.5</v>
      </c>
      <c r="F436">
        <f>_xlfn.XLOOKUP(A436,'Subbu- Mini Project EXcel Clean'!A436:A1435,'Subbu- Mini Project EXcel Clean'!G436:G1435," ",0)</f>
        <v>46.55</v>
      </c>
      <c r="G436" t="str">
        <f>_xlfn.XLOOKUP(A436,'Subbu- Mini Project EXcel Clean'!A436:A1435,'Subbu- Mini Project EXcel Clean'!H436:H1435," ",0)</f>
        <v>Fail</v>
      </c>
      <c r="H436" t="str">
        <f>VLOOKUP(A436,'Subbu- Mini Project EXcel Clean'!A435:R1435,18,)</f>
        <v>Master</v>
      </c>
    </row>
    <row r="437" spans="1:8" x14ac:dyDescent="0.25">
      <c r="A437" t="s">
        <v>465</v>
      </c>
      <c r="B437">
        <f>VLOOKUP(A437,'Subbu- Mini Project EXcel Clean'!A436:R1436,2,FALSE)</f>
        <v>84.8</v>
      </c>
      <c r="C437">
        <f>VLOOKUP(A437,'Subbu- Mini Project EXcel Clean'!A436:R1436,3,FALSE)</f>
        <v>79.900000000000006</v>
      </c>
      <c r="D437">
        <f>_xlfn.XLOOKUP(A437,'Subbu- Mini Project EXcel Clean'!A437:A1436,'Subbu- Mini Project EXcel Clean'!D437:D1436,"Entry Level",0)</f>
        <v>87.5</v>
      </c>
      <c r="E437">
        <f>_xlfn.XLOOKUP(A437,'Subbu- Mini Project EXcel Clean'!A437:A1436,'Subbu- Mini Project EXcel Clean'!F437:F1436,"Entry Level",0)</f>
        <v>73.900000000000006</v>
      </c>
      <c r="F437">
        <f>_xlfn.XLOOKUP(A437,'Subbu- Mini Project EXcel Clean'!A437:A1436,'Subbu- Mini Project EXcel Clean'!G437:G1436," ",0)</f>
        <v>76.25</v>
      </c>
      <c r="G437" t="str">
        <f>_xlfn.XLOOKUP(A437,'Subbu- Mini Project EXcel Clean'!A437:A1436,'Subbu- Mini Project EXcel Clean'!H437:H1436," ",0)</f>
        <v>Pass</v>
      </c>
      <c r="H437" t="str">
        <f>VLOOKUP(A437,'Subbu- Mini Project EXcel Clean'!A436:R1436,18,)</f>
        <v>High School</v>
      </c>
    </row>
    <row r="438" spans="1:8" x14ac:dyDescent="0.25">
      <c r="A438" t="s">
        <v>466</v>
      </c>
      <c r="B438">
        <f>VLOOKUP(A438,'Subbu- Mini Project EXcel Clean'!A437:R1437,2,FALSE)</f>
        <v>40.6</v>
      </c>
      <c r="C438">
        <f>VLOOKUP(A438,'Subbu- Mini Project EXcel Clean'!A437:R1437,3,FALSE)</f>
        <v>41.8</v>
      </c>
      <c r="D438">
        <f>_xlfn.XLOOKUP(A438,'Subbu- Mini Project EXcel Clean'!A438:A1437,'Subbu- Mini Project EXcel Clean'!D438:D1437,"Entry Level",0)</f>
        <v>35.700000000000003</v>
      </c>
      <c r="E438">
        <f>_xlfn.XLOOKUP(A438,'Subbu- Mini Project EXcel Clean'!A438:A1437,'Subbu- Mini Project EXcel Clean'!F438:F1437,"Entry Level",0)</f>
        <v>58.2</v>
      </c>
      <c r="F438">
        <f>_xlfn.XLOOKUP(A438,'Subbu- Mini Project EXcel Clean'!A438:A1437,'Subbu- Mini Project EXcel Clean'!G438:G1437," ",0)</f>
        <v>51.1</v>
      </c>
      <c r="G438" t="str">
        <f>_xlfn.XLOOKUP(A438,'Subbu- Mini Project EXcel Clean'!A438:A1437,'Subbu- Mini Project EXcel Clean'!H438:H1437," ",0)</f>
        <v>Pass</v>
      </c>
      <c r="H438" t="str">
        <f>VLOOKUP(A438,'Subbu- Mini Project EXcel Clean'!A437:R1437,18,)</f>
        <v>Master</v>
      </c>
    </row>
    <row r="439" spans="1:8" x14ac:dyDescent="0.25">
      <c r="A439" t="s">
        <v>467</v>
      </c>
      <c r="B439">
        <f>VLOOKUP(A439,'Subbu- Mini Project EXcel Clean'!A438:R1438,2,FALSE)</f>
        <v>86.6</v>
      </c>
      <c r="C439">
        <f>VLOOKUP(A439,'Subbu- Mini Project EXcel Clean'!A438:R1438,3,FALSE)</f>
        <v>84.9</v>
      </c>
      <c r="D439">
        <f>_xlfn.XLOOKUP(A439,'Subbu- Mini Project EXcel Clean'!A439:A1438,'Subbu- Mini Project EXcel Clean'!D439:D1438,"Entry Level",0)</f>
        <v>82.6</v>
      </c>
      <c r="E439">
        <f>_xlfn.XLOOKUP(A439,'Subbu- Mini Project EXcel Clean'!A439:A1438,'Subbu- Mini Project EXcel Clean'!F439:F1438,"Entry Level",0)</f>
        <v>81.400000000000006</v>
      </c>
      <c r="F439">
        <f>_xlfn.XLOOKUP(A439,'Subbu- Mini Project EXcel Clean'!A439:A1438,'Subbu- Mini Project EXcel Clean'!G439:G1438," ",0)</f>
        <v>83.3</v>
      </c>
      <c r="G439" t="str">
        <f>_xlfn.XLOOKUP(A439,'Subbu- Mini Project EXcel Clean'!A439:A1438,'Subbu- Mini Project EXcel Clean'!H439:H1438," ",0)</f>
        <v>Pass</v>
      </c>
      <c r="H439" t="str">
        <f>VLOOKUP(A439,'Subbu- Mini Project EXcel Clean'!A438:R1438,18,)</f>
        <v>Master</v>
      </c>
    </row>
    <row r="440" spans="1:8" x14ac:dyDescent="0.25">
      <c r="A440" t="s">
        <v>468</v>
      </c>
      <c r="B440">
        <f>VLOOKUP(A440,'Subbu- Mini Project EXcel Clean'!A439:R1439,2,FALSE)</f>
        <v>74.7</v>
      </c>
      <c r="C440">
        <f>VLOOKUP(A440,'Subbu- Mini Project EXcel Clean'!A439:R1439,3,FALSE)</f>
        <v>89.3</v>
      </c>
      <c r="D440">
        <f>_xlfn.XLOOKUP(A440,'Subbu- Mini Project EXcel Clean'!A440:A1439,'Subbu- Mini Project EXcel Clean'!D440:D1439,"Entry Level",0)</f>
        <v>75.2</v>
      </c>
      <c r="E440">
        <f>_xlfn.XLOOKUP(A440,'Subbu- Mini Project EXcel Clean'!A440:A1439,'Subbu- Mini Project EXcel Clean'!F440:F1439,"Entry Level",0)</f>
        <v>67.2</v>
      </c>
      <c r="F440">
        <f>_xlfn.XLOOKUP(A440,'Subbu- Mini Project EXcel Clean'!A440:A1439,'Subbu- Mini Project EXcel Clean'!G440:G1439," ",0)</f>
        <v>73</v>
      </c>
      <c r="G440" t="str">
        <f>_xlfn.XLOOKUP(A440,'Subbu- Mini Project EXcel Clean'!A440:A1439,'Subbu- Mini Project EXcel Clean'!H440:H1439," ",0)</f>
        <v>Pass</v>
      </c>
      <c r="H440" t="str">
        <f>VLOOKUP(A440,'Subbu- Mini Project EXcel Clean'!A439:R1439,18,)</f>
        <v>Master</v>
      </c>
    </row>
    <row r="441" spans="1:8" x14ac:dyDescent="0.25">
      <c r="A441" t="s">
        <v>469</v>
      </c>
      <c r="B441">
        <f>VLOOKUP(A441,'Subbu- Mini Project EXcel Clean'!A440:R1440,2,FALSE)</f>
        <v>55.2</v>
      </c>
      <c r="C441">
        <f>VLOOKUP(A441,'Subbu- Mini Project EXcel Clean'!A440:R1440,3,FALSE)</f>
        <v>43.2</v>
      </c>
      <c r="D441">
        <f>_xlfn.XLOOKUP(A441,'Subbu- Mini Project EXcel Clean'!A441:A1440,'Subbu- Mini Project EXcel Clean'!D441:D1440,"Entry Level",0)</f>
        <v>48.1</v>
      </c>
      <c r="E441">
        <f>_xlfn.XLOOKUP(A441,'Subbu- Mini Project EXcel Clean'!A441:A1440,'Subbu- Mini Project EXcel Clean'!F441:F1440,"Entry Level",0)</f>
        <v>61.2</v>
      </c>
      <c r="F441">
        <f>_xlfn.XLOOKUP(A441,'Subbu- Mini Project EXcel Clean'!A441:A1440,'Subbu- Mini Project EXcel Clean'!G441:G1440," ",0)</f>
        <v>52.85</v>
      </c>
      <c r="G441" t="str">
        <f>_xlfn.XLOOKUP(A441,'Subbu- Mini Project EXcel Clean'!A441:A1440,'Subbu- Mini Project EXcel Clean'!H441:H1440," ",0)</f>
        <v>Pass</v>
      </c>
      <c r="H441" t="str">
        <f>VLOOKUP(A441,'Subbu- Mini Project EXcel Clean'!A440:R1440,18,)</f>
        <v>Bachelor</v>
      </c>
    </row>
    <row r="442" spans="1:8" x14ac:dyDescent="0.25">
      <c r="A442" t="s">
        <v>470</v>
      </c>
      <c r="B442">
        <f>VLOOKUP(A442,'Subbu- Mini Project EXcel Clean'!A441:R1441,2,FALSE)</f>
        <v>38.700000000000003</v>
      </c>
      <c r="C442">
        <f>VLOOKUP(A442,'Subbu- Mini Project EXcel Clean'!A441:R1441,3,FALSE)</f>
        <v>42.9</v>
      </c>
      <c r="D442">
        <f>_xlfn.XLOOKUP(A442,'Subbu- Mini Project EXcel Clean'!A442:A1441,'Subbu- Mini Project EXcel Clean'!D442:D1441,"Entry Level",0)</f>
        <v>39.4</v>
      </c>
      <c r="E442">
        <f>_xlfn.XLOOKUP(A442,'Subbu- Mini Project EXcel Clean'!A442:A1441,'Subbu- Mini Project EXcel Clean'!F442:F1441,"Entry Level",0)</f>
        <v>51.5</v>
      </c>
      <c r="F442">
        <f>_xlfn.XLOOKUP(A442,'Subbu- Mini Project EXcel Clean'!A442:A1441,'Subbu- Mini Project EXcel Clean'!G442:G1441," ",0)</f>
        <v>48.1</v>
      </c>
      <c r="G442" t="str">
        <f>_xlfn.XLOOKUP(A442,'Subbu- Mini Project EXcel Clean'!A442:A1441,'Subbu- Mini Project EXcel Clean'!H442:H1441," ",0)</f>
        <v>Fail</v>
      </c>
      <c r="H442" t="str">
        <f>VLOOKUP(A442,'Subbu- Mini Project EXcel Clean'!A441:R1441,18,)</f>
        <v>Bachelor</v>
      </c>
    </row>
    <row r="443" spans="1:8" x14ac:dyDescent="0.25">
      <c r="A443" t="s">
        <v>471</v>
      </c>
      <c r="B443">
        <f>VLOOKUP(A443,'Subbu- Mini Project EXcel Clean'!A442:R1442,2,FALSE)</f>
        <v>95.8</v>
      </c>
      <c r="C443">
        <f>VLOOKUP(A443,'Subbu- Mini Project EXcel Clean'!A442:R1442,3,FALSE)</f>
        <v>91</v>
      </c>
      <c r="D443">
        <f>_xlfn.XLOOKUP(A443,'Subbu- Mini Project EXcel Clean'!A443:A1442,'Subbu- Mini Project EXcel Clean'!D443:D1442,"Entry Level",0)</f>
        <v>98.1</v>
      </c>
      <c r="E443">
        <f>_xlfn.XLOOKUP(A443,'Subbu- Mini Project EXcel Clean'!A443:A1442,'Subbu- Mini Project EXcel Clean'!F443:F1442,"Entry Level",0)</f>
        <v>85.6</v>
      </c>
      <c r="F443">
        <f>_xlfn.XLOOKUP(A443,'Subbu- Mini Project EXcel Clean'!A443:A1442,'Subbu- Mini Project EXcel Clean'!G443:G1442," ",0)</f>
        <v>89.95</v>
      </c>
      <c r="G443" t="str">
        <f>_xlfn.XLOOKUP(A443,'Subbu- Mini Project EXcel Clean'!A443:A1442,'Subbu- Mini Project EXcel Clean'!H443:H1442," ",0)</f>
        <v>Pass</v>
      </c>
      <c r="H443" t="str">
        <f>VLOOKUP(A443,'Subbu- Mini Project EXcel Clean'!A442:R1442,18,)</f>
        <v>Master</v>
      </c>
    </row>
    <row r="444" spans="1:8" x14ac:dyDescent="0.25">
      <c r="A444" t="s">
        <v>472</v>
      </c>
      <c r="B444">
        <f>VLOOKUP(A444,'Subbu- Mini Project EXcel Clean'!A443:R1443,2,FALSE)</f>
        <v>63.8</v>
      </c>
      <c r="C444">
        <f>VLOOKUP(A444,'Subbu- Mini Project EXcel Clean'!A443:R1443,3,FALSE)</f>
        <v>64.3</v>
      </c>
      <c r="D444">
        <f>_xlfn.XLOOKUP(A444,'Subbu- Mini Project EXcel Clean'!A444:A1443,'Subbu- Mini Project EXcel Clean'!D444:D1443,"Entry Level",0)</f>
        <v>67.400000000000006</v>
      </c>
      <c r="E444">
        <f>_xlfn.XLOOKUP(A444,'Subbu- Mini Project EXcel Clean'!A444:A1443,'Subbu- Mini Project EXcel Clean'!F444:F1443,"Entry Level",0)</f>
        <v>70.7</v>
      </c>
      <c r="F444">
        <f>_xlfn.XLOOKUP(A444,'Subbu- Mini Project EXcel Clean'!A444:A1443,'Subbu- Mini Project EXcel Clean'!G444:G1443," ",0)</f>
        <v>65.650000000000006</v>
      </c>
      <c r="G444" t="str">
        <f>_xlfn.XLOOKUP(A444,'Subbu- Mini Project EXcel Clean'!A444:A1443,'Subbu- Mini Project EXcel Clean'!H444:H1443," ",0)</f>
        <v>Pass</v>
      </c>
      <c r="H444" t="str">
        <f>VLOOKUP(A444,'Subbu- Mini Project EXcel Clean'!A443:R1443,18,)</f>
        <v>Master</v>
      </c>
    </row>
    <row r="445" spans="1:8" x14ac:dyDescent="0.25">
      <c r="A445" t="s">
        <v>473</v>
      </c>
      <c r="B445">
        <f>VLOOKUP(A445,'Subbu- Mini Project EXcel Clean'!A444:R1444,2,FALSE)</f>
        <v>62.5</v>
      </c>
      <c r="C445">
        <f>VLOOKUP(A445,'Subbu- Mini Project EXcel Clean'!A444:R1444,3,FALSE)</f>
        <v>59.5</v>
      </c>
      <c r="D445">
        <f>_xlfn.XLOOKUP(A445,'Subbu- Mini Project EXcel Clean'!A445:A1444,'Subbu- Mini Project EXcel Clean'!D445:D1444,"Entry Level",0)</f>
        <v>63.9</v>
      </c>
      <c r="E445">
        <f>_xlfn.XLOOKUP(A445,'Subbu- Mini Project EXcel Clean'!A445:A1444,'Subbu- Mini Project EXcel Clean'!F445:F1444,"Entry Level",0)</f>
        <v>60.5</v>
      </c>
      <c r="F445">
        <f>_xlfn.XLOOKUP(A445,'Subbu- Mini Project EXcel Clean'!A445:A1444,'Subbu- Mini Project EXcel Clean'!G445:G1444," ",0)</f>
        <v>60.45</v>
      </c>
      <c r="G445" t="str">
        <f>_xlfn.XLOOKUP(A445,'Subbu- Mini Project EXcel Clean'!A445:A1444,'Subbu- Mini Project EXcel Clean'!H445:H1444," ",0)</f>
        <v>Pass</v>
      </c>
      <c r="H445" t="str">
        <f>VLOOKUP(A445,'Subbu- Mini Project EXcel Clean'!A444:R1444,18,)</f>
        <v>High School</v>
      </c>
    </row>
    <row r="446" spans="1:8" x14ac:dyDescent="0.25">
      <c r="A446" t="s">
        <v>474</v>
      </c>
      <c r="B446">
        <f>VLOOKUP(A446,'Subbu- Mini Project EXcel Clean'!A445:R1445,2,FALSE)</f>
        <v>83.8</v>
      </c>
      <c r="C446">
        <f>VLOOKUP(A446,'Subbu- Mini Project EXcel Clean'!A445:R1445,3,FALSE)</f>
        <v>81.5</v>
      </c>
      <c r="D446">
        <f>_xlfn.XLOOKUP(A446,'Subbu- Mini Project EXcel Clean'!A446:A1445,'Subbu- Mini Project EXcel Clean'!D446:D1445,"Entry Level",0)</f>
        <v>86.1</v>
      </c>
      <c r="E446">
        <f>_xlfn.XLOOKUP(A446,'Subbu- Mini Project EXcel Clean'!A446:A1445,'Subbu- Mini Project EXcel Clean'!F446:F1445,"Entry Level",0)</f>
        <v>78.2</v>
      </c>
      <c r="F446">
        <f>_xlfn.XLOOKUP(A446,'Subbu- Mini Project EXcel Clean'!A446:A1445,'Subbu- Mini Project EXcel Clean'!G446:G1445," ",0)</f>
        <v>81.45</v>
      </c>
      <c r="G446" t="str">
        <f>_xlfn.XLOOKUP(A446,'Subbu- Mini Project EXcel Clean'!A446:A1445,'Subbu- Mini Project EXcel Clean'!H446:H1445," ",0)</f>
        <v>Pass</v>
      </c>
      <c r="H446" t="str">
        <f>VLOOKUP(A446,'Subbu- Mini Project EXcel Clean'!A445:R1445,18,)</f>
        <v>Master</v>
      </c>
    </row>
    <row r="447" spans="1:8" x14ac:dyDescent="0.25">
      <c r="A447" t="s">
        <v>475</v>
      </c>
      <c r="B447">
        <f>VLOOKUP(A447,'Subbu- Mini Project EXcel Clean'!A446:R1446,2,FALSE)</f>
        <v>91.4</v>
      </c>
      <c r="C447">
        <f>VLOOKUP(A447,'Subbu- Mini Project EXcel Clean'!A446:R1446,3,FALSE)</f>
        <v>98.7</v>
      </c>
      <c r="D447">
        <f>_xlfn.XLOOKUP(A447,'Subbu- Mini Project EXcel Clean'!A447:A1446,'Subbu- Mini Project EXcel Clean'!D447:D1446,"Entry Level",0)</f>
        <v>87.2</v>
      </c>
      <c r="E447">
        <f>_xlfn.XLOOKUP(A447,'Subbu- Mini Project EXcel Clean'!A447:A1446,'Subbu- Mini Project EXcel Clean'!F447:F1446,"Entry Level",0)</f>
        <v>88.2</v>
      </c>
      <c r="F447">
        <f>_xlfn.XLOOKUP(A447,'Subbu- Mini Project EXcel Clean'!A447:A1446,'Subbu- Mini Project EXcel Clean'!G447:G1446," ",0)</f>
        <v>90.15</v>
      </c>
      <c r="G447" t="str">
        <f>_xlfn.XLOOKUP(A447,'Subbu- Mini Project EXcel Clean'!A447:A1446,'Subbu- Mini Project EXcel Clean'!H447:H1446," ",0)</f>
        <v>Pass</v>
      </c>
      <c r="H447" t="str">
        <f>VLOOKUP(A447,'Subbu- Mini Project EXcel Clean'!A446:R1446,18,)</f>
        <v>High School</v>
      </c>
    </row>
    <row r="448" spans="1:8" x14ac:dyDescent="0.25">
      <c r="A448" t="s">
        <v>476</v>
      </c>
      <c r="B448">
        <f>VLOOKUP(A448,'Subbu- Mini Project EXcel Clean'!A447:R1447,2,FALSE)</f>
        <v>94.4</v>
      </c>
      <c r="C448">
        <f>VLOOKUP(A448,'Subbu- Mini Project EXcel Clean'!A447:R1447,3,FALSE)</f>
        <v>101.3</v>
      </c>
      <c r="D448">
        <f>_xlfn.XLOOKUP(A448,'Subbu- Mini Project EXcel Clean'!A448:A1447,'Subbu- Mini Project EXcel Clean'!D448:D1447,"Entry Level",0)</f>
        <v>90</v>
      </c>
      <c r="E448">
        <f>_xlfn.XLOOKUP(A448,'Subbu- Mini Project EXcel Clean'!A448:A1447,'Subbu- Mini Project EXcel Clean'!F448:F1447,"Entry Level",0)</f>
        <v>98.6</v>
      </c>
      <c r="F448">
        <f>_xlfn.XLOOKUP(A448,'Subbu- Mini Project EXcel Clean'!A448:A1447,'Subbu- Mini Project EXcel Clean'!G448:G1447," ",0)</f>
        <v>96.4</v>
      </c>
      <c r="G448" t="str">
        <f>_xlfn.XLOOKUP(A448,'Subbu- Mini Project EXcel Clean'!A448:A1447,'Subbu- Mini Project EXcel Clean'!H448:H1447," ",0)</f>
        <v>Pass</v>
      </c>
      <c r="H448" t="str">
        <f>VLOOKUP(A448,'Subbu- Mini Project EXcel Clean'!A447:R1447,18,)</f>
        <v>Bachelor</v>
      </c>
    </row>
    <row r="449" spans="1:8" x14ac:dyDescent="0.25">
      <c r="A449" t="s">
        <v>477</v>
      </c>
      <c r="B449">
        <f>VLOOKUP(A449,'Subbu- Mini Project EXcel Clean'!A448:R1448,2,FALSE)</f>
        <v>80.7</v>
      </c>
      <c r="C449">
        <f>VLOOKUP(A449,'Subbu- Mini Project EXcel Clean'!A448:R1448,3,FALSE)</f>
        <v>78.400000000000006</v>
      </c>
      <c r="D449">
        <f>_xlfn.XLOOKUP(A449,'Subbu- Mini Project EXcel Clean'!A449:A1448,'Subbu- Mini Project EXcel Clean'!D449:D1448,"Entry Level",0)</f>
        <v>87.7</v>
      </c>
      <c r="E449">
        <f>_xlfn.XLOOKUP(A449,'Subbu- Mini Project EXcel Clean'!A449:A1448,'Subbu- Mini Project EXcel Clean'!F449:F1448,"Entry Level",0)</f>
        <v>83.6</v>
      </c>
      <c r="F449">
        <f>_xlfn.XLOOKUP(A449,'Subbu- Mini Project EXcel Clean'!A449:A1448,'Subbu- Mini Project EXcel Clean'!G449:G1448," ",0)</f>
        <v>82.5</v>
      </c>
      <c r="G449" t="str">
        <f>_xlfn.XLOOKUP(A449,'Subbu- Mini Project EXcel Clean'!A449:A1448,'Subbu- Mini Project EXcel Clean'!H449:H1448," ",0)</f>
        <v>Pass</v>
      </c>
      <c r="H449" t="str">
        <f>VLOOKUP(A449,'Subbu- Mini Project EXcel Clean'!A448:R1448,18,)</f>
        <v>Master</v>
      </c>
    </row>
    <row r="450" spans="1:8" x14ac:dyDescent="0.25">
      <c r="A450" t="s">
        <v>478</v>
      </c>
      <c r="B450">
        <f>VLOOKUP(A450,'Subbu- Mini Project EXcel Clean'!A449:R1449,2,FALSE)</f>
        <v>65.5</v>
      </c>
      <c r="C450">
        <f>VLOOKUP(A450,'Subbu- Mini Project EXcel Clean'!A449:R1449,3,FALSE)</f>
        <v>51.4</v>
      </c>
      <c r="D450">
        <f>_xlfn.XLOOKUP(A450,'Subbu- Mini Project EXcel Clean'!A450:A1449,'Subbu- Mini Project EXcel Clean'!D450:D1449,"Entry Level",0)</f>
        <v>64.599999999999994</v>
      </c>
      <c r="E450">
        <f>_xlfn.XLOOKUP(A450,'Subbu- Mini Project EXcel Clean'!A450:A1449,'Subbu- Mini Project EXcel Clean'!F450:F1449,"Entry Level",0)</f>
        <v>59.5</v>
      </c>
      <c r="F450">
        <f>_xlfn.XLOOKUP(A450,'Subbu- Mini Project EXcel Clean'!A450:A1449,'Subbu- Mini Project EXcel Clean'!G450:G1449," ",0)</f>
        <v>60.1</v>
      </c>
      <c r="G450" t="str">
        <f>_xlfn.XLOOKUP(A450,'Subbu- Mini Project EXcel Clean'!A450:A1449,'Subbu- Mini Project EXcel Clean'!H450:H1449," ",0)</f>
        <v>Pass</v>
      </c>
      <c r="H450" t="str">
        <f>VLOOKUP(A450,'Subbu- Mini Project EXcel Clean'!A449:R1449,18,)</f>
        <v>High School</v>
      </c>
    </row>
    <row r="451" spans="1:8" x14ac:dyDescent="0.25">
      <c r="A451" t="s">
        <v>479</v>
      </c>
      <c r="B451">
        <f>VLOOKUP(A451,'Subbu- Mini Project EXcel Clean'!A450:R1450,2,FALSE)</f>
        <v>55.6</v>
      </c>
      <c r="C451">
        <f>VLOOKUP(A451,'Subbu- Mini Project EXcel Clean'!A450:R1450,3,FALSE)</f>
        <v>49.6</v>
      </c>
      <c r="D451">
        <f>_xlfn.XLOOKUP(A451,'Subbu- Mini Project EXcel Clean'!A451:A1450,'Subbu- Mini Project EXcel Clean'!D451:D1450,"Entry Level",0)</f>
        <v>44.4</v>
      </c>
      <c r="E451">
        <f>_xlfn.XLOOKUP(A451,'Subbu- Mini Project EXcel Clean'!A451:A1450,'Subbu- Mini Project EXcel Clean'!F451:F1450,"Entry Level",0)</f>
        <v>50.8</v>
      </c>
      <c r="F451">
        <f>_xlfn.XLOOKUP(A451,'Subbu- Mini Project EXcel Clean'!A451:A1450,'Subbu- Mini Project EXcel Clean'!G451:G1450," ",0)</f>
        <v>47.7</v>
      </c>
      <c r="G451" t="str">
        <f>_xlfn.XLOOKUP(A451,'Subbu- Mini Project EXcel Clean'!A451:A1450,'Subbu- Mini Project EXcel Clean'!H451:H1450," ",0)</f>
        <v>Fail</v>
      </c>
      <c r="H451" t="str">
        <f>VLOOKUP(A451,'Subbu- Mini Project EXcel Clean'!A450:R1450,18,)</f>
        <v>Bachelor</v>
      </c>
    </row>
    <row r="452" spans="1:8" x14ac:dyDescent="0.25">
      <c r="A452" t="s">
        <v>480</v>
      </c>
      <c r="B452">
        <f>VLOOKUP(A452,'Subbu- Mini Project EXcel Clean'!A451:R1451,2,FALSE)</f>
        <v>80</v>
      </c>
      <c r="C452">
        <f>VLOOKUP(A452,'Subbu- Mini Project EXcel Clean'!A451:R1451,3,FALSE)</f>
        <v>79.3</v>
      </c>
      <c r="D452">
        <f>_xlfn.XLOOKUP(A452,'Subbu- Mini Project EXcel Clean'!A452:A1451,'Subbu- Mini Project EXcel Clean'!D452:D1451,"Entry Level",0)</f>
        <v>80.7</v>
      </c>
      <c r="E452">
        <f>_xlfn.XLOOKUP(A452,'Subbu- Mini Project EXcel Clean'!A452:A1451,'Subbu- Mini Project EXcel Clean'!F452:F1451,"Entry Level",0)</f>
        <v>99.2</v>
      </c>
      <c r="F452">
        <f>_xlfn.XLOOKUP(A452,'Subbu- Mini Project EXcel Clean'!A452:A1451,'Subbu- Mini Project EXcel Clean'!G452:G1451," ",0)</f>
        <v>90.95</v>
      </c>
      <c r="G452" t="str">
        <f>_xlfn.XLOOKUP(A452,'Subbu- Mini Project EXcel Clean'!A452:A1451,'Subbu- Mini Project EXcel Clean'!H452:H1451," ",0)</f>
        <v>Pass</v>
      </c>
      <c r="H452" t="str">
        <f>VLOOKUP(A452,'Subbu- Mini Project EXcel Clean'!A451:R1451,18,)</f>
        <v>High School</v>
      </c>
    </row>
    <row r="453" spans="1:8" x14ac:dyDescent="0.25">
      <c r="A453" t="s">
        <v>481</v>
      </c>
      <c r="B453">
        <f>VLOOKUP(A453,'Subbu- Mini Project EXcel Clean'!A452:R1452,2,FALSE)</f>
        <v>63.9</v>
      </c>
      <c r="C453">
        <f>VLOOKUP(A453,'Subbu- Mini Project EXcel Clean'!A452:R1452,3,FALSE)</f>
        <v>74.7</v>
      </c>
      <c r="D453">
        <f>_xlfn.XLOOKUP(A453,'Subbu- Mini Project EXcel Clean'!A453:A1452,'Subbu- Mini Project EXcel Clean'!D453:D1452,"Entry Level",0)</f>
        <v>60.6</v>
      </c>
      <c r="E453">
        <f>_xlfn.XLOOKUP(A453,'Subbu- Mini Project EXcel Clean'!A453:A1452,'Subbu- Mini Project EXcel Clean'!F453:F1452,"Entry Level",0)</f>
        <v>61.1</v>
      </c>
      <c r="F453">
        <f>_xlfn.XLOOKUP(A453,'Subbu- Mini Project EXcel Clean'!A453:A1452,'Subbu- Mini Project EXcel Clean'!G453:G1452," ",0)</f>
        <v>65.900000000000006</v>
      </c>
      <c r="G453" t="str">
        <f>_xlfn.XLOOKUP(A453,'Subbu- Mini Project EXcel Clean'!A453:A1452,'Subbu- Mini Project EXcel Clean'!H453:H1452," ",0)</f>
        <v>Pass</v>
      </c>
      <c r="H453" t="str">
        <f>VLOOKUP(A453,'Subbu- Mini Project EXcel Clean'!A452:R1452,18,)</f>
        <v>Bachelor</v>
      </c>
    </row>
    <row r="454" spans="1:8" x14ac:dyDescent="0.25">
      <c r="A454" t="s">
        <v>482</v>
      </c>
      <c r="B454">
        <f>VLOOKUP(A454,'Subbu- Mini Project EXcel Clean'!A453:R1453,2,FALSE)</f>
        <v>62.9</v>
      </c>
      <c r="C454">
        <f>VLOOKUP(A454,'Subbu- Mini Project EXcel Clean'!A453:R1453,3,FALSE)</f>
        <v>53.5</v>
      </c>
      <c r="D454">
        <f>_xlfn.XLOOKUP(A454,'Subbu- Mini Project EXcel Clean'!A454:A1453,'Subbu- Mini Project EXcel Clean'!D454:D1453,"Entry Level",0)</f>
        <v>58</v>
      </c>
      <c r="E454">
        <f>_xlfn.XLOOKUP(A454,'Subbu- Mini Project EXcel Clean'!A454:A1453,'Subbu- Mini Project EXcel Clean'!F454:F1453,"Entry Level",0)</f>
        <v>51.7</v>
      </c>
      <c r="F454">
        <f>_xlfn.XLOOKUP(A454,'Subbu- Mini Project EXcel Clean'!A454:A1453,'Subbu- Mini Project EXcel Clean'!G454:G1453," ",0)</f>
        <v>57.5</v>
      </c>
      <c r="G454" t="str">
        <f>_xlfn.XLOOKUP(A454,'Subbu- Mini Project EXcel Clean'!A454:A1453,'Subbu- Mini Project EXcel Clean'!H454:H1453," ",0)</f>
        <v>Pass</v>
      </c>
      <c r="H454" t="str">
        <f>VLOOKUP(A454,'Subbu- Mini Project EXcel Clean'!A453:R1453,18,)</f>
        <v>Master</v>
      </c>
    </row>
    <row r="455" spans="1:8" x14ac:dyDescent="0.25">
      <c r="A455" t="s">
        <v>483</v>
      </c>
      <c r="B455">
        <f>VLOOKUP(A455,'Subbu- Mini Project EXcel Clean'!A454:R1454,2,FALSE)</f>
        <v>102.7</v>
      </c>
      <c r="C455">
        <f>VLOOKUP(A455,'Subbu- Mini Project EXcel Clean'!A454:R1454,3,FALSE)</f>
        <v>94.3</v>
      </c>
      <c r="D455">
        <f>_xlfn.XLOOKUP(A455,'Subbu- Mini Project EXcel Clean'!A455:A1454,'Subbu- Mini Project EXcel Clean'!D455:D1454,"Entry Level",0)</f>
        <v>99.4</v>
      </c>
      <c r="E455">
        <f>_xlfn.XLOOKUP(A455,'Subbu- Mini Project EXcel Clean'!A455:A1454,'Subbu- Mini Project EXcel Clean'!F455:F1454,"Entry Level",0)</f>
        <v>99.3</v>
      </c>
      <c r="F455">
        <f>_xlfn.XLOOKUP(A455,'Subbu- Mini Project EXcel Clean'!A455:A1454,'Subbu- Mini Project EXcel Clean'!G455:G1454," ",0)</f>
        <v>94.55</v>
      </c>
      <c r="G455" t="str">
        <f>_xlfn.XLOOKUP(A455,'Subbu- Mini Project EXcel Clean'!A455:A1454,'Subbu- Mini Project EXcel Clean'!H455:H1454," ",0)</f>
        <v>Pass</v>
      </c>
      <c r="H455" t="str">
        <f>VLOOKUP(A455,'Subbu- Mini Project EXcel Clean'!A454:R1454,18,)</f>
        <v>High School</v>
      </c>
    </row>
    <row r="456" spans="1:8" x14ac:dyDescent="0.25">
      <c r="A456" t="s">
        <v>484</v>
      </c>
      <c r="B456">
        <f>VLOOKUP(A456,'Subbu- Mini Project EXcel Clean'!A455:R1455,2,FALSE)</f>
        <v>42.1</v>
      </c>
      <c r="C456">
        <f>VLOOKUP(A456,'Subbu- Mini Project EXcel Clean'!A455:R1455,3,FALSE)</f>
        <v>40.1</v>
      </c>
      <c r="D456">
        <f>_xlfn.XLOOKUP(A456,'Subbu- Mini Project EXcel Clean'!A456:A1455,'Subbu- Mini Project EXcel Clean'!D456:D1455,"Entry Level",0)</f>
        <v>39.700000000000003</v>
      </c>
      <c r="E456">
        <f>_xlfn.XLOOKUP(A456,'Subbu- Mini Project EXcel Clean'!A456:A1455,'Subbu- Mini Project EXcel Clean'!F456:F1455,"Entry Level",0)</f>
        <v>59.9</v>
      </c>
      <c r="F456">
        <f>_xlfn.XLOOKUP(A456,'Subbu- Mini Project EXcel Clean'!A456:A1455,'Subbu- Mini Project EXcel Clean'!G456:G1455," ",0)</f>
        <v>53</v>
      </c>
      <c r="G456" t="str">
        <f>_xlfn.XLOOKUP(A456,'Subbu- Mini Project EXcel Clean'!A456:A1455,'Subbu- Mini Project EXcel Clean'!H456:H1455," ",0)</f>
        <v>Pass</v>
      </c>
      <c r="H456" t="str">
        <f>VLOOKUP(A456,'Subbu- Mini Project EXcel Clean'!A455:R1455,18,)</f>
        <v>Master</v>
      </c>
    </row>
    <row r="457" spans="1:8" x14ac:dyDescent="0.25">
      <c r="A457" t="s">
        <v>485</v>
      </c>
      <c r="B457">
        <f>VLOOKUP(A457,'Subbu- Mini Project EXcel Clean'!A456:R1456,2,FALSE)</f>
        <v>75.3</v>
      </c>
      <c r="C457">
        <f>VLOOKUP(A457,'Subbu- Mini Project EXcel Clean'!A456:R1456,3,FALSE)</f>
        <v>70.7</v>
      </c>
      <c r="D457">
        <f>_xlfn.XLOOKUP(A457,'Subbu- Mini Project EXcel Clean'!A457:A1456,'Subbu- Mini Project EXcel Clean'!D457:D1456,"Entry Level",0)</f>
        <v>68</v>
      </c>
      <c r="E457">
        <f>_xlfn.XLOOKUP(A457,'Subbu- Mini Project EXcel Clean'!A457:A1456,'Subbu- Mini Project EXcel Clean'!F457:F1456,"Entry Level",0)</f>
        <v>69.8</v>
      </c>
      <c r="F457">
        <f>_xlfn.XLOOKUP(A457,'Subbu- Mini Project EXcel Clean'!A457:A1456,'Subbu- Mini Project EXcel Clean'!G457:G1456," ",0)</f>
        <v>68.45</v>
      </c>
      <c r="G457" t="str">
        <f>_xlfn.XLOOKUP(A457,'Subbu- Mini Project EXcel Clean'!A457:A1456,'Subbu- Mini Project EXcel Clean'!H457:H1456," ",0)</f>
        <v>Pass</v>
      </c>
      <c r="H457" t="str">
        <f>VLOOKUP(A457,'Subbu- Mini Project EXcel Clean'!A456:R1456,18,)</f>
        <v>High School</v>
      </c>
    </row>
    <row r="458" spans="1:8" x14ac:dyDescent="0.25">
      <c r="A458" t="s">
        <v>486</v>
      </c>
      <c r="B458">
        <f>VLOOKUP(A458,'Subbu- Mini Project EXcel Clean'!A457:R1457,2,FALSE)</f>
        <v>49</v>
      </c>
      <c r="C458">
        <f>VLOOKUP(A458,'Subbu- Mini Project EXcel Clean'!A457:R1457,3,FALSE)</f>
        <v>40.700000000000003</v>
      </c>
      <c r="D458">
        <f>_xlfn.XLOOKUP(A458,'Subbu- Mini Project EXcel Clean'!A458:A1457,'Subbu- Mini Project EXcel Clean'!D458:D1457,"Entry Level",0)</f>
        <v>45.7</v>
      </c>
      <c r="E458">
        <f>_xlfn.XLOOKUP(A458,'Subbu- Mini Project EXcel Clean'!A458:A1457,'Subbu- Mini Project EXcel Clean'!F458:F1457,"Entry Level",0)</f>
        <v>59.6</v>
      </c>
      <c r="F458">
        <f>_xlfn.XLOOKUP(A458,'Subbu- Mini Project EXcel Clean'!A458:A1457,'Subbu- Mini Project EXcel Clean'!G458:G1457," ",0)</f>
        <v>50.1</v>
      </c>
      <c r="G458" t="str">
        <f>_xlfn.XLOOKUP(A458,'Subbu- Mini Project EXcel Clean'!A458:A1457,'Subbu- Mini Project EXcel Clean'!H458:H1457," ",0)</f>
        <v>Pass</v>
      </c>
      <c r="H458" t="str">
        <f>VLOOKUP(A458,'Subbu- Mini Project EXcel Clean'!A457:R1457,18,)</f>
        <v>Bachelor</v>
      </c>
    </row>
    <row r="459" spans="1:8" x14ac:dyDescent="0.25">
      <c r="A459" t="s">
        <v>487</v>
      </c>
      <c r="B459">
        <f>VLOOKUP(A459,'Subbu- Mini Project EXcel Clean'!A458:R1458,2,FALSE)</f>
        <v>63</v>
      </c>
      <c r="C459">
        <f>VLOOKUP(A459,'Subbu- Mini Project EXcel Clean'!A458:R1458,3,FALSE)</f>
        <v>61</v>
      </c>
      <c r="D459">
        <f>_xlfn.XLOOKUP(A459,'Subbu- Mini Project EXcel Clean'!A459:A1458,'Subbu- Mini Project EXcel Clean'!D459:D1458,"Entry Level",0)</f>
        <v>59.5</v>
      </c>
      <c r="E459">
        <f>_xlfn.XLOOKUP(A459,'Subbu- Mini Project EXcel Clean'!A459:A1458,'Subbu- Mini Project EXcel Clean'!F459:F1458,"Entry Level",0)</f>
        <v>69</v>
      </c>
      <c r="F459">
        <f>_xlfn.XLOOKUP(A459,'Subbu- Mini Project EXcel Clean'!A459:A1458,'Subbu- Mini Project EXcel Clean'!G459:G1458," ",0)</f>
        <v>67.400000000000006</v>
      </c>
      <c r="G459" t="str">
        <f>_xlfn.XLOOKUP(A459,'Subbu- Mini Project EXcel Clean'!A459:A1458,'Subbu- Mini Project EXcel Clean'!H459:H1458," ",0)</f>
        <v>Pass</v>
      </c>
      <c r="H459" t="str">
        <f>VLOOKUP(A459,'Subbu- Mini Project EXcel Clean'!A458:R1458,18,)</f>
        <v>High School</v>
      </c>
    </row>
    <row r="460" spans="1:8" x14ac:dyDescent="0.25">
      <c r="A460" t="s">
        <v>488</v>
      </c>
      <c r="B460">
        <f>VLOOKUP(A460,'Subbu- Mini Project EXcel Clean'!A459:R1459,2,FALSE)</f>
        <v>45.9</v>
      </c>
      <c r="C460">
        <f>VLOOKUP(A460,'Subbu- Mini Project EXcel Clean'!A459:R1459,3,FALSE)</f>
        <v>41.1</v>
      </c>
      <c r="D460">
        <f>_xlfn.XLOOKUP(A460,'Subbu- Mini Project EXcel Clean'!A460:A1459,'Subbu- Mini Project EXcel Clean'!D460:D1459,"Entry Level",0)</f>
        <v>44</v>
      </c>
      <c r="E460">
        <f>_xlfn.XLOOKUP(A460,'Subbu- Mini Project EXcel Clean'!A460:A1459,'Subbu- Mini Project EXcel Clean'!F460:F1459,"Entry Level",0)</f>
        <v>47.1</v>
      </c>
      <c r="F460">
        <f>_xlfn.XLOOKUP(A460,'Subbu- Mini Project EXcel Clean'!A460:A1459,'Subbu- Mini Project EXcel Clean'!G460:G1459," ",0)</f>
        <v>45.1</v>
      </c>
      <c r="G460" t="str">
        <f>_xlfn.XLOOKUP(A460,'Subbu- Mini Project EXcel Clean'!A460:A1459,'Subbu- Mini Project EXcel Clean'!H460:H1459," ",0)</f>
        <v>Fail</v>
      </c>
      <c r="H460" t="str">
        <f>VLOOKUP(A460,'Subbu- Mini Project EXcel Clean'!A459:R1459,18,)</f>
        <v>High School</v>
      </c>
    </row>
    <row r="461" spans="1:8" x14ac:dyDescent="0.25">
      <c r="A461" t="s">
        <v>489</v>
      </c>
      <c r="B461">
        <f>VLOOKUP(A461,'Subbu- Mini Project EXcel Clean'!A460:R1460,2,FALSE)</f>
        <v>54.7</v>
      </c>
      <c r="C461">
        <f>VLOOKUP(A461,'Subbu- Mini Project EXcel Clean'!A460:R1460,3,FALSE)</f>
        <v>50</v>
      </c>
      <c r="D461">
        <f>_xlfn.XLOOKUP(A461,'Subbu- Mini Project EXcel Clean'!A461:A1460,'Subbu- Mini Project EXcel Clean'!D461:D1460,"Entry Level",0)</f>
        <v>51.2</v>
      </c>
      <c r="E461">
        <f>_xlfn.XLOOKUP(A461,'Subbu- Mini Project EXcel Clean'!A461:A1460,'Subbu- Mini Project EXcel Clean'!F461:F1460,"Entry Level",0)</f>
        <v>70.599999999999994</v>
      </c>
      <c r="F461">
        <f>_xlfn.XLOOKUP(A461,'Subbu- Mini Project EXcel Clean'!A461:A1460,'Subbu- Mini Project EXcel Clean'!G461:G1460," ",0)</f>
        <v>58.55</v>
      </c>
      <c r="G461" t="str">
        <f>_xlfn.XLOOKUP(A461,'Subbu- Mini Project EXcel Clean'!A461:A1460,'Subbu- Mini Project EXcel Clean'!H461:H1460," ",0)</f>
        <v>Pass</v>
      </c>
      <c r="H461" t="str">
        <f>VLOOKUP(A461,'Subbu- Mini Project EXcel Clean'!A460:R1460,18,)</f>
        <v>Master</v>
      </c>
    </row>
    <row r="462" spans="1:8" x14ac:dyDescent="0.25">
      <c r="A462" t="s">
        <v>490</v>
      </c>
      <c r="B462">
        <f>VLOOKUP(A462,'Subbu- Mini Project EXcel Clean'!A461:R1461,2,FALSE)</f>
        <v>44.6</v>
      </c>
      <c r="C462">
        <f>VLOOKUP(A462,'Subbu- Mini Project EXcel Clean'!A461:R1461,3,FALSE)</f>
        <v>47</v>
      </c>
      <c r="D462">
        <f>_xlfn.XLOOKUP(A462,'Subbu- Mini Project EXcel Clean'!A462:A1461,'Subbu- Mini Project EXcel Clean'!D462:D1461,"Entry Level",0)</f>
        <v>46.5</v>
      </c>
      <c r="E462">
        <f>_xlfn.XLOOKUP(A462,'Subbu- Mini Project EXcel Clean'!A462:A1461,'Subbu- Mini Project EXcel Clean'!F462:F1461,"Entry Level",0)</f>
        <v>59.5</v>
      </c>
      <c r="F462">
        <f>_xlfn.XLOOKUP(A462,'Subbu- Mini Project EXcel Clean'!A462:A1461,'Subbu- Mini Project EXcel Clean'!G462:G1461," ",0)</f>
        <v>53</v>
      </c>
      <c r="G462" t="str">
        <f>_xlfn.XLOOKUP(A462,'Subbu- Mini Project EXcel Clean'!A462:A1461,'Subbu- Mini Project EXcel Clean'!H462:H1461," ",0)</f>
        <v>Pass</v>
      </c>
      <c r="H462" t="str">
        <f>VLOOKUP(A462,'Subbu- Mini Project EXcel Clean'!A461:R1461,18,)</f>
        <v>Master</v>
      </c>
    </row>
    <row r="463" spans="1:8" x14ac:dyDescent="0.25">
      <c r="A463" t="s">
        <v>491</v>
      </c>
      <c r="B463">
        <f>VLOOKUP(A463,'Subbu- Mini Project EXcel Clean'!A462:R1462,2,FALSE)</f>
        <v>74.7</v>
      </c>
      <c r="C463">
        <f>VLOOKUP(A463,'Subbu- Mini Project EXcel Clean'!A462:R1462,3,FALSE)</f>
        <v>78.599999999999994</v>
      </c>
      <c r="D463">
        <f>_xlfn.XLOOKUP(A463,'Subbu- Mini Project EXcel Clean'!A463:A1462,'Subbu- Mini Project EXcel Clean'!D463:D1462,"Entry Level",0)</f>
        <v>90</v>
      </c>
      <c r="E463">
        <f>_xlfn.XLOOKUP(A463,'Subbu- Mini Project EXcel Clean'!A463:A1462,'Subbu- Mini Project EXcel Clean'!F463:F1462,"Entry Level",0)</f>
        <v>96.2</v>
      </c>
      <c r="F463">
        <f>_xlfn.XLOOKUP(A463,'Subbu- Mini Project EXcel Clean'!A463:A1462,'Subbu- Mini Project EXcel Clean'!G463:G1462," ",0)</f>
        <v>85.95</v>
      </c>
      <c r="G463" t="str">
        <f>_xlfn.XLOOKUP(A463,'Subbu- Mini Project EXcel Clean'!A463:A1462,'Subbu- Mini Project EXcel Clean'!H463:H1462," ",0)</f>
        <v>Pass</v>
      </c>
      <c r="H463" t="str">
        <f>VLOOKUP(A463,'Subbu- Mini Project EXcel Clean'!A462:R1462,18,)</f>
        <v>Master</v>
      </c>
    </row>
    <row r="464" spans="1:8" x14ac:dyDescent="0.25">
      <c r="A464" t="s">
        <v>492</v>
      </c>
      <c r="B464">
        <f>VLOOKUP(A464,'Subbu- Mini Project EXcel Clean'!A463:R1463,2,FALSE)</f>
        <v>78.099999999999994</v>
      </c>
      <c r="C464">
        <f>VLOOKUP(A464,'Subbu- Mini Project EXcel Clean'!A463:R1463,3,FALSE)</f>
        <v>90.9</v>
      </c>
      <c r="D464">
        <f>_xlfn.XLOOKUP(A464,'Subbu- Mini Project EXcel Clean'!A464:A1463,'Subbu- Mini Project EXcel Clean'!D464:D1463,"Entry Level",0)</f>
        <v>72.7</v>
      </c>
      <c r="E464">
        <f>_xlfn.XLOOKUP(A464,'Subbu- Mini Project EXcel Clean'!A464:A1463,'Subbu- Mini Project EXcel Clean'!F464:F1463,"Entry Level",0)</f>
        <v>78.900000000000006</v>
      </c>
      <c r="F464">
        <f>_xlfn.XLOOKUP(A464,'Subbu- Mini Project EXcel Clean'!A464:A1463,'Subbu- Mini Project EXcel Clean'!G464:G1463," ",0)</f>
        <v>79.95</v>
      </c>
      <c r="G464" t="str">
        <f>_xlfn.XLOOKUP(A464,'Subbu- Mini Project EXcel Clean'!A464:A1463,'Subbu- Mini Project EXcel Clean'!H464:H1463," ",0)</f>
        <v>Pass</v>
      </c>
      <c r="H464" t="str">
        <f>VLOOKUP(A464,'Subbu- Mini Project EXcel Clean'!A463:R1463,18,)</f>
        <v>Bachelor</v>
      </c>
    </row>
    <row r="465" spans="1:8" x14ac:dyDescent="0.25">
      <c r="A465" t="s">
        <v>493</v>
      </c>
      <c r="B465">
        <f>VLOOKUP(A465,'Subbu- Mini Project EXcel Clean'!A464:R1464,2,FALSE)</f>
        <v>67</v>
      </c>
      <c r="C465">
        <f>VLOOKUP(A465,'Subbu- Mini Project EXcel Clean'!A464:R1464,3,FALSE)</f>
        <v>64.3</v>
      </c>
      <c r="D465">
        <f>_xlfn.XLOOKUP(A465,'Subbu- Mini Project EXcel Clean'!A465:A1464,'Subbu- Mini Project EXcel Clean'!D465:D1464,"Entry Level",0)</f>
        <v>77.400000000000006</v>
      </c>
      <c r="E465">
        <f>_xlfn.XLOOKUP(A465,'Subbu- Mini Project EXcel Clean'!A465:A1464,'Subbu- Mini Project EXcel Clean'!F465:F1464,"Entry Level",0)</f>
        <v>70.2</v>
      </c>
      <c r="F465">
        <f>_xlfn.XLOOKUP(A465,'Subbu- Mini Project EXcel Clean'!A465:A1464,'Subbu- Mini Project EXcel Clean'!G465:G1464," ",0)</f>
        <v>71.150000000000006</v>
      </c>
      <c r="G465" t="str">
        <f>_xlfn.XLOOKUP(A465,'Subbu- Mini Project EXcel Clean'!A465:A1464,'Subbu- Mini Project EXcel Clean'!H465:H1464," ",0)</f>
        <v>Pass</v>
      </c>
      <c r="H465" t="str">
        <f>VLOOKUP(A465,'Subbu- Mini Project EXcel Clean'!A464:R1464,18,)</f>
        <v>Master</v>
      </c>
    </row>
    <row r="466" spans="1:8" x14ac:dyDescent="0.25">
      <c r="A466" t="s">
        <v>494</v>
      </c>
      <c r="B466">
        <f>VLOOKUP(A466,'Subbu- Mini Project EXcel Clean'!A465:R1465,2,FALSE)</f>
        <v>89.7</v>
      </c>
      <c r="C466">
        <f>VLOOKUP(A466,'Subbu- Mini Project EXcel Clean'!A465:R1465,3,FALSE)</f>
        <v>101</v>
      </c>
      <c r="D466">
        <f>_xlfn.XLOOKUP(A466,'Subbu- Mini Project EXcel Clean'!A466:A1465,'Subbu- Mini Project EXcel Clean'!D466:D1465,"Entry Level",0)</f>
        <v>92.1</v>
      </c>
      <c r="E466">
        <f>_xlfn.XLOOKUP(A466,'Subbu- Mini Project EXcel Clean'!A466:A1465,'Subbu- Mini Project EXcel Clean'!F466:F1465,"Entry Level",0)</f>
        <v>82.5</v>
      </c>
      <c r="F466">
        <f>_xlfn.XLOOKUP(A466,'Subbu- Mini Project EXcel Clean'!A466:A1465,'Subbu- Mini Project EXcel Clean'!G466:G1465," ",0)</f>
        <v>87.7</v>
      </c>
      <c r="G466" t="str">
        <f>_xlfn.XLOOKUP(A466,'Subbu- Mini Project EXcel Clean'!A466:A1465,'Subbu- Mini Project EXcel Clean'!H466:H1465," ",0)</f>
        <v>Pass</v>
      </c>
      <c r="H466" t="str">
        <f>VLOOKUP(A466,'Subbu- Mini Project EXcel Clean'!A465:R1465,18,)</f>
        <v>High School</v>
      </c>
    </row>
    <row r="467" spans="1:8" x14ac:dyDescent="0.25">
      <c r="A467" t="s">
        <v>495</v>
      </c>
      <c r="B467">
        <f>VLOOKUP(A467,'Subbu- Mini Project EXcel Clean'!A466:R1466,2,FALSE)</f>
        <v>54.5</v>
      </c>
      <c r="C467">
        <f>VLOOKUP(A467,'Subbu- Mini Project EXcel Clean'!A466:R1466,3,FALSE)</f>
        <v>61.1</v>
      </c>
      <c r="D467">
        <f>_xlfn.XLOOKUP(A467,'Subbu- Mini Project EXcel Clean'!A467:A1466,'Subbu- Mini Project EXcel Clean'!D467:D1466,"Entry Level",0)</f>
        <v>64.5</v>
      </c>
      <c r="E467">
        <f>_xlfn.XLOOKUP(A467,'Subbu- Mini Project EXcel Clean'!A467:A1466,'Subbu- Mini Project EXcel Clean'!F467:F1466,"Entry Level",0)</f>
        <v>69.3</v>
      </c>
      <c r="F467">
        <f>_xlfn.XLOOKUP(A467,'Subbu- Mini Project EXcel Clean'!A467:A1466,'Subbu- Mini Project EXcel Clean'!G467:G1466," ",0)</f>
        <v>64.95</v>
      </c>
      <c r="G467" t="str">
        <f>_xlfn.XLOOKUP(A467,'Subbu- Mini Project EXcel Clean'!A467:A1466,'Subbu- Mini Project EXcel Clean'!H467:H1466," ",0)</f>
        <v>Pass</v>
      </c>
      <c r="H467" t="str">
        <f>VLOOKUP(A467,'Subbu- Mini Project EXcel Clean'!A466:R1466,18,)</f>
        <v>Bachelor</v>
      </c>
    </row>
    <row r="468" spans="1:8" x14ac:dyDescent="0.25">
      <c r="A468" t="s">
        <v>496</v>
      </c>
      <c r="B468">
        <f>VLOOKUP(A468,'Subbu- Mini Project EXcel Clean'!A467:R1467,2,FALSE)</f>
        <v>55.9</v>
      </c>
      <c r="C468">
        <f>VLOOKUP(A468,'Subbu- Mini Project EXcel Clean'!A467:R1467,3,FALSE)</f>
        <v>51.2</v>
      </c>
      <c r="D468">
        <f>_xlfn.XLOOKUP(A468,'Subbu- Mini Project EXcel Clean'!A468:A1467,'Subbu- Mini Project EXcel Clean'!D468:D1467,"Entry Level",0)</f>
        <v>57.9</v>
      </c>
      <c r="E468">
        <f>_xlfn.XLOOKUP(A468,'Subbu- Mini Project EXcel Clean'!A468:A1467,'Subbu- Mini Project EXcel Clean'!F468:F1467,"Entry Level",0)</f>
        <v>51.4</v>
      </c>
      <c r="F468">
        <f>_xlfn.XLOOKUP(A468,'Subbu- Mini Project EXcel Clean'!A468:A1467,'Subbu- Mini Project EXcel Clean'!G468:G1467," ",0)</f>
        <v>53.55</v>
      </c>
      <c r="G468" t="str">
        <f>_xlfn.XLOOKUP(A468,'Subbu- Mini Project EXcel Clean'!A468:A1467,'Subbu- Mini Project EXcel Clean'!H468:H1467," ",0)</f>
        <v>Pass</v>
      </c>
      <c r="H468" t="str">
        <f>VLOOKUP(A468,'Subbu- Mini Project EXcel Clean'!A467:R1467,18,)</f>
        <v>Master</v>
      </c>
    </row>
    <row r="469" spans="1:8" x14ac:dyDescent="0.25">
      <c r="A469" t="s">
        <v>497</v>
      </c>
      <c r="B469">
        <f>VLOOKUP(A469,'Subbu- Mini Project EXcel Clean'!A468:R1468,2,FALSE)</f>
        <v>83.9</v>
      </c>
      <c r="C469">
        <f>VLOOKUP(A469,'Subbu- Mini Project EXcel Clean'!A468:R1468,3,FALSE)</f>
        <v>81.099999999999994</v>
      </c>
      <c r="D469">
        <f>_xlfn.XLOOKUP(A469,'Subbu- Mini Project EXcel Clean'!A469:A1468,'Subbu- Mini Project EXcel Clean'!D469:D1468,"Entry Level",0)</f>
        <v>84.1</v>
      </c>
      <c r="E469">
        <f>_xlfn.XLOOKUP(A469,'Subbu- Mini Project EXcel Clean'!A469:A1468,'Subbu- Mini Project EXcel Clean'!F469:F1468,"Entry Level",0)</f>
        <v>80.7</v>
      </c>
      <c r="F469">
        <f>_xlfn.XLOOKUP(A469,'Subbu- Mini Project EXcel Clean'!A469:A1468,'Subbu- Mini Project EXcel Clean'!G469:G1468," ",0)</f>
        <v>84.25</v>
      </c>
      <c r="G469" t="str">
        <f>_xlfn.XLOOKUP(A469,'Subbu- Mini Project EXcel Clean'!A469:A1468,'Subbu- Mini Project EXcel Clean'!H469:H1468," ",0)</f>
        <v>Pass</v>
      </c>
      <c r="H469" t="str">
        <f>VLOOKUP(A469,'Subbu- Mini Project EXcel Clean'!A468:R1468,18,)</f>
        <v>High School</v>
      </c>
    </row>
    <row r="470" spans="1:8" x14ac:dyDescent="0.25">
      <c r="A470" t="s">
        <v>498</v>
      </c>
      <c r="B470">
        <f>VLOOKUP(A470,'Subbu- Mini Project EXcel Clean'!A469:R1469,2,FALSE)</f>
        <v>53.5</v>
      </c>
      <c r="C470">
        <f>VLOOKUP(A470,'Subbu- Mini Project EXcel Clean'!A469:R1469,3,FALSE)</f>
        <v>51.4</v>
      </c>
      <c r="D470">
        <f>_xlfn.XLOOKUP(A470,'Subbu- Mini Project EXcel Clean'!A470:A1469,'Subbu- Mini Project EXcel Clean'!D470:D1469,"Entry Level",0)</f>
        <v>53.4</v>
      </c>
      <c r="E470">
        <f>_xlfn.XLOOKUP(A470,'Subbu- Mini Project EXcel Clean'!A470:A1469,'Subbu- Mini Project EXcel Clean'!F470:F1469,"Entry Level",0)</f>
        <v>44.4</v>
      </c>
      <c r="F470">
        <f>_xlfn.XLOOKUP(A470,'Subbu- Mini Project EXcel Clean'!A470:A1469,'Subbu- Mini Project EXcel Clean'!G470:G1469," ",0)</f>
        <v>48.35</v>
      </c>
      <c r="G470" t="str">
        <f>_xlfn.XLOOKUP(A470,'Subbu- Mini Project EXcel Clean'!A470:A1469,'Subbu- Mini Project EXcel Clean'!H470:H1469," ",0)</f>
        <v>Fail</v>
      </c>
      <c r="H470" t="str">
        <f>VLOOKUP(A470,'Subbu- Mini Project EXcel Clean'!A469:R1469,18,)</f>
        <v>High School</v>
      </c>
    </row>
    <row r="471" spans="1:8" x14ac:dyDescent="0.25">
      <c r="A471" t="s">
        <v>499</v>
      </c>
      <c r="B471">
        <f>VLOOKUP(A471,'Subbu- Mini Project EXcel Clean'!A470:R1470,2,FALSE)</f>
        <v>85.2</v>
      </c>
      <c r="C471">
        <f>VLOOKUP(A471,'Subbu- Mini Project EXcel Clean'!A470:R1470,3,FALSE)</f>
        <v>97.6</v>
      </c>
      <c r="D471">
        <f>_xlfn.XLOOKUP(A471,'Subbu- Mini Project EXcel Clean'!A471:A1470,'Subbu- Mini Project EXcel Clean'!D471:D1470,"Entry Level",0)</f>
        <v>83.7</v>
      </c>
      <c r="E471">
        <f>_xlfn.XLOOKUP(A471,'Subbu- Mini Project EXcel Clean'!A471:A1470,'Subbu- Mini Project EXcel Clean'!F471:F1470,"Entry Level",0)</f>
        <v>92.7</v>
      </c>
      <c r="F471">
        <f>_xlfn.XLOOKUP(A471,'Subbu- Mini Project EXcel Clean'!A471:A1470,'Subbu- Mini Project EXcel Clean'!G471:G1470," ",0)</f>
        <v>92.85</v>
      </c>
      <c r="G471" t="str">
        <f>_xlfn.XLOOKUP(A471,'Subbu- Mini Project EXcel Clean'!A471:A1470,'Subbu- Mini Project EXcel Clean'!H471:H1470," ",0)</f>
        <v>Pass</v>
      </c>
      <c r="H471" t="str">
        <f>VLOOKUP(A471,'Subbu- Mini Project EXcel Clean'!A470:R1470,18,)</f>
        <v>Bachelor</v>
      </c>
    </row>
    <row r="472" spans="1:8" x14ac:dyDescent="0.25">
      <c r="A472" t="s">
        <v>500</v>
      </c>
      <c r="B472">
        <f>VLOOKUP(A472,'Subbu- Mini Project EXcel Clean'!A471:R1471,2,FALSE)</f>
        <v>42.3</v>
      </c>
      <c r="C472">
        <f>VLOOKUP(A472,'Subbu- Mini Project EXcel Clean'!A471:R1471,3,FALSE)</f>
        <v>40</v>
      </c>
      <c r="D472">
        <f>_xlfn.XLOOKUP(A472,'Subbu- Mini Project EXcel Clean'!A472:A1471,'Subbu- Mini Project EXcel Clean'!D472:D1471,"Entry Level",0)</f>
        <v>43.7</v>
      </c>
      <c r="E472">
        <f>_xlfn.XLOOKUP(A472,'Subbu- Mini Project EXcel Clean'!A472:A1471,'Subbu- Mini Project EXcel Clean'!F472:F1471,"Entry Level",0)</f>
        <v>46.6</v>
      </c>
      <c r="F472">
        <f>_xlfn.XLOOKUP(A472,'Subbu- Mini Project EXcel Clean'!A472:A1471,'Subbu- Mini Project EXcel Clean'!G472:G1471," ",0)</f>
        <v>43.65</v>
      </c>
      <c r="G472" t="str">
        <f>_xlfn.XLOOKUP(A472,'Subbu- Mini Project EXcel Clean'!A472:A1471,'Subbu- Mini Project EXcel Clean'!H472:H1471," ",0)</f>
        <v>Fail</v>
      </c>
      <c r="H472" t="str">
        <f>VLOOKUP(A472,'Subbu- Mini Project EXcel Clean'!A471:R1471,18,)</f>
        <v>High School</v>
      </c>
    </row>
    <row r="473" spans="1:8" x14ac:dyDescent="0.25">
      <c r="A473" t="s">
        <v>501</v>
      </c>
      <c r="B473">
        <f>VLOOKUP(A473,'Subbu- Mini Project EXcel Clean'!A472:R1472,2,FALSE)</f>
        <v>97.5</v>
      </c>
      <c r="C473">
        <f>VLOOKUP(A473,'Subbu- Mini Project EXcel Clean'!A472:R1472,3,FALSE)</f>
        <v>100.9</v>
      </c>
      <c r="D473">
        <f>_xlfn.XLOOKUP(A473,'Subbu- Mini Project EXcel Clean'!A473:A1472,'Subbu- Mini Project EXcel Clean'!D473:D1472,"Entry Level",0)</f>
        <v>94.8</v>
      </c>
      <c r="E473">
        <f>_xlfn.XLOOKUP(A473,'Subbu- Mini Project EXcel Clean'!A473:A1472,'Subbu- Mini Project EXcel Clean'!F473:F1472,"Entry Level",0)</f>
        <v>92.6</v>
      </c>
      <c r="F473">
        <f>_xlfn.XLOOKUP(A473,'Subbu- Mini Project EXcel Clean'!A473:A1472,'Subbu- Mini Project EXcel Clean'!G473:G1472," ",0)</f>
        <v>92.95</v>
      </c>
      <c r="G473" t="str">
        <f>_xlfn.XLOOKUP(A473,'Subbu- Mini Project EXcel Clean'!A473:A1472,'Subbu- Mini Project EXcel Clean'!H473:H1472," ",0)</f>
        <v>Pass</v>
      </c>
      <c r="H473" t="str">
        <f>VLOOKUP(A473,'Subbu- Mini Project EXcel Clean'!A472:R1472,18,)</f>
        <v>Master</v>
      </c>
    </row>
    <row r="474" spans="1:8" x14ac:dyDescent="0.25">
      <c r="A474" t="s">
        <v>502</v>
      </c>
      <c r="B474">
        <f>VLOOKUP(A474,'Subbu- Mini Project EXcel Clean'!A473:R1473,2,FALSE)</f>
        <v>32.4</v>
      </c>
      <c r="C474">
        <f>VLOOKUP(A474,'Subbu- Mini Project EXcel Clean'!A473:R1473,3,FALSE)</f>
        <v>35.1</v>
      </c>
      <c r="D474">
        <f>_xlfn.XLOOKUP(A474,'Subbu- Mini Project EXcel Clean'!A474:A1473,'Subbu- Mini Project EXcel Clean'!D474:D1473,"Entry Level",0)</f>
        <v>45.6</v>
      </c>
      <c r="E474">
        <f>_xlfn.XLOOKUP(A474,'Subbu- Mini Project EXcel Clean'!A474:A1473,'Subbu- Mini Project EXcel Clean'!F474:F1473,"Entry Level",0)</f>
        <v>52.8</v>
      </c>
      <c r="F474">
        <f>_xlfn.XLOOKUP(A474,'Subbu- Mini Project EXcel Clean'!A474:A1473,'Subbu- Mini Project EXcel Clean'!G474:G1473," ",0)</f>
        <v>47.6</v>
      </c>
      <c r="G474" t="str">
        <f>_xlfn.XLOOKUP(A474,'Subbu- Mini Project EXcel Clean'!A474:A1473,'Subbu- Mini Project EXcel Clean'!H474:H1473," ",0)</f>
        <v>Fail</v>
      </c>
      <c r="H474" t="str">
        <f>VLOOKUP(A474,'Subbu- Mini Project EXcel Clean'!A473:R1473,18,)</f>
        <v>High School</v>
      </c>
    </row>
    <row r="475" spans="1:8" x14ac:dyDescent="0.25">
      <c r="A475" t="s">
        <v>503</v>
      </c>
      <c r="B475">
        <f>VLOOKUP(A475,'Subbu- Mini Project EXcel Clean'!A474:R1474,2,FALSE)</f>
        <v>90.9</v>
      </c>
      <c r="C475">
        <f>VLOOKUP(A475,'Subbu- Mini Project EXcel Clean'!A474:R1474,3,FALSE)</f>
        <v>89</v>
      </c>
      <c r="D475">
        <f>_xlfn.XLOOKUP(A475,'Subbu- Mini Project EXcel Clean'!A475:A1474,'Subbu- Mini Project EXcel Clean'!D475:D1474,"Entry Level",0)</f>
        <v>94.3</v>
      </c>
      <c r="E475">
        <f>_xlfn.XLOOKUP(A475,'Subbu- Mini Project EXcel Clean'!A475:A1474,'Subbu- Mini Project EXcel Clean'!F475:F1474,"Entry Level",0)</f>
        <v>75.2</v>
      </c>
      <c r="F475">
        <f>_xlfn.XLOOKUP(A475,'Subbu- Mini Project EXcel Clean'!A475:A1474,'Subbu- Mini Project EXcel Clean'!G475:G1474," ",0)</f>
        <v>82.1</v>
      </c>
      <c r="G475" t="str">
        <f>_xlfn.XLOOKUP(A475,'Subbu- Mini Project EXcel Clean'!A475:A1474,'Subbu- Mini Project EXcel Clean'!H475:H1474," ",0)</f>
        <v>Pass</v>
      </c>
      <c r="H475" t="str">
        <f>VLOOKUP(A475,'Subbu- Mini Project EXcel Clean'!A474:R1474,18,)</f>
        <v>Master</v>
      </c>
    </row>
    <row r="476" spans="1:8" x14ac:dyDescent="0.25">
      <c r="A476" t="s">
        <v>504</v>
      </c>
      <c r="B476">
        <f>VLOOKUP(A476,'Subbu- Mini Project EXcel Clean'!A475:R1475,2,FALSE)</f>
        <v>75.2</v>
      </c>
      <c r="C476">
        <f>VLOOKUP(A476,'Subbu- Mini Project EXcel Clean'!A475:R1475,3,FALSE)</f>
        <v>62.8</v>
      </c>
      <c r="D476">
        <f>_xlfn.XLOOKUP(A476,'Subbu- Mini Project EXcel Clean'!A476:A1475,'Subbu- Mini Project EXcel Clean'!D476:D1475,"Entry Level",0)</f>
        <v>70.900000000000006</v>
      </c>
      <c r="E476">
        <f>_xlfn.XLOOKUP(A476,'Subbu- Mini Project EXcel Clean'!A476:A1475,'Subbu- Mini Project EXcel Clean'!F476:F1475,"Entry Level",0)</f>
        <v>82.1</v>
      </c>
      <c r="F476">
        <f>_xlfn.XLOOKUP(A476,'Subbu- Mini Project EXcel Clean'!A476:A1475,'Subbu- Mini Project EXcel Clean'!G476:G1475," ",0)</f>
        <v>75.55</v>
      </c>
      <c r="G476" t="str">
        <f>_xlfn.XLOOKUP(A476,'Subbu- Mini Project EXcel Clean'!A476:A1475,'Subbu- Mini Project EXcel Clean'!H476:H1475," ",0)</f>
        <v>Pass</v>
      </c>
      <c r="H476" t="str">
        <f>VLOOKUP(A476,'Subbu- Mini Project EXcel Clean'!A475:R1475,18,)</f>
        <v>Master</v>
      </c>
    </row>
    <row r="477" spans="1:8" x14ac:dyDescent="0.25">
      <c r="A477" t="s">
        <v>505</v>
      </c>
      <c r="B477">
        <f>VLOOKUP(A477,'Subbu- Mini Project EXcel Clean'!A476:R1476,2,FALSE)</f>
        <v>88.6</v>
      </c>
      <c r="C477">
        <f>VLOOKUP(A477,'Subbu- Mini Project EXcel Clean'!A476:R1476,3,FALSE)</f>
        <v>96.4</v>
      </c>
      <c r="D477">
        <f>_xlfn.XLOOKUP(A477,'Subbu- Mini Project EXcel Clean'!A477:A1476,'Subbu- Mini Project EXcel Clean'!D477:D1476,"Entry Level",0)</f>
        <v>95.4</v>
      </c>
      <c r="E477">
        <f>_xlfn.XLOOKUP(A477,'Subbu- Mini Project EXcel Clean'!A477:A1476,'Subbu- Mini Project EXcel Clean'!F477:F1476,"Entry Level",0)</f>
        <v>92.2</v>
      </c>
      <c r="F477">
        <f>_xlfn.XLOOKUP(A477,'Subbu- Mini Project EXcel Clean'!A477:A1476,'Subbu- Mini Project EXcel Clean'!G477:G1476," ",0)</f>
        <v>93.4</v>
      </c>
      <c r="G477" t="str">
        <f>_xlfn.XLOOKUP(A477,'Subbu- Mini Project EXcel Clean'!A477:A1476,'Subbu- Mini Project EXcel Clean'!H477:H1476," ",0)</f>
        <v>Pass</v>
      </c>
      <c r="H477" t="str">
        <f>VLOOKUP(A477,'Subbu- Mini Project EXcel Clean'!A476:R1476,18,)</f>
        <v>Bachelor</v>
      </c>
    </row>
    <row r="478" spans="1:8" x14ac:dyDescent="0.25">
      <c r="A478" t="s">
        <v>506</v>
      </c>
      <c r="B478">
        <f>VLOOKUP(A478,'Subbu- Mini Project EXcel Clean'!A477:R1477,2,FALSE)</f>
        <v>52.4</v>
      </c>
      <c r="C478">
        <f>VLOOKUP(A478,'Subbu- Mini Project EXcel Clean'!A477:R1477,3,FALSE)</f>
        <v>48.5</v>
      </c>
      <c r="D478">
        <f>_xlfn.XLOOKUP(A478,'Subbu- Mini Project EXcel Clean'!A478:A1477,'Subbu- Mini Project EXcel Clean'!D478:D1477,"Entry Level",0)</f>
        <v>39.700000000000003</v>
      </c>
      <c r="E478">
        <f>_xlfn.XLOOKUP(A478,'Subbu- Mini Project EXcel Clean'!A478:A1477,'Subbu- Mini Project EXcel Clean'!F478:F1477,"Entry Level",0)</f>
        <v>55.3</v>
      </c>
      <c r="F478">
        <f>_xlfn.XLOOKUP(A478,'Subbu- Mini Project EXcel Clean'!A478:A1477,'Subbu- Mini Project EXcel Clean'!G478:G1477," ",0)</f>
        <v>49.7</v>
      </c>
      <c r="G478" t="str">
        <f>_xlfn.XLOOKUP(A478,'Subbu- Mini Project EXcel Clean'!A478:A1477,'Subbu- Mini Project EXcel Clean'!H478:H1477," ",0)</f>
        <v>Fail</v>
      </c>
      <c r="H478" t="str">
        <f>VLOOKUP(A478,'Subbu- Mini Project EXcel Clean'!A477:R1477,18,)</f>
        <v>High School</v>
      </c>
    </row>
    <row r="479" spans="1:8" x14ac:dyDescent="0.25">
      <c r="A479" t="s">
        <v>507</v>
      </c>
      <c r="B479">
        <f>VLOOKUP(A479,'Subbu- Mini Project EXcel Clean'!A478:R1478,2,FALSE)</f>
        <v>72.599999999999994</v>
      </c>
      <c r="C479">
        <f>VLOOKUP(A479,'Subbu- Mini Project EXcel Clean'!A478:R1478,3,FALSE)</f>
        <v>68.400000000000006</v>
      </c>
      <c r="D479">
        <f>_xlfn.XLOOKUP(A479,'Subbu- Mini Project EXcel Clean'!A479:A1478,'Subbu- Mini Project EXcel Clean'!D479:D1478,"Entry Level",0)</f>
        <v>66.900000000000006</v>
      </c>
      <c r="E479">
        <f>_xlfn.XLOOKUP(A479,'Subbu- Mini Project EXcel Clean'!A479:A1478,'Subbu- Mini Project EXcel Clean'!F479:F1478,"Entry Level",0)</f>
        <v>67.8</v>
      </c>
      <c r="F479">
        <f>_xlfn.XLOOKUP(A479,'Subbu- Mini Project EXcel Clean'!A479:A1478,'Subbu- Mini Project EXcel Clean'!G479:G1478," ",0)</f>
        <v>69.150000000000006</v>
      </c>
      <c r="G479" t="str">
        <f>_xlfn.XLOOKUP(A479,'Subbu- Mini Project EXcel Clean'!A479:A1478,'Subbu- Mini Project EXcel Clean'!H479:H1478," ",0)</f>
        <v>Pass</v>
      </c>
      <c r="H479" t="str">
        <f>VLOOKUP(A479,'Subbu- Mini Project EXcel Clean'!A478:R1478,18,)</f>
        <v>Bachelor</v>
      </c>
    </row>
    <row r="480" spans="1:8" x14ac:dyDescent="0.25">
      <c r="A480" t="s">
        <v>508</v>
      </c>
      <c r="B480">
        <f>VLOOKUP(A480,'Subbu- Mini Project EXcel Clean'!A479:R1479,2,FALSE)</f>
        <v>89.8</v>
      </c>
      <c r="C480">
        <f>VLOOKUP(A480,'Subbu- Mini Project EXcel Clean'!A479:R1479,3,FALSE)</f>
        <v>80.3</v>
      </c>
      <c r="D480">
        <f>_xlfn.XLOOKUP(A480,'Subbu- Mini Project EXcel Clean'!A480:A1479,'Subbu- Mini Project EXcel Clean'!D480:D1479,"Entry Level",0)</f>
        <v>99.2</v>
      </c>
      <c r="E480">
        <f>_xlfn.XLOOKUP(A480,'Subbu- Mini Project EXcel Clean'!A480:A1479,'Subbu- Mini Project EXcel Clean'!F480:F1479,"Entry Level",0)</f>
        <v>91.5</v>
      </c>
      <c r="F480">
        <f>_xlfn.XLOOKUP(A480,'Subbu- Mini Project EXcel Clean'!A480:A1479,'Subbu- Mini Project EXcel Clean'!G480:G1479," ",0)</f>
        <v>92.4</v>
      </c>
      <c r="G480" t="str">
        <f>_xlfn.XLOOKUP(A480,'Subbu- Mini Project EXcel Clean'!A480:A1479,'Subbu- Mini Project EXcel Clean'!H480:H1479," ",0)</f>
        <v>Pass</v>
      </c>
      <c r="H480" t="str">
        <f>VLOOKUP(A480,'Subbu- Mini Project EXcel Clean'!A479:R1479,18,)</f>
        <v>Bachelor</v>
      </c>
    </row>
    <row r="481" spans="1:8" x14ac:dyDescent="0.25">
      <c r="A481" t="s">
        <v>509</v>
      </c>
      <c r="B481">
        <f>VLOOKUP(A481,'Subbu- Mini Project EXcel Clean'!A480:R1480,2,FALSE)</f>
        <v>68.5</v>
      </c>
      <c r="C481">
        <f>VLOOKUP(A481,'Subbu- Mini Project EXcel Clean'!A480:R1480,3,FALSE)</f>
        <v>69.8</v>
      </c>
      <c r="D481">
        <f>_xlfn.XLOOKUP(A481,'Subbu- Mini Project EXcel Clean'!A481:A1480,'Subbu- Mini Project EXcel Clean'!D481:D1480,"Entry Level",0)</f>
        <v>76</v>
      </c>
      <c r="E481">
        <f>_xlfn.XLOOKUP(A481,'Subbu- Mini Project EXcel Clean'!A481:A1480,'Subbu- Mini Project EXcel Clean'!F481:F1480,"Entry Level",0)</f>
        <v>76.3</v>
      </c>
      <c r="F481">
        <f>_xlfn.XLOOKUP(A481,'Subbu- Mini Project EXcel Clean'!A481:A1480,'Subbu- Mini Project EXcel Clean'!G481:G1480," ",0)</f>
        <v>72.55</v>
      </c>
      <c r="G481" t="str">
        <f>_xlfn.XLOOKUP(A481,'Subbu- Mini Project EXcel Clean'!A481:A1480,'Subbu- Mini Project EXcel Clean'!H481:H1480," ",0)</f>
        <v>Pass</v>
      </c>
      <c r="H481" t="str">
        <f>VLOOKUP(A481,'Subbu- Mini Project EXcel Clean'!A480:R1480,18,)</f>
        <v>Bachelor</v>
      </c>
    </row>
    <row r="482" spans="1:8" x14ac:dyDescent="0.25">
      <c r="A482" t="s">
        <v>510</v>
      </c>
      <c r="B482">
        <f>VLOOKUP(A482,'Subbu- Mini Project EXcel Clean'!A481:R1481,2,FALSE)</f>
        <v>77.400000000000006</v>
      </c>
      <c r="C482">
        <f>VLOOKUP(A482,'Subbu- Mini Project EXcel Clean'!A481:R1481,3,FALSE)</f>
        <v>76.8</v>
      </c>
      <c r="D482">
        <f>_xlfn.XLOOKUP(A482,'Subbu- Mini Project EXcel Clean'!A482:A1481,'Subbu- Mini Project EXcel Clean'!D482:D1481,"Entry Level",0)</f>
        <v>73.400000000000006</v>
      </c>
      <c r="E482">
        <f>_xlfn.XLOOKUP(A482,'Subbu- Mini Project EXcel Clean'!A482:A1481,'Subbu- Mini Project EXcel Clean'!F482:F1481,"Entry Level",0)</f>
        <v>74.2</v>
      </c>
      <c r="F482">
        <f>_xlfn.XLOOKUP(A482,'Subbu- Mini Project EXcel Clean'!A482:A1481,'Subbu- Mini Project EXcel Clean'!G482:G1481," ",0)</f>
        <v>74.400000000000006</v>
      </c>
      <c r="G482" t="str">
        <f>_xlfn.XLOOKUP(A482,'Subbu- Mini Project EXcel Clean'!A482:A1481,'Subbu- Mini Project EXcel Clean'!H482:H1481," ",0)</f>
        <v>Pass</v>
      </c>
      <c r="H482" t="str">
        <f>VLOOKUP(A482,'Subbu- Mini Project EXcel Clean'!A481:R1481,18,)</f>
        <v>Master</v>
      </c>
    </row>
    <row r="483" spans="1:8" x14ac:dyDescent="0.25">
      <c r="A483" t="s">
        <v>511</v>
      </c>
      <c r="B483">
        <f>VLOOKUP(A483,'Subbu- Mini Project EXcel Clean'!A482:R1482,2,FALSE)</f>
        <v>78.599999999999994</v>
      </c>
      <c r="C483">
        <f>VLOOKUP(A483,'Subbu- Mini Project EXcel Clean'!A482:R1482,3,FALSE)</f>
        <v>80.3</v>
      </c>
      <c r="D483">
        <f>_xlfn.XLOOKUP(A483,'Subbu- Mini Project EXcel Clean'!A483:A1482,'Subbu- Mini Project EXcel Clean'!D483:D1482,"Entry Level",0)</f>
        <v>78.5</v>
      </c>
      <c r="E483">
        <f>_xlfn.XLOOKUP(A483,'Subbu- Mini Project EXcel Clean'!A483:A1482,'Subbu- Mini Project EXcel Clean'!F483:F1482,"Entry Level",0)</f>
        <v>75.900000000000006</v>
      </c>
      <c r="F483">
        <f>_xlfn.XLOOKUP(A483,'Subbu- Mini Project EXcel Clean'!A483:A1482,'Subbu- Mini Project EXcel Clean'!G483:G1482," ",0)</f>
        <v>77.099999999999994</v>
      </c>
      <c r="G483" t="str">
        <f>_xlfn.XLOOKUP(A483,'Subbu- Mini Project EXcel Clean'!A483:A1482,'Subbu- Mini Project EXcel Clean'!H483:H1482," ",0)</f>
        <v>Pass</v>
      </c>
      <c r="H483" t="str">
        <f>VLOOKUP(A483,'Subbu- Mini Project EXcel Clean'!A482:R1482,18,)</f>
        <v>Master</v>
      </c>
    </row>
    <row r="484" spans="1:8" x14ac:dyDescent="0.25">
      <c r="A484" t="s">
        <v>512</v>
      </c>
      <c r="B484">
        <f>VLOOKUP(A484,'Subbu- Mini Project EXcel Clean'!A483:R1483,2,FALSE)</f>
        <v>67.7</v>
      </c>
      <c r="C484">
        <f>VLOOKUP(A484,'Subbu- Mini Project EXcel Clean'!A483:R1483,3,FALSE)</f>
        <v>71.2</v>
      </c>
      <c r="D484">
        <f>_xlfn.XLOOKUP(A484,'Subbu- Mini Project EXcel Clean'!A484:A1483,'Subbu- Mini Project EXcel Clean'!D484:D1483,"Entry Level",0)</f>
        <v>60.5</v>
      </c>
      <c r="E484">
        <f>_xlfn.XLOOKUP(A484,'Subbu- Mini Project EXcel Clean'!A484:A1483,'Subbu- Mini Project EXcel Clean'!F484:F1483,"Entry Level",0)</f>
        <v>65.3</v>
      </c>
      <c r="F484">
        <f>_xlfn.XLOOKUP(A484,'Subbu- Mini Project EXcel Clean'!A484:A1483,'Subbu- Mini Project EXcel Clean'!G484:G1483," ",0)</f>
        <v>65.150000000000006</v>
      </c>
      <c r="G484" t="str">
        <f>_xlfn.XLOOKUP(A484,'Subbu- Mini Project EXcel Clean'!A484:A1483,'Subbu- Mini Project EXcel Clean'!H484:H1483," ",0)</f>
        <v>Pass</v>
      </c>
      <c r="H484" t="str">
        <f>VLOOKUP(A484,'Subbu- Mini Project EXcel Clean'!A483:R1483,18,)</f>
        <v>Master</v>
      </c>
    </row>
    <row r="485" spans="1:8" x14ac:dyDescent="0.25">
      <c r="A485" t="s">
        <v>513</v>
      </c>
      <c r="B485">
        <f>VLOOKUP(A485,'Subbu- Mini Project EXcel Clean'!A484:R1484,2,FALSE)</f>
        <v>69.900000000000006</v>
      </c>
      <c r="C485">
        <f>VLOOKUP(A485,'Subbu- Mini Project EXcel Clean'!A484:R1484,3,FALSE)</f>
        <v>69.2</v>
      </c>
      <c r="D485">
        <f>_xlfn.XLOOKUP(A485,'Subbu- Mini Project EXcel Clean'!A485:A1484,'Subbu- Mini Project EXcel Clean'!D485:D1484,"Entry Level",0)</f>
        <v>80.400000000000006</v>
      </c>
      <c r="E485">
        <f>_xlfn.XLOOKUP(A485,'Subbu- Mini Project EXcel Clean'!A485:A1484,'Subbu- Mini Project EXcel Clean'!F485:F1484,"Entry Level",0)</f>
        <v>86.3</v>
      </c>
      <c r="F485">
        <f>_xlfn.XLOOKUP(A485,'Subbu- Mini Project EXcel Clean'!A485:A1484,'Subbu- Mini Project EXcel Clean'!G485:G1484," ",0)</f>
        <v>80.400000000000006</v>
      </c>
      <c r="G485" t="str">
        <f>_xlfn.XLOOKUP(A485,'Subbu- Mini Project EXcel Clean'!A485:A1484,'Subbu- Mini Project EXcel Clean'!H485:H1484," ",0)</f>
        <v>Pass</v>
      </c>
      <c r="H485" t="str">
        <f>VLOOKUP(A485,'Subbu- Mini Project EXcel Clean'!A484:R1484,18,)</f>
        <v>Master</v>
      </c>
    </row>
    <row r="486" spans="1:8" x14ac:dyDescent="0.25">
      <c r="A486" t="s">
        <v>514</v>
      </c>
      <c r="B486">
        <f>VLOOKUP(A486,'Subbu- Mini Project EXcel Clean'!A485:R1485,2,FALSE)</f>
        <v>73</v>
      </c>
      <c r="C486">
        <f>VLOOKUP(A486,'Subbu- Mini Project EXcel Clean'!A485:R1485,3,FALSE)</f>
        <v>75.5</v>
      </c>
      <c r="D486">
        <f>_xlfn.XLOOKUP(A486,'Subbu- Mini Project EXcel Clean'!A486:A1485,'Subbu- Mini Project EXcel Clean'!D486:D1485,"Entry Level",0)</f>
        <v>75.5</v>
      </c>
      <c r="E486">
        <f>_xlfn.XLOOKUP(A486,'Subbu- Mini Project EXcel Clean'!A486:A1485,'Subbu- Mini Project EXcel Clean'!F486:F1485,"Entry Level",0)</f>
        <v>77.599999999999994</v>
      </c>
      <c r="F486">
        <f>_xlfn.XLOOKUP(A486,'Subbu- Mini Project EXcel Clean'!A486:A1485,'Subbu- Mini Project EXcel Clean'!G486:G1485," ",0)</f>
        <v>74.849999999999994</v>
      </c>
      <c r="G486" t="str">
        <f>_xlfn.XLOOKUP(A486,'Subbu- Mini Project EXcel Clean'!A486:A1485,'Subbu- Mini Project EXcel Clean'!H486:H1485," ",0)</f>
        <v>Pass</v>
      </c>
      <c r="H486" t="str">
        <f>VLOOKUP(A486,'Subbu- Mini Project EXcel Clean'!A485:R1485,18,)</f>
        <v>High School</v>
      </c>
    </row>
    <row r="487" spans="1:8" x14ac:dyDescent="0.25">
      <c r="A487" t="s">
        <v>515</v>
      </c>
      <c r="B487">
        <f>VLOOKUP(A487,'Subbu- Mini Project EXcel Clean'!A486:R1486,2,FALSE)</f>
        <v>82.5</v>
      </c>
      <c r="C487">
        <f>VLOOKUP(A487,'Subbu- Mini Project EXcel Clean'!A486:R1486,3,FALSE)</f>
        <v>95.5</v>
      </c>
      <c r="D487">
        <f>_xlfn.XLOOKUP(A487,'Subbu- Mini Project EXcel Clean'!A487:A1486,'Subbu- Mini Project EXcel Clean'!D487:D1486,"Entry Level",0)</f>
        <v>99.3</v>
      </c>
      <c r="E487">
        <f>_xlfn.XLOOKUP(A487,'Subbu- Mini Project EXcel Clean'!A487:A1486,'Subbu- Mini Project EXcel Clean'!F487:F1486,"Entry Level",0)</f>
        <v>89.2</v>
      </c>
      <c r="F487">
        <f>_xlfn.XLOOKUP(A487,'Subbu- Mini Project EXcel Clean'!A487:A1486,'Subbu- Mini Project EXcel Clean'!G487:G1486," ",0)</f>
        <v>89.4</v>
      </c>
      <c r="G487" t="str">
        <f>_xlfn.XLOOKUP(A487,'Subbu- Mini Project EXcel Clean'!A487:A1486,'Subbu- Mini Project EXcel Clean'!H487:H1486," ",0)</f>
        <v>Pass</v>
      </c>
      <c r="H487" t="str">
        <f>VLOOKUP(A487,'Subbu- Mini Project EXcel Clean'!A486:R1486,18,)</f>
        <v>High School</v>
      </c>
    </row>
    <row r="488" spans="1:8" x14ac:dyDescent="0.25">
      <c r="A488" t="s">
        <v>516</v>
      </c>
      <c r="B488">
        <f>VLOOKUP(A488,'Subbu- Mini Project EXcel Clean'!A487:R1487,2,FALSE)</f>
        <v>41.9</v>
      </c>
      <c r="C488">
        <f>VLOOKUP(A488,'Subbu- Mini Project EXcel Clean'!A487:R1487,3,FALSE)</f>
        <v>33.6</v>
      </c>
      <c r="D488">
        <f>_xlfn.XLOOKUP(A488,'Subbu- Mini Project EXcel Clean'!A488:A1487,'Subbu- Mini Project EXcel Clean'!D488:D1487,"Entry Level",0)</f>
        <v>38.1</v>
      </c>
      <c r="E488">
        <f>_xlfn.XLOOKUP(A488,'Subbu- Mini Project EXcel Clean'!A488:A1487,'Subbu- Mini Project EXcel Clean'!F488:F1487,"Entry Level",0)</f>
        <v>52.9</v>
      </c>
      <c r="F488">
        <f>_xlfn.XLOOKUP(A488,'Subbu- Mini Project EXcel Clean'!A488:A1487,'Subbu- Mini Project EXcel Clean'!G488:G1487," ",0)</f>
        <v>47.7</v>
      </c>
      <c r="G488" t="str">
        <f>_xlfn.XLOOKUP(A488,'Subbu- Mini Project EXcel Clean'!A488:A1487,'Subbu- Mini Project EXcel Clean'!H488:H1487," ",0)</f>
        <v>Fail</v>
      </c>
      <c r="H488" t="str">
        <f>VLOOKUP(A488,'Subbu- Mini Project EXcel Clean'!A487:R1487,18,)</f>
        <v>Master</v>
      </c>
    </row>
    <row r="489" spans="1:8" x14ac:dyDescent="0.25">
      <c r="A489" t="s">
        <v>517</v>
      </c>
      <c r="B489">
        <f>VLOOKUP(A489,'Subbu- Mini Project EXcel Clean'!A488:R1488,2,FALSE)</f>
        <v>50.9</v>
      </c>
      <c r="C489">
        <f>VLOOKUP(A489,'Subbu- Mini Project EXcel Clean'!A488:R1488,3,FALSE)</f>
        <v>57.1</v>
      </c>
      <c r="D489">
        <f>_xlfn.XLOOKUP(A489,'Subbu- Mini Project EXcel Clean'!A489:A1488,'Subbu- Mini Project EXcel Clean'!D489:D1488,"Entry Level",0)</f>
        <v>53.6</v>
      </c>
      <c r="E489">
        <f>_xlfn.XLOOKUP(A489,'Subbu- Mini Project EXcel Clean'!A489:A1488,'Subbu- Mini Project EXcel Clean'!F489:F1488,"Entry Level",0)</f>
        <v>60.5</v>
      </c>
      <c r="F489">
        <f>_xlfn.XLOOKUP(A489,'Subbu- Mini Project EXcel Clean'!A489:A1488,'Subbu- Mini Project EXcel Clean'!G489:G1488," ",0)</f>
        <v>58</v>
      </c>
      <c r="G489" t="str">
        <f>_xlfn.XLOOKUP(A489,'Subbu- Mini Project EXcel Clean'!A489:A1488,'Subbu- Mini Project EXcel Clean'!H489:H1488," ",0)</f>
        <v>Pass</v>
      </c>
      <c r="H489" t="str">
        <f>VLOOKUP(A489,'Subbu- Mini Project EXcel Clean'!A488:R1488,18,)</f>
        <v>Master</v>
      </c>
    </row>
    <row r="490" spans="1:8" x14ac:dyDescent="0.25">
      <c r="A490" t="s">
        <v>518</v>
      </c>
      <c r="B490">
        <f>VLOOKUP(A490,'Subbu- Mini Project EXcel Clean'!A489:R1489,2,FALSE)</f>
        <v>88.6</v>
      </c>
      <c r="C490">
        <f>VLOOKUP(A490,'Subbu- Mini Project EXcel Clean'!A489:R1489,3,FALSE)</f>
        <v>89.8</v>
      </c>
      <c r="D490">
        <f>_xlfn.XLOOKUP(A490,'Subbu- Mini Project EXcel Clean'!A490:A1489,'Subbu- Mini Project EXcel Clean'!D490:D1489,"Entry Level",0)</f>
        <v>93.4</v>
      </c>
      <c r="E490">
        <f>_xlfn.XLOOKUP(A490,'Subbu- Mini Project EXcel Clean'!A490:A1489,'Subbu- Mini Project EXcel Clean'!F490:F1489,"Entry Level",0)</f>
        <v>98.4</v>
      </c>
      <c r="F490">
        <f>_xlfn.XLOOKUP(A490,'Subbu- Mini Project EXcel Clean'!A490:A1489,'Subbu- Mini Project EXcel Clean'!G490:G1489," ",0)</f>
        <v>95.35</v>
      </c>
      <c r="G490" t="str">
        <f>_xlfn.XLOOKUP(A490,'Subbu- Mini Project EXcel Clean'!A490:A1489,'Subbu- Mini Project EXcel Clean'!H490:H1489," ",0)</f>
        <v>Pass</v>
      </c>
      <c r="H490" t="str">
        <f>VLOOKUP(A490,'Subbu- Mini Project EXcel Clean'!A489:R1489,18,)</f>
        <v>High School</v>
      </c>
    </row>
    <row r="491" spans="1:8" x14ac:dyDescent="0.25">
      <c r="A491" t="s">
        <v>519</v>
      </c>
      <c r="B491">
        <f>VLOOKUP(A491,'Subbu- Mini Project EXcel Clean'!A490:R1490,2,FALSE)</f>
        <v>95.1</v>
      </c>
      <c r="C491">
        <f>VLOOKUP(A491,'Subbu- Mini Project EXcel Clean'!A490:R1490,3,FALSE)</f>
        <v>88.6</v>
      </c>
      <c r="D491">
        <f>_xlfn.XLOOKUP(A491,'Subbu- Mini Project EXcel Clean'!A491:A1490,'Subbu- Mini Project EXcel Clean'!D491:D1490,"Entry Level",0)</f>
        <v>92.2</v>
      </c>
      <c r="E491">
        <f>_xlfn.XLOOKUP(A491,'Subbu- Mini Project EXcel Clean'!A491:A1490,'Subbu- Mini Project EXcel Clean'!F491:F1490,"Entry Level",0)</f>
        <v>94.4</v>
      </c>
      <c r="F491">
        <f>_xlfn.XLOOKUP(A491,'Subbu- Mini Project EXcel Clean'!A491:A1490,'Subbu- Mini Project EXcel Clean'!G491:G1490," ",0)</f>
        <v>91.7</v>
      </c>
      <c r="G491" t="str">
        <f>_xlfn.XLOOKUP(A491,'Subbu- Mini Project EXcel Clean'!A491:A1490,'Subbu- Mini Project EXcel Clean'!H491:H1490," ",0)</f>
        <v>Pass</v>
      </c>
      <c r="H491" t="str">
        <f>VLOOKUP(A491,'Subbu- Mini Project EXcel Clean'!A490:R1490,18,)</f>
        <v>Bachelor</v>
      </c>
    </row>
    <row r="492" spans="1:8" x14ac:dyDescent="0.25">
      <c r="A492" t="s">
        <v>520</v>
      </c>
      <c r="B492">
        <f>VLOOKUP(A492,'Subbu- Mini Project EXcel Clean'!A491:R1491,2,FALSE)</f>
        <v>70.5</v>
      </c>
      <c r="C492">
        <f>VLOOKUP(A492,'Subbu- Mini Project EXcel Clean'!A491:R1491,3,FALSE)</f>
        <v>66.8</v>
      </c>
      <c r="D492">
        <f>_xlfn.XLOOKUP(A492,'Subbu- Mini Project EXcel Clean'!A492:A1491,'Subbu- Mini Project EXcel Clean'!D492:D1491,"Entry Level",0)</f>
        <v>64</v>
      </c>
      <c r="E492">
        <f>_xlfn.XLOOKUP(A492,'Subbu- Mini Project EXcel Clean'!A492:A1491,'Subbu- Mini Project EXcel Clean'!F492:F1491,"Entry Level",0)</f>
        <v>69.099999999999994</v>
      </c>
      <c r="F492">
        <f>_xlfn.XLOOKUP(A492,'Subbu- Mini Project EXcel Clean'!A492:A1491,'Subbu- Mini Project EXcel Clean'!G492:G1491," ",0)</f>
        <v>67.099999999999994</v>
      </c>
      <c r="G492" t="str">
        <f>_xlfn.XLOOKUP(A492,'Subbu- Mini Project EXcel Clean'!A492:A1491,'Subbu- Mini Project EXcel Clean'!H492:H1491," ",0)</f>
        <v>Pass</v>
      </c>
      <c r="H492" t="str">
        <f>VLOOKUP(A492,'Subbu- Mini Project EXcel Clean'!A491:R1491,18,)</f>
        <v>Bachelor</v>
      </c>
    </row>
    <row r="493" spans="1:8" x14ac:dyDescent="0.25">
      <c r="A493" t="s">
        <v>521</v>
      </c>
      <c r="B493">
        <f>VLOOKUP(A493,'Subbu- Mini Project EXcel Clean'!A492:R1492,2,FALSE)</f>
        <v>77.2</v>
      </c>
      <c r="C493">
        <f>VLOOKUP(A493,'Subbu- Mini Project EXcel Clean'!A492:R1492,3,FALSE)</f>
        <v>71.7</v>
      </c>
      <c r="D493">
        <f>_xlfn.XLOOKUP(A493,'Subbu- Mini Project EXcel Clean'!A493:A1492,'Subbu- Mini Project EXcel Clean'!D493:D1492,"Entry Level",0)</f>
        <v>69.7</v>
      </c>
      <c r="E493">
        <f>_xlfn.XLOOKUP(A493,'Subbu- Mini Project EXcel Clean'!A493:A1492,'Subbu- Mini Project EXcel Clean'!F493:F1492,"Entry Level",0)</f>
        <v>81.400000000000006</v>
      </c>
      <c r="F493">
        <f>_xlfn.XLOOKUP(A493,'Subbu- Mini Project EXcel Clean'!A493:A1492,'Subbu- Mini Project EXcel Clean'!G493:G1492," ",0)</f>
        <v>77.75</v>
      </c>
      <c r="G493" t="str">
        <f>_xlfn.XLOOKUP(A493,'Subbu- Mini Project EXcel Clean'!A493:A1492,'Subbu- Mini Project EXcel Clean'!H493:H1492," ",0)</f>
        <v>Pass</v>
      </c>
      <c r="H493" t="str">
        <f>VLOOKUP(A493,'Subbu- Mini Project EXcel Clean'!A492:R1492,18,)</f>
        <v>Master</v>
      </c>
    </row>
    <row r="494" spans="1:8" x14ac:dyDescent="0.25">
      <c r="A494" t="s">
        <v>522</v>
      </c>
      <c r="B494">
        <f>VLOOKUP(A494,'Subbu- Mini Project EXcel Clean'!A493:R1493,2,FALSE)</f>
        <v>49.8</v>
      </c>
      <c r="C494">
        <f>VLOOKUP(A494,'Subbu- Mini Project EXcel Clean'!A493:R1493,3,FALSE)</f>
        <v>51.9</v>
      </c>
      <c r="D494">
        <f>_xlfn.XLOOKUP(A494,'Subbu- Mini Project EXcel Clean'!A494:A1493,'Subbu- Mini Project EXcel Clean'!D494:D1493,"Entry Level",0)</f>
        <v>59.7</v>
      </c>
      <c r="E494">
        <f>_xlfn.XLOOKUP(A494,'Subbu- Mini Project EXcel Clean'!A494:A1493,'Subbu- Mini Project EXcel Clean'!F494:F1493,"Entry Level",0)</f>
        <v>56.4</v>
      </c>
      <c r="F494">
        <f>_xlfn.XLOOKUP(A494,'Subbu- Mini Project EXcel Clean'!A494:A1493,'Subbu- Mini Project EXcel Clean'!G494:G1493," ",0)</f>
        <v>55.85</v>
      </c>
      <c r="G494" t="str">
        <f>_xlfn.XLOOKUP(A494,'Subbu- Mini Project EXcel Clean'!A494:A1493,'Subbu- Mini Project EXcel Clean'!H494:H1493," ",0)</f>
        <v>Pass</v>
      </c>
      <c r="H494" t="str">
        <f>VLOOKUP(A494,'Subbu- Mini Project EXcel Clean'!A493:R1493,18,)</f>
        <v>Bachelor</v>
      </c>
    </row>
    <row r="495" spans="1:8" x14ac:dyDescent="0.25">
      <c r="A495" t="s">
        <v>523</v>
      </c>
      <c r="B495">
        <f>VLOOKUP(A495,'Subbu- Mini Project EXcel Clean'!A494:R1494,2,FALSE)</f>
        <v>48.8</v>
      </c>
      <c r="C495">
        <f>VLOOKUP(A495,'Subbu- Mini Project EXcel Clean'!A494:R1494,3,FALSE)</f>
        <v>50.5</v>
      </c>
      <c r="D495">
        <f>_xlfn.XLOOKUP(A495,'Subbu- Mini Project EXcel Clean'!A495:A1494,'Subbu- Mini Project EXcel Clean'!D495:D1494,"Entry Level",0)</f>
        <v>54</v>
      </c>
      <c r="E495">
        <f>_xlfn.XLOOKUP(A495,'Subbu- Mini Project EXcel Clean'!A495:A1494,'Subbu- Mini Project EXcel Clean'!F495:F1494,"Entry Level",0)</f>
        <v>65.5</v>
      </c>
      <c r="F495">
        <f>_xlfn.XLOOKUP(A495,'Subbu- Mini Project EXcel Clean'!A495:A1494,'Subbu- Mini Project EXcel Clean'!G495:G1494," ",0)</f>
        <v>57.9</v>
      </c>
      <c r="G495" t="str">
        <f>_xlfn.XLOOKUP(A495,'Subbu- Mini Project EXcel Clean'!A495:A1494,'Subbu- Mini Project EXcel Clean'!H495:H1494," ",0)</f>
        <v>Pass</v>
      </c>
      <c r="H495" t="str">
        <f>VLOOKUP(A495,'Subbu- Mini Project EXcel Clean'!A494:R1494,18,)</f>
        <v>Master</v>
      </c>
    </row>
    <row r="496" spans="1:8" x14ac:dyDescent="0.25">
      <c r="A496" t="s">
        <v>524</v>
      </c>
      <c r="B496">
        <f>VLOOKUP(A496,'Subbu- Mini Project EXcel Clean'!A495:R1495,2,FALSE)</f>
        <v>71.599999999999994</v>
      </c>
      <c r="C496">
        <f>VLOOKUP(A496,'Subbu- Mini Project EXcel Clean'!A495:R1495,3,FALSE)</f>
        <v>60.1</v>
      </c>
      <c r="D496">
        <f>_xlfn.XLOOKUP(A496,'Subbu- Mini Project EXcel Clean'!A496:A1495,'Subbu- Mini Project EXcel Clean'!D496:D1495,"Entry Level",0)</f>
        <v>60.9</v>
      </c>
      <c r="E496">
        <f>_xlfn.XLOOKUP(A496,'Subbu- Mini Project EXcel Clean'!A496:A1495,'Subbu- Mini Project EXcel Clean'!F496:F1495,"Entry Level",0)</f>
        <v>67</v>
      </c>
      <c r="F496">
        <f>_xlfn.XLOOKUP(A496,'Subbu- Mini Project EXcel Clean'!A496:A1495,'Subbu- Mini Project EXcel Clean'!G496:G1495," ",0)</f>
        <v>66.25</v>
      </c>
      <c r="G496" t="str">
        <f>_xlfn.XLOOKUP(A496,'Subbu- Mini Project EXcel Clean'!A496:A1495,'Subbu- Mini Project EXcel Clean'!H496:H1495," ",0)</f>
        <v>Pass</v>
      </c>
      <c r="H496" t="str">
        <f>VLOOKUP(A496,'Subbu- Mini Project EXcel Clean'!A495:R1495,18,)</f>
        <v>Master</v>
      </c>
    </row>
    <row r="497" spans="1:8" x14ac:dyDescent="0.25">
      <c r="A497" t="s">
        <v>525</v>
      </c>
      <c r="B497">
        <f>VLOOKUP(A497,'Subbu- Mini Project EXcel Clean'!A496:R1496,2,FALSE)</f>
        <v>60.1</v>
      </c>
      <c r="C497">
        <f>VLOOKUP(A497,'Subbu- Mini Project EXcel Clean'!A496:R1496,3,FALSE)</f>
        <v>54</v>
      </c>
      <c r="D497">
        <f>_xlfn.XLOOKUP(A497,'Subbu- Mini Project EXcel Clean'!A497:A1496,'Subbu- Mini Project EXcel Clean'!D497:D1496,"Entry Level",0)</f>
        <v>66.2</v>
      </c>
      <c r="E497">
        <f>_xlfn.XLOOKUP(A497,'Subbu- Mini Project EXcel Clean'!A497:A1496,'Subbu- Mini Project EXcel Clean'!F497:F1496,"Entry Level",0)</f>
        <v>66.3</v>
      </c>
      <c r="F497">
        <f>_xlfn.XLOOKUP(A497,'Subbu- Mini Project EXcel Clean'!A497:A1496,'Subbu- Mini Project EXcel Clean'!G497:G1496," ",0)</f>
        <v>62.85</v>
      </c>
      <c r="G497" t="str">
        <f>_xlfn.XLOOKUP(A497,'Subbu- Mini Project EXcel Clean'!A497:A1496,'Subbu- Mini Project EXcel Clean'!H497:H1496," ",0)</f>
        <v>Pass</v>
      </c>
      <c r="H497" t="str">
        <f>VLOOKUP(A497,'Subbu- Mini Project EXcel Clean'!A496:R1496,18,)</f>
        <v>Master</v>
      </c>
    </row>
    <row r="498" spans="1:8" x14ac:dyDescent="0.25">
      <c r="A498" t="s">
        <v>526</v>
      </c>
      <c r="B498">
        <f>VLOOKUP(A498,'Subbu- Mini Project EXcel Clean'!A497:R1497,2,FALSE)</f>
        <v>83.7</v>
      </c>
      <c r="C498">
        <f>VLOOKUP(A498,'Subbu- Mini Project EXcel Clean'!A497:R1497,3,FALSE)</f>
        <v>75.5</v>
      </c>
      <c r="D498">
        <f>_xlfn.XLOOKUP(A498,'Subbu- Mini Project EXcel Clean'!A498:A1497,'Subbu- Mini Project EXcel Clean'!D498:D1497,"Entry Level",0)</f>
        <v>78</v>
      </c>
      <c r="E498">
        <f>_xlfn.XLOOKUP(A498,'Subbu- Mini Project EXcel Clean'!A498:A1497,'Subbu- Mini Project EXcel Clean'!F498:F1497,"Entry Level",0)</f>
        <v>81.599999999999994</v>
      </c>
      <c r="F498">
        <f>_xlfn.XLOOKUP(A498,'Subbu- Mini Project EXcel Clean'!A498:A1497,'Subbu- Mini Project EXcel Clean'!G498:G1497," ",0)</f>
        <v>76.849999999999994</v>
      </c>
      <c r="G498" t="str">
        <f>_xlfn.XLOOKUP(A498,'Subbu- Mini Project EXcel Clean'!A498:A1497,'Subbu- Mini Project EXcel Clean'!H498:H1497," ",0)</f>
        <v>Pass</v>
      </c>
      <c r="H498" t="str">
        <f>VLOOKUP(A498,'Subbu- Mini Project EXcel Clean'!A497:R1497,18,)</f>
        <v>High School</v>
      </c>
    </row>
    <row r="499" spans="1:8" x14ac:dyDescent="0.25">
      <c r="A499" t="s">
        <v>527</v>
      </c>
      <c r="B499">
        <f>VLOOKUP(A499,'Subbu- Mini Project EXcel Clean'!A498:R1498,2,FALSE)</f>
        <v>46.2</v>
      </c>
      <c r="C499">
        <f>VLOOKUP(A499,'Subbu- Mini Project EXcel Clean'!A498:R1498,3,FALSE)</f>
        <v>38.5</v>
      </c>
      <c r="D499">
        <f>_xlfn.XLOOKUP(A499,'Subbu- Mini Project EXcel Clean'!A499:A1498,'Subbu- Mini Project EXcel Clean'!D499:D1498,"Entry Level",0)</f>
        <v>44.9</v>
      </c>
      <c r="E499">
        <f>_xlfn.XLOOKUP(A499,'Subbu- Mini Project EXcel Clean'!A499:A1498,'Subbu- Mini Project EXcel Clean'!F499:F1498,"Entry Level",0)</f>
        <v>50.8</v>
      </c>
      <c r="F499">
        <f>_xlfn.XLOOKUP(A499,'Subbu- Mini Project EXcel Clean'!A499:A1498,'Subbu- Mini Project EXcel Clean'!G499:G1498," ",0)</f>
        <v>47.55</v>
      </c>
      <c r="G499" t="str">
        <f>_xlfn.XLOOKUP(A499,'Subbu- Mini Project EXcel Clean'!A499:A1498,'Subbu- Mini Project EXcel Clean'!H499:H1498," ",0)</f>
        <v>Fail</v>
      </c>
      <c r="H499" t="str">
        <f>VLOOKUP(A499,'Subbu- Mini Project EXcel Clean'!A498:R1498,18,)</f>
        <v>Bachelor</v>
      </c>
    </row>
    <row r="500" spans="1:8" x14ac:dyDescent="0.25">
      <c r="A500" t="s">
        <v>528</v>
      </c>
      <c r="B500">
        <f>VLOOKUP(A500,'Subbu- Mini Project EXcel Clean'!A499:R1499,2,FALSE)</f>
        <v>94.6</v>
      </c>
      <c r="C500">
        <f>VLOOKUP(A500,'Subbu- Mini Project EXcel Clean'!A499:R1499,3,FALSE)</f>
        <v>96.9</v>
      </c>
      <c r="D500">
        <f>_xlfn.XLOOKUP(A500,'Subbu- Mini Project EXcel Clean'!A500:A1499,'Subbu- Mini Project EXcel Clean'!D500:D1499,"Entry Level",0)</f>
        <v>94</v>
      </c>
      <c r="E500">
        <f>_xlfn.XLOOKUP(A500,'Subbu- Mini Project EXcel Clean'!A500:A1499,'Subbu- Mini Project EXcel Clean'!F500:F1499,"Entry Level",0)</f>
        <v>79.7</v>
      </c>
      <c r="F500">
        <f>_xlfn.XLOOKUP(A500,'Subbu- Mini Project EXcel Clean'!A500:A1499,'Subbu- Mini Project EXcel Clean'!G500:G1499," ",0)</f>
        <v>86.65</v>
      </c>
      <c r="G500" t="str">
        <f>_xlfn.XLOOKUP(A500,'Subbu- Mini Project EXcel Clean'!A500:A1499,'Subbu- Mini Project EXcel Clean'!H500:H1499," ",0)</f>
        <v>Pass</v>
      </c>
      <c r="H500" t="str">
        <f>VLOOKUP(A500,'Subbu- Mini Project EXcel Clean'!A499:R1499,18,)</f>
        <v>High School</v>
      </c>
    </row>
    <row r="501" spans="1:8" x14ac:dyDescent="0.25">
      <c r="A501" t="s">
        <v>529</v>
      </c>
      <c r="B501">
        <f>VLOOKUP(A501,'Subbu- Mini Project EXcel Clean'!A500:R1500,2,FALSE)</f>
        <v>92.7</v>
      </c>
      <c r="C501">
        <f>VLOOKUP(A501,'Subbu- Mini Project EXcel Clean'!A500:R1500,3,FALSE)</f>
        <v>96.6</v>
      </c>
      <c r="D501">
        <f>_xlfn.XLOOKUP(A501,'Subbu- Mini Project EXcel Clean'!A501:A1500,'Subbu- Mini Project EXcel Clean'!D501:D1500,"Entry Level",0)</f>
        <v>97</v>
      </c>
      <c r="E501">
        <f>_xlfn.XLOOKUP(A501,'Subbu- Mini Project EXcel Clean'!A501:A1500,'Subbu- Mini Project EXcel Clean'!F501:F1500,"Entry Level",0)</f>
        <v>97.8</v>
      </c>
      <c r="F501">
        <f>_xlfn.XLOOKUP(A501,'Subbu- Mini Project EXcel Clean'!A501:A1500,'Subbu- Mini Project EXcel Clean'!G501:G1500," ",0)</f>
        <v>96</v>
      </c>
      <c r="G501" t="str">
        <f>_xlfn.XLOOKUP(A501,'Subbu- Mini Project EXcel Clean'!A501:A1500,'Subbu- Mini Project EXcel Clean'!H501:H1500," ",0)</f>
        <v>Pass</v>
      </c>
      <c r="H501" t="str">
        <f>VLOOKUP(A501,'Subbu- Mini Project EXcel Clean'!A500:R1500,18,)</f>
        <v>Bachelor</v>
      </c>
    </row>
    <row r="502" spans="1:8" x14ac:dyDescent="0.25">
      <c r="A502" t="s">
        <v>530</v>
      </c>
      <c r="B502">
        <f>VLOOKUP(A502,'Subbu- Mini Project EXcel Clean'!A501:R1501,2,FALSE)</f>
        <v>79.099999999999994</v>
      </c>
      <c r="C502">
        <f>VLOOKUP(A502,'Subbu- Mini Project EXcel Clean'!A501:R1501,3,FALSE)</f>
        <v>69.8</v>
      </c>
      <c r="D502">
        <f>_xlfn.XLOOKUP(A502,'Subbu- Mini Project EXcel Clean'!A502:A1501,'Subbu- Mini Project EXcel Clean'!D502:D1501,"Entry Level",0)</f>
        <v>74.099999999999994</v>
      </c>
      <c r="E502">
        <f>_xlfn.XLOOKUP(A502,'Subbu- Mini Project EXcel Clean'!A502:A1501,'Subbu- Mini Project EXcel Clean'!F502:F1501,"Entry Level",0)</f>
        <v>74.400000000000006</v>
      </c>
      <c r="F502">
        <f>_xlfn.XLOOKUP(A502,'Subbu- Mini Project EXcel Clean'!A502:A1501,'Subbu- Mini Project EXcel Clean'!G502:G1501," ",0)</f>
        <v>76.400000000000006</v>
      </c>
      <c r="G502" t="str">
        <f>_xlfn.XLOOKUP(A502,'Subbu- Mini Project EXcel Clean'!A502:A1501,'Subbu- Mini Project EXcel Clean'!H502:H1501," ",0)</f>
        <v>Pass</v>
      </c>
      <c r="H502" t="str">
        <f>VLOOKUP(A502,'Subbu- Mini Project EXcel Clean'!A501:R1501,18,)</f>
        <v>High School</v>
      </c>
    </row>
    <row r="503" spans="1:8" x14ac:dyDescent="0.25">
      <c r="A503" t="s">
        <v>531</v>
      </c>
      <c r="B503">
        <f>VLOOKUP(A503,'Subbu- Mini Project EXcel Clean'!A502:R1502,2,FALSE)</f>
        <v>68.7</v>
      </c>
      <c r="C503">
        <f>VLOOKUP(A503,'Subbu- Mini Project EXcel Clean'!A502:R1502,3,FALSE)</f>
        <v>66.099999999999994</v>
      </c>
      <c r="D503">
        <f>_xlfn.XLOOKUP(A503,'Subbu- Mini Project EXcel Clean'!A503:A1502,'Subbu- Mini Project EXcel Clean'!D503:D1502,"Entry Level",0)</f>
        <v>69.599999999999994</v>
      </c>
      <c r="E503">
        <f>_xlfn.XLOOKUP(A503,'Subbu- Mini Project EXcel Clean'!A503:A1502,'Subbu- Mini Project EXcel Clean'!F503:F1502,"Entry Level",0)</f>
        <v>65.3</v>
      </c>
      <c r="F503">
        <f>_xlfn.XLOOKUP(A503,'Subbu- Mini Project EXcel Clean'!A503:A1502,'Subbu- Mini Project EXcel Clean'!G503:G1502," ",0)</f>
        <v>67.400000000000006</v>
      </c>
      <c r="G503" t="str">
        <f>_xlfn.XLOOKUP(A503,'Subbu- Mini Project EXcel Clean'!A503:A1502,'Subbu- Mini Project EXcel Clean'!H503:H1502," ",0)</f>
        <v>Pass</v>
      </c>
      <c r="H503" t="str">
        <f>VLOOKUP(A503,'Subbu- Mini Project EXcel Clean'!A502:R1502,18,)</f>
        <v>High School</v>
      </c>
    </row>
    <row r="504" spans="1:8" x14ac:dyDescent="0.25">
      <c r="A504" t="s">
        <v>532</v>
      </c>
      <c r="B504">
        <f>VLOOKUP(A504,'Subbu- Mini Project EXcel Clean'!A503:R1503,2,FALSE)</f>
        <v>60.6</v>
      </c>
      <c r="C504">
        <f>VLOOKUP(A504,'Subbu- Mini Project EXcel Clean'!A503:R1503,3,FALSE)</f>
        <v>63</v>
      </c>
      <c r="D504">
        <f>_xlfn.XLOOKUP(A504,'Subbu- Mini Project EXcel Clean'!A504:A1503,'Subbu- Mini Project EXcel Clean'!D504:D1503,"Entry Level",0)</f>
        <v>46.3</v>
      </c>
      <c r="E504">
        <f>_xlfn.XLOOKUP(A504,'Subbu- Mini Project EXcel Clean'!A504:A1503,'Subbu- Mini Project EXcel Clean'!F504:F1503,"Entry Level",0)</f>
        <v>57.7</v>
      </c>
      <c r="F504">
        <f>_xlfn.XLOOKUP(A504,'Subbu- Mini Project EXcel Clean'!A504:A1503,'Subbu- Mini Project EXcel Clean'!G504:G1503," ",0)</f>
        <v>57.35</v>
      </c>
      <c r="G504" t="str">
        <f>_xlfn.XLOOKUP(A504,'Subbu- Mini Project EXcel Clean'!A504:A1503,'Subbu- Mini Project EXcel Clean'!H504:H1503," ",0)</f>
        <v>Pass</v>
      </c>
      <c r="H504" t="str">
        <f>VLOOKUP(A504,'Subbu- Mini Project EXcel Clean'!A503:R1503,18,)</f>
        <v>Master</v>
      </c>
    </row>
    <row r="505" spans="1:8" x14ac:dyDescent="0.25">
      <c r="A505" t="s">
        <v>533</v>
      </c>
      <c r="B505">
        <f>VLOOKUP(A505,'Subbu- Mini Project EXcel Clean'!A504:R1504,2,FALSE)</f>
        <v>89.5</v>
      </c>
      <c r="C505">
        <f>VLOOKUP(A505,'Subbu- Mini Project EXcel Clean'!A504:R1504,3,FALSE)</f>
        <v>79.900000000000006</v>
      </c>
      <c r="D505">
        <f>_xlfn.XLOOKUP(A505,'Subbu- Mini Project EXcel Clean'!A505:A1504,'Subbu- Mini Project EXcel Clean'!D505:D1504,"Entry Level",0)</f>
        <v>89.1</v>
      </c>
      <c r="E505">
        <f>_xlfn.XLOOKUP(A505,'Subbu- Mini Project EXcel Clean'!A505:A1504,'Subbu- Mini Project EXcel Clean'!F505:F1504,"Entry Level",0)</f>
        <v>79.400000000000006</v>
      </c>
      <c r="F505">
        <f>_xlfn.XLOOKUP(A505,'Subbu- Mini Project EXcel Clean'!A505:A1504,'Subbu- Mini Project EXcel Clean'!G505:G1504," ",0)</f>
        <v>82.1</v>
      </c>
      <c r="G505" t="str">
        <f>_xlfn.XLOOKUP(A505,'Subbu- Mini Project EXcel Clean'!A505:A1504,'Subbu- Mini Project EXcel Clean'!H505:H1504," ",0)</f>
        <v>Pass</v>
      </c>
      <c r="H505" t="str">
        <f>VLOOKUP(A505,'Subbu- Mini Project EXcel Clean'!A504:R1504,18,)</f>
        <v>Master</v>
      </c>
    </row>
    <row r="506" spans="1:8" x14ac:dyDescent="0.25">
      <c r="A506" t="s">
        <v>534</v>
      </c>
      <c r="B506">
        <f>VLOOKUP(A506,'Subbu- Mini Project EXcel Clean'!A505:R1505,2,FALSE)</f>
        <v>73.7</v>
      </c>
      <c r="C506">
        <f>VLOOKUP(A506,'Subbu- Mini Project EXcel Clean'!A505:R1505,3,FALSE)</f>
        <v>75.3</v>
      </c>
      <c r="D506">
        <f>_xlfn.XLOOKUP(A506,'Subbu- Mini Project EXcel Clean'!A506:A1505,'Subbu- Mini Project EXcel Clean'!D506:D1505,"Entry Level",0)</f>
        <v>69.900000000000006</v>
      </c>
      <c r="E506">
        <f>_xlfn.XLOOKUP(A506,'Subbu- Mini Project EXcel Clean'!A506:A1505,'Subbu- Mini Project EXcel Clean'!F506:F1505,"Entry Level",0)</f>
        <v>89</v>
      </c>
      <c r="F506">
        <f>_xlfn.XLOOKUP(A506,'Subbu- Mini Project EXcel Clean'!A506:A1505,'Subbu- Mini Project EXcel Clean'!G506:G1505," ",0)</f>
        <v>83.35</v>
      </c>
      <c r="G506" t="str">
        <f>_xlfn.XLOOKUP(A506,'Subbu- Mini Project EXcel Clean'!A506:A1505,'Subbu- Mini Project EXcel Clean'!H506:H1505," ",0)</f>
        <v>Pass</v>
      </c>
      <c r="H506" t="str">
        <f>VLOOKUP(A506,'Subbu- Mini Project EXcel Clean'!A505:R1505,18,)</f>
        <v>High School</v>
      </c>
    </row>
    <row r="507" spans="1:8" x14ac:dyDescent="0.25">
      <c r="A507" t="s">
        <v>535</v>
      </c>
      <c r="B507">
        <f>VLOOKUP(A507,'Subbu- Mini Project EXcel Clean'!A506:R1506,2,FALSE)</f>
        <v>42.3</v>
      </c>
      <c r="C507">
        <f>VLOOKUP(A507,'Subbu- Mini Project EXcel Clean'!A506:R1506,3,FALSE)</f>
        <v>51.3</v>
      </c>
      <c r="D507">
        <f>_xlfn.XLOOKUP(A507,'Subbu- Mini Project EXcel Clean'!A507:A1506,'Subbu- Mini Project EXcel Clean'!D507:D1506,"Entry Level",0)</f>
        <v>56.5</v>
      </c>
      <c r="E507">
        <f>_xlfn.XLOOKUP(A507,'Subbu- Mini Project EXcel Clean'!A507:A1506,'Subbu- Mini Project EXcel Clean'!F507:F1506,"Entry Level",0)</f>
        <v>43.8</v>
      </c>
      <c r="F507">
        <f>_xlfn.XLOOKUP(A507,'Subbu- Mini Project EXcel Clean'!A507:A1506,'Subbu- Mini Project EXcel Clean'!G507:G1506," ",0)</f>
        <v>46.35</v>
      </c>
      <c r="G507" t="str">
        <f>_xlfn.XLOOKUP(A507,'Subbu- Mini Project EXcel Clean'!A507:A1506,'Subbu- Mini Project EXcel Clean'!H507:H1506," ",0)</f>
        <v>Fail</v>
      </c>
      <c r="H507" t="str">
        <f>VLOOKUP(A507,'Subbu- Mini Project EXcel Clean'!A506:R1506,18,)</f>
        <v>Bachelor</v>
      </c>
    </row>
    <row r="508" spans="1:8" x14ac:dyDescent="0.25">
      <c r="A508" t="s">
        <v>536</v>
      </c>
      <c r="B508">
        <f>VLOOKUP(A508,'Subbu- Mini Project EXcel Clean'!A507:R1507,2,FALSE)</f>
        <v>80.900000000000006</v>
      </c>
      <c r="C508">
        <f>VLOOKUP(A508,'Subbu- Mini Project EXcel Clean'!A507:R1507,3,FALSE)</f>
        <v>94</v>
      </c>
      <c r="D508">
        <f>_xlfn.XLOOKUP(A508,'Subbu- Mini Project EXcel Clean'!A508:A1507,'Subbu- Mini Project EXcel Clean'!D508:D1507,"Entry Level",0)</f>
        <v>88.5</v>
      </c>
      <c r="E508">
        <f>_xlfn.XLOOKUP(A508,'Subbu- Mini Project EXcel Clean'!A508:A1507,'Subbu- Mini Project EXcel Clean'!F508:F1507,"Entry Level",0)</f>
        <v>81.599999999999994</v>
      </c>
      <c r="F508">
        <f>_xlfn.XLOOKUP(A508,'Subbu- Mini Project EXcel Clean'!A508:A1507,'Subbu- Mini Project EXcel Clean'!G508:G1507," ",0)</f>
        <v>85.85</v>
      </c>
      <c r="G508" t="str">
        <f>_xlfn.XLOOKUP(A508,'Subbu- Mini Project EXcel Clean'!A508:A1507,'Subbu- Mini Project EXcel Clean'!H508:H1507," ",0)</f>
        <v>Pass</v>
      </c>
      <c r="H508" t="str">
        <f>VLOOKUP(A508,'Subbu- Mini Project EXcel Clean'!A507:R1507,18,)</f>
        <v>Bachelor</v>
      </c>
    </row>
    <row r="509" spans="1:8" x14ac:dyDescent="0.25">
      <c r="A509" t="s">
        <v>537</v>
      </c>
      <c r="B509">
        <f>VLOOKUP(A509,'Subbu- Mini Project EXcel Clean'!A508:R1508,2,FALSE)</f>
        <v>87.8</v>
      </c>
      <c r="C509">
        <f>VLOOKUP(A509,'Subbu- Mini Project EXcel Clean'!A508:R1508,3,FALSE)</f>
        <v>84</v>
      </c>
      <c r="D509">
        <f>_xlfn.XLOOKUP(A509,'Subbu- Mini Project EXcel Clean'!A509:A1508,'Subbu- Mini Project EXcel Clean'!D509:D1508,"Entry Level",0)</f>
        <v>84.2</v>
      </c>
      <c r="E509">
        <f>_xlfn.XLOOKUP(A509,'Subbu- Mini Project EXcel Clean'!A509:A1508,'Subbu- Mini Project EXcel Clean'!F509:F1508,"Entry Level",0)</f>
        <v>80.099999999999994</v>
      </c>
      <c r="F509">
        <f>_xlfn.XLOOKUP(A509,'Subbu- Mini Project EXcel Clean'!A509:A1508,'Subbu- Mini Project EXcel Clean'!G509:G1508," ",0)</f>
        <v>82.65</v>
      </c>
      <c r="G509" t="str">
        <f>_xlfn.XLOOKUP(A509,'Subbu- Mini Project EXcel Clean'!A509:A1508,'Subbu- Mini Project EXcel Clean'!H509:H1508," ",0)</f>
        <v>Pass</v>
      </c>
      <c r="H509" t="str">
        <f>VLOOKUP(A509,'Subbu- Mini Project EXcel Clean'!A508:R1508,18,)</f>
        <v>Master</v>
      </c>
    </row>
    <row r="510" spans="1:8" x14ac:dyDescent="0.25">
      <c r="A510" t="s">
        <v>538</v>
      </c>
      <c r="B510">
        <f>VLOOKUP(A510,'Subbu- Mini Project EXcel Clean'!A509:R1509,2,FALSE)</f>
        <v>86.7</v>
      </c>
      <c r="C510">
        <f>VLOOKUP(A510,'Subbu- Mini Project EXcel Clean'!A509:R1509,3,FALSE)</f>
        <v>89.3</v>
      </c>
      <c r="D510">
        <f>_xlfn.XLOOKUP(A510,'Subbu- Mini Project EXcel Clean'!A510:A1509,'Subbu- Mini Project EXcel Clean'!D510:D1509,"Entry Level",0)</f>
        <v>89.1</v>
      </c>
      <c r="E510">
        <f>_xlfn.XLOOKUP(A510,'Subbu- Mini Project EXcel Clean'!A510:A1509,'Subbu- Mini Project EXcel Clean'!F510:F1509,"Entry Level",0)</f>
        <v>90.2</v>
      </c>
      <c r="F510">
        <f>_xlfn.XLOOKUP(A510,'Subbu- Mini Project EXcel Clean'!A510:A1509,'Subbu- Mini Project EXcel Clean'!G510:G1509," ",0)</f>
        <v>91.2</v>
      </c>
      <c r="G510" t="str">
        <f>_xlfn.XLOOKUP(A510,'Subbu- Mini Project EXcel Clean'!A510:A1509,'Subbu- Mini Project EXcel Clean'!H510:H1509," ",0)</f>
        <v>Pass</v>
      </c>
      <c r="H510" t="str">
        <f>VLOOKUP(A510,'Subbu- Mini Project EXcel Clean'!A509:R1509,18,)</f>
        <v>Master</v>
      </c>
    </row>
    <row r="511" spans="1:8" x14ac:dyDescent="0.25">
      <c r="A511" t="s">
        <v>539</v>
      </c>
      <c r="B511">
        <f>VLOOKUP(A511,'Subbu- Mini Project EXcel Clean'!A510:R1510,2,FALSE)</f>
        <v>69.2</v>
      </c>
      <c r="C511">
        <f>VLOOKUP(A511,'Subbu- Mini Project EXcel Clean'!A510:R1510,3,FALSE)</f>
        <v>87</v>
      </c>
      <c r="D511">
        <f>_xlfn.XLOOKUP(A511,'Subbu- Mini Project EXcel Clean'!A511:A1510,'Subbu- Mini Project EXcel Clean'!D511:D1510,"Entry Level",0)</f>
        <v>78.5</v>
      </c>
      <c r="E511">
        <f>_xlfn.XLOOKUP(A511,'Subbu- Mini Project EXcel Clean'!A511:A1510,'Subbu- Mini Project EXcel Clean'!F511:F1510,"Entry Level",0)</f>
        <v>76.2</v>
      </c>
      <c r="F511">
        <f>_xlfn.XLOOKUP(A511,'Subbu- Mini Project EXcel Clean'!A511:A1510,'Subbu- Mini Project EXcel Clean'!G511:G1510," ",0)</f>
        <v>78.05</v>
      </c>
      <c r="G511" t="str">
        <f>_xlfn.XLOOKUP(A511,'Subbu- Mini Project EXcel Clean'!A511:A1510,'Subbu- Mini Project EXcel Clean'!H511:H1510," ",0)</f>
        <v>Pass</v>
      </c>
      <c r="H511" t="str">
        <f>VLOOKUP(A511,'Subbu- Mini Project EXcel Clean'!A510:R1510,18,)</f>
        <v>Bachelor</v>
      </c>
    </row>
    <row r="512" spans="1:8" x14ac:dyDescent="0.25">
      <c r="A512" t="s">
        <v>540</v>
      </c>
      <c r="B512">
        <f>VLOOKUP(A512,'Subbu- Mini Project EXcel Clean'!A511:R1511,2,FALSE)</f>
        <v>75.7</v>
      </c>
      <c r="C512">
        <f>VLOOKUP(A512,'Subbu- Mini Project EXcel Clean'!A511:R1511,3,FALSE)</f>
        <v>82.4</v>
      </c>
      <c r="D512">
        <f>_xlfn.XLOOKUP(A512,'Subbu- Mini Project EXcel Clean'!A512:A1511,'Subbu- Mini Project EXcel Clean'!D512:D1511,"Entry Level",0)</f>
        <v>80.8</v>
      </c>
      <c r="E512">
        <f>_xlfn.XLOOKUP(A512,'Subbu- Mini Project EXcel Clean'!A512:A1511,'Subbu- Mini Project EXcel Clean'!F512:F1511,"Entry Level",0)</f>
        <v>68.599999999999994</v>
      </c>
      <c r="F512">
        <f>_xlfn.XLOOKUP(A512,'Subbu- Mini Project EXcel Clean'!A512:A1511,'Subbu- Mini Project EXcel Clean'!G512:G1511," ",0)</f>
        <v>71.150000000000006</v>
      </c>
      <c r="G512" t="str">
        <f>_xlfn.XLOOKUP(A512,'Subbu- Mini Project EXcel Clean'!A512:A1511,'Subbu- Mini Project EXcel Clean'!H512:H1511," ",0)</f>
        <v>Pass</v>
      </c>
      <c r="H512" t="str">
        <f>VLOOKUP(A512,'Subbu- Mini Project EXcel Clean'!A511:R1511,18,)</f>
        <v>Bachelor</v>
      </c>
    </row>
    <row r="513" spans="1:8" x14ac:dyDescent="0.25">
      <c r="A513" t="s">
        <v>541</v>
      </c>
      <c r="B513">
        <f>VLOOKUP(A513,'Subbu- Mini Project EXcel Clean'!A512:R1512,2,FALSE)</f>
        <v>75.5</v>
      </c>
      <c r="C513">
        <f>VLOOKUP(A513,'Subbu- Mini Project EXcel Clean'!A512:R1512,3,FALSE)</f>
        <v>67.900000000000006</v>
      </c>
      <c r="D513">
        <f>_xlfn.XLOOKUP(A513,'Subbu- Mini Project EXcel Clean'!A513:A1512,'Subbu- Mini Project EXcel Clean'!D513:D1512,"Entry Level",0)</f>
        <v>50.6</v>
      </c>
      <c r="E513">
        <f>_xlfn.XLOOKUP(A513,'Subbu- Mini Project EXcel Clean'!A513:A1512,'Subbu- Mini Project EXcel Clean'!F513:F1512,"Entry Level",0)</f>
        <v>79.599999999999994</v>
      </c>
      <c r="F513">
        <f>_xlfn.XLOOKUP(A513,'Subbu- Mini Project EXcel Clean'!A513:A1512,'Subbu- Mini Project EXcel Clean'!G513:G1512," ",0)</f>
        <v>71.3</v>
      </c>
      <c r="G513" t="str">
        <f>_xlfn.XLOOKUP(A513,'Subbu- Mini Project EXcel Clean'!A513:A1512,'Subbu- Mini Project EXcel Clean'!H513:H1512," ",0)</f>
        <v>Pass</v>
      </c>
      <c r="H513" t="str">
        <f>VLOOKUP(A513,'Subbu- Mini Project EXcel Clean'!A512:R1512,18,)</f>
        <v>Bachelor</v>
      </c>
    </row>
    <row r="514" spans="1:8" x14ac:dyDescent="0.25">
      <c r="A514" t="s">
        <v>542</v>
      </c>
      <c r="B514">
        <f>VLOOKUP(A514,'Subbu- Mini Project EXcel Clean'!A513:R1513,2,FALSE)</f>
        <v>91.3</v>
      </c>
      <c r="C514">
        <f>VLOOKUP(A514,'Subbu- Mini Project EXcel Clean'!A513:R1513,3,FALSE)</f>
        <v>91.7</v>
      </c>
      <c r="D514">
        <f>_xlfn.XLOOKUP(A514,'Subbu- Mini Project EXcel Clean'!A514:A1513,'Subbu- Mini Project EXcel Clean'!D514:D1513,"Entry Level",0)</f>
        <v>97.7</v>
      </c>
      <c r="E514">
        <f>_xlfn.XLOOKUP(A514,'Subbu- Mini Project EXcel Clean'!A514:A1513,'Subbu- Mini Project EXcel Clean'!F514:F1513,"Entry Level",0)</f>
        <v>79.900000000000006</v>
      </c>
      <c r="F514">
        <f>_xlfn.XLOOKUP(A514,'Subbu- Mini Project EXcel Clean'!A514:A1513,'Subbu- Mini Project EXcel Clean'!G514:G1513," ",0)</f>
        <v>85.6</v>
      </c>
      <c r="G514" t="str">
        <f>_xlfn.XLOOKUP(A514,'Subbu- Mini Project EXcel Clean'!A514:A1513,'Subbu- Mini Project EXcel Clean'!H514:H1513," ",0)</f>
        <v>Pass</v>
      </c>
      <c r="H514" t="str">
        <f>VLOOKUP(A514,'Subbu- Mini Project EXcel Clean'!A513:R1513,18,)</f>
        <v>Master</v>
      </c>
    </row>
    <row r="515" spans="1:8" x14ac:dyDescent="0.25">
      <c r="A515" t="s">
        <v>543</v>
      </c>
      <c r="B515">
        <f>VLOOKUP(A515,'Subbu- Mini Project EXcel Clean'!A514:R1514,2,FALSE)</f>
        <v>91.8</v>
      </c>
      <c r="C515">
        <f>VLOOKUP(A515,'Subbu- Mini Project EXcel Clean'!A514:R1514,3,FALSE)</f>
        <v>83.6</v>
      </c>
      <c r="D515">
        <f>_xlfn.XLOOKUP(A515,'Subbu- Mini Project EXcel Clean'!A515:A1514,'Subbu- Mini Project EXcel Clean'!D515:D1514,"Entry Level",0)</f>
        <v>89.3</v>
      </c>
      <c r="E515">
        <f>_xlfn.XLOOKUP(A515,'Subbu- Mini Project EXcel Clean'!A515:A1514,'Subbu- Mini Project EXcel Clean'!F515:F1514,"Entry Level",0)</f>
        <v>100</v>
      </c>
      <c r="F515">
        <f>_xlfn.XLOOKUP(A515,'Subbu- Mini Project EXcel Clean'!A515:A1514,'Subbu- Mini Project EXcel Clean'!G515:G1514," ",0)</f>
        <v>93.8</v>
      </c>
      <c r="G515" t="str">
        <f>_xlfn.XLOOKUP(A515,'Subbu- Mini Project EXcel Clean'!A515:A1514,'Subbu- Mini Project EXcel Clean'!H515:H1514," ",0)</f>
        <v>Pass</v>
      </c>
      <c r="H515" t="str">
        <f>VLOOKUP(A515,'Subbu- Mini Project EXcel Clean'!A514:R1514,18,)</f>
        <v>Bachelor</v>
      </c>
    </row>
    <row r="516" spans="1:8" x14ac:dyDescent="0.25">
      <c r="A516" t="s">
        <v>544</v>
      </c>
      <c r="B516">
        <f>VLOOKUP(A516,'Subbu- Mini Project EXcel Clean'!A515:R1515,2,FALSE)</f>
        <v>42.9</v>
      </c>
      <c r="C516">
        <f>VLOOKUP(A516,'Subbu- Mini Project EXcel Clean'!A515:R1515,3,FALSE)</f>
        <v>38.299999999999997</v>
      </c>
      <c r="D516">
        <f>_xlfn.XLOOKUP(A516,'Subbu- Mini Project EXcel Clean'!A516:A1515,'Subbu- Mini Project EXcel Clean'!D516:D1515,"Entry Level",0)</f>
        <v>36.5</v>
      </c>
      <c r="E516">
        <f>_xlfn.XLOOKUP(A516,'Subbu- Mini Project EXcel Clean'!A516:A1515,'Subbu- Mini Project EXcel Clean'!F516:F1515,"Entry Level",0)</f>
        <v>56.4</v>
      </c>
      <c r="F516">
        <f>_xlfn.XLOOKUP(A516,'Subbu- Mini Project EXcel Clean'!A516:A1515,'Subbu- Mini Project EXcel Clean'!G516:G1515," ",0)</f>
        <v>49.45</v>
      </c>
      <c r="G516" t="str">
        <f>_xlfn.XLOOKUP(A516,'Subbu- Mini Project EXcel Clean'!A516:A1515,'Subbu- Mini Project EXcel Clean'!H516:H1515," ",0)</f>
        <v>Fail</v>
      </c>
      <c r="H516" t="str">
        <f>VLOOKUP(A516,'Subbu- Mini Project EXcel Clean'!A515:R1515,18,)</f>
        <v>Master</v>
      </c>
    </row>
    <row r="517" spans="1:8" x14ac:dyDescent="0.25">
      <c r="A517" t="s">
        <v>545</v>
      </c>
      <c r="B517">
        <f>VLOOKUP(A517,'Subbu- Mini Project EXcel Clean'!A516:R1516,2,FALSE)</f>
        <v>41</v>
      </c>
      <c r="C517">
        <f>VLOOKUP(A517,'Subbu- Mini Project EXcel Clean'!A516:R1516,3,FALSE)</f>
        <v>44.1</v>
      </c>
      <c r="D517">
        <f>_xlfn.XLOOKUP(A517,'Subbu- Mini Project EXcel Clean'!A517:A1516,'Subbu- Mini Project EXcel Clean'!D517:D1516,"Entry Level",0)</f>
        <v>36.1</v>
      </c>
      <c r="E517">
        <f>_xlfn.XLOOKUP(A517,'Subbu- Mini Project EXcel Clean'!A517:A1516,'Subbu- Mini Project EXcel Clean'!F517:F1516,"Entry Level",0)</f>
        <v>47.2</v>
      </c>
      <c r="F517">
        <f>_xlfn.XLOOKUP(A517,'Subbu- Mini Project EXcel Clean'!A517:A1516,'Subbu- Mini Project EXcel Clean'!G517:G1516," ",0)</f>
        <v>44.35</v>
      </c>
      <c r="G517" t="str">
        <f>_xlfn.XLOOKUP(A517,'Subbu- Mini Project EXcel Clean'!A517:A1516,'Subbu- Mini Project EXcel Clean'!H517:H1516," ",0)</f>
        <v>Fail</v>
      </c>
      <c r="H517" t="str">
        <f>VLOOKUP(A517,'Subbu- Mini Project EXcel Clean'!A516:R1516,18,)</f>
        <v>High School</v>
      </c>
    </row>
    <row r="518" spans="1:8" x14ac:dyDescent="0.25">
      <c r="A518" t="s">
        <v>546</v>
      </c>
      <c r="B518">
        <f>VLOOKUP(A518,'Subbu- Mini Project EXcel Clean'!A517:R1517,2,FALSE)</f>
        <v>65.3</v>
      </c>
      <c r="C518">
        <f>VLOOKUP(A518,'Subbu- Mini Project EXcel Clean'!A517:R1517,3,FALSE)</f>
        <v>62.8</v>
      </c>
      <c r="D518">
        <f>_xlfn.XLOOKUP(A518,'Subbu- Mini Project EXcel Clean'!A518:A1517,'Subbu- Mini Project EXcel Clean'!D518:D1517,"Entry Level",0)</f>
        <v>69.099999999999994</v>
      </c>
      <c r="E518">
        <f>_xlfn.XLOOKUP(A518,'Subbu- Mini Project EXcel Clean'!A518:A1517,'Subbu- Mini Project EXcel Clean'!F518:F1517,"Entry Level",0)</f>
        <v>73.2</v>
      </c>
      <c r="F518">
        <f>_xlfn.XLOOKUP(A518,'Subbu- Mini Project EXcel Clean'!A518:A1517,'Subbu- Mini Project EXcel Clean'!G518:G1517," ",0)</f>
        <v>66.95</v>
      </c>
      <c r="G518" t="str">
        <f>_xlfn.XLOOKUP(A518,'Subbu- Mini Project EXcel Clean'!A518:A1517,'Subbu- Mini Project EXcel Clean'!H518:H1517," ",0)</f>
        <v>Pass</v>
      </c>
      <c r="H518" t="str">
        <f>VLOOKUP(A518,'Subbu- Mini Project EXcel Clean'!A517:R1517,18,)</f>
        <v>High School</v>
      </c>
    </row>
    <row r="519" spans="1:8" x14ac:dyDescent="0.25">
      <c r="A519" t="s">
        <v>547</v>
      </c>
      <c r="B519">
        <f>VLOOKUP(A519,'Subbu- Mini Project EXcel Clean'!A518:R1518,2,FALSE)</f>
        <v>83.1</v>
      </c>
      <c r="C519">
        <f>VLOOKUP(A519,'Subbu- Mini Project EXcel Clean'!A518:R1518,3,FALSE)</f>
        <v>91.6</v>
      </c>
      <c r="D519">
        <f>_xlfn.XLOOKUP(A519,'Subbu- Mini Project EXcel Clean'!A519:A1518,'Subbu- Mini Project EXcel Clean'!D519:D1518,"Entry Level",0)</f>
        <v>79.900000000000006</v>
      </c>
      <c r="E519">
        <f>_xlfn.XLOOKUP(A519,'Subbu- Mini Project EXcel Clean'!A519:A1518,'Subbu- Mini Project EXcel Clean'!F519:F1518,"Entry Level",0)</f>
        <v>75.400000000000006</v>
      </c>
      <c r="F519">
        <f>_xlfn.XLOOKUP(A519,'Subbu- Mini Project EXcel Clean'!A519:A1518,'Subbu- Mini Project EXcel Clean'!G519:G1518," ",0)</f>
        <v>80</v>
      </c>
      <c r="G519" t="str">
        <f>_xlfn.XLOOKUP(A519,'Subbu- Mini Project EXcel Clean'!A519:A1518,'Subbu- Mini Project EXcel Clean'!H519:H1518," ",0)</f>
        <v>Pass</v>
      </c>
      <c r="H519" t="str">
        <f>VLOOKUP(A519,'Subbu- Mini Project EXcel Clean'!A518:R1518,18,)</f>
        <v>High School</v>
      </c>
    </row>
    <row r="520" spans="1:8" x14ac:dyDescent="0.25">
      <c r="A520" t="s">
        <v>548</v>
      </c>
      <c r="B520">
        <f>VLOOKUP(A520,'Subbu- Mini Project EXcel Clean'!A519:R1519,2,FALSE)</f>
        <v>95.6</v>
      </c>
      <c r="C520">
        <f>VLOOKUP(A520,'Subbu- Mini Project EXcel Clean'!A519:R1519,3,FALSE)</f>
        <v>97.6</v>
      </c>
      <c r="D520">
        <f>_xlfn.XLOOKUP(A520,'Subbu- Mini Project EXcel Clean'!A520:A1519,'Subbu- Mini Project EXcel Clean'!D520:D1519,"Entry Level",0)</f>
        <v>88.5</v>
      </c>
      <c r="E520">
        <f>_xlfn.XLOOKUP(A520,'Subbu- Mini Project EXcel Clean'!A520:A1519,'Subbu- Mini Project EXcel Clean'!F520:F1519,"Entry Level",0)</f>
        <v>96.9</v>
      </c>
      <c r="F520">
        <f>_xlfn.XLOOKUP(A520,'Subbu- Mini Project EXcel Clean'!A520:A1519,'Subbu- Mini Project EXcel Clean'!G520:G1519," ",0)</f>
        <v>95.6</v>
      </c>
      <c r="G520" t="str">
        <f>_xlfn.XLOOKUP(A520,'Subbu- Mini Project EXcel Clean'!A520:A1519,'Subbu- Mini Project EXcel Clean'!H520:H1519," ",0)</f>
        <v>Pass</v>
      </c>
      <c r="H520" t="str">
        <f>VLOOKUP(A520,'Subbu- Mini Project EXcel Clean'!A519:R1519,18,)</f>
        <v>Bachelor</v>
      </c>
    </row>
    <row r="521" spans="1:8" x14ac:dyDescent="0.25">
      <c r="A521" t="s">
        <v>549</v>
      </c>
      <c r="B521">
        <f>VLOOKUP(A521,'Subbu- Mini Project EXcel Clean'!A520:R1520,2,FALSE)</f>
        <v>49.9</v>
      </c>
      <c r="C521">
        <f>VLOOKUP(A521,'Subbu- Mini Project EXcel Clean'!A520:R1520,3,FALSE)</f>
        <v>40.799999999999997</v>
      </c>
      <c r="D521">
        <f>_xlfn.XLOOKUP(A521,'Subbu- Mini Project EXcel Clean'!A521:A1520,'Subbu- Mini Project EXcel Clean'!D521:D1520,"Entry Level",0)</f>
        <v>54</v>
      </c>
      <c r="E521">
        <f>_xlfn.XLOOKUP(A521,'Subbu- Mini Project EXcel Clean'!A521:A1520,'Subbu- Mini Project EXcel Clean'!F521:F1520,"Entry Level",0)</f>
        <v>49.3</v>
      </c>
      <c r="F521">
        <f>_xlfn.XLOOKUP(A521,'Subbu- Mini Project EXcel Clean'!A521:A1520,'Subbu- Mini Project EXcel Clean'!G521:G1520," ",0)</f>
        <v>48.8</v>
      </c>
      <c r="G521" t="str">
        <f>_xlfn.XLOOKUP(A521,'Subbu- Mini Project EXcel Clean'!A521:A1520,'Subbu- Mini Project EXcel Clean'!H521:H1520," ",0)</f>
        <v>Fail</v>
      </c>
      <c r="H521" t="str">
        <f>VLOOKUP(A521,'Subbu- Mini Project EXcel Clean'!A520:R1520,18,)</f>
        <v>Master</v>
      </c>
    </row>
    <row r="522" spans="1:8" x14ac:dyDescent="0.25">
      <c r="A522" t="s">
        <v>550</v>
      </c>
      <c r="B522">
        <f>VLOOKUP(A522,'Subbu- Mini Project EXcel Clean'!A521:R1521,2,FALSE)</f>
        <v>69.3</v>
      </c>
      <c r="C522">
        <f>VLOOKUP(A522,'Subbu- Mini Project EXcel Clean'!A521:R1521,3,FALSE)</f>
        <v>77.900000000000006</v>
      </c>
      <c r="D522">
        <f>_xlfn.XLOOKUP(A522,'Subbu- Mini Project EXcel Clean'!A522:A1521,'Subbu- Mini Project EXcel Clean'!D522:D1521,"Entry Level",0)</f>
        <v>74.400000000000006</v>
      </c>
      <c r="E522">
        <f>_xlfn.XLOOKUP(A522,'Subbu- Mini Project EXcel Clean'!A522:A1521,'Subbu- Mini Project EXcel Clean'!F522:F1521,"Entry Level",0)</f>
        <v>73.099999999999994</v>
      </c>
      <c r="F522">
        <f>_xlfn.XLOOKUP(A522,'Subbu- Mini Project EXcel Clean'!A522:A1521,'Subbu- Mini Project EXcel Clean'!G522:G1521," ",0)</f>
        <v>72.900000000000006</v>
      </c>
      <c r="G522" t="str">
        <f>_xlfn.XLOOKUP(A522,'Subbu- Mini Project EXcel Clean'!A522:A1521,'Subbu- Mini Project EXcel Clean'!H522:H1521," ",0)</f>
        <v>Pass</v>
      </c>
      <c r="H522" t="str">
        <f>VLOOKUP(A522,'Subbu- Mini Project EXcel Clean'!A521:R1521,18,)</f>
        <v>Bachelor</v>
      </c>
    </row>
    <row r="523" spans="1:8" x14ac:dyDescent="0.25">
      <c r="A523" t="s">
        <v>551</v>
      </c>
      <c r="B523">
        <f>VLOOKUP(A523,'Subbu- Mini Project EXcel Clean'!A522:R1522,2,FALSE)</f>
        <v>65.900000000000006</v>
      </c>
      <c r="C523">
        <f>VLOOKUP(A523,'Subbu- Mini Project EXcel Clean'!A522:R1522,3,FALSE)</f>
        <v>56</v>
      </c>
      <c r="D523">
        <f>_xlfn.XLOOKUP(A523,'Subbu- Mini Project EXcel Clean'!A523:A1522,'Subbu- Mini Project EXcel Clean'!D523:D1522,"Entry Level",0)</f>
        <v>56.3</v>
      </c>
      <c r="E523">
        <f>_xlfn.XLOOKUP(A523,'Subbu- Mini Project EXcel Clean'!A523:A1522,'Subbu- Mini Project EXcel Clean'!F523:F1522,"Entry Level",0)</f>
        <v>66.7</v>
      </c>
      <c r="F523">
        <f>_xlfn.XLOOKUP(A523,'Subbu- Mini Project EXcel Clean'!A523:A1522,'Subbu- Mini Project EXcel Clean'!G523:G1522," ",0)</f>
        <v>63.8</v>
      </c>
      <c r="G523" t="str">
        <f>_xlfn.XLOOKUP(A523,'Subbu- Mini Project EXcel Clean'!A523:A1522,'Subbu- Mini Project EXcel Clean'!H523:H1522," ",0)</f>
        <v>Pass</v>
      </c>
      <c r="H523" t="str">
        <f>VLOOKUP(A523,'Subbu- Mini Project EXcel Clean'!A522:R1522,18,)</f>
        <v>Master</v>
      </c>
    </row>
    <row r="524" spans="1:8" x14ac:dyDescent="0.25">
      <c r="A524" t="s">
        <v>552</v>
      </c>
      <c r="B524">
        <f>VLOOKUP(A524,'Subbu- Mini Project EXcel Clean'!A523:R1523,2,FALSE)</f>
        <v>92.5</v>
      </c>
      <c r="C524">
        <f>VLOOKUP(A524,'Subbu- Mini Project EXcel Clean'!A523:R1523,3,FALSE)</f>
        <v>91.4</v>
      </c>
      <c r="D524">
        <f>_xlfn.XLOOKUP(A524,'Subbu- Mini Project EXcel Clean'!A524:A1523,'Subbu- Mini Project EXcel Clean'!D524:D1523,"Entry Level",0)</f>
        <v>94.4</v>
      </c>
      <c r="E524">
        <f>_xlfn.XLOOKUP(A524,'Subbu- Mini Project EXcel Clean'!A524:A1523,'Subbu- Mini Project EXcel Clean'!F524:F1523,"Entry Level",0)</f>
        <v>94.3</v>
      </c>
      <c r="F524">
        <f>_xlfn.XLOOKUP(A524,'Subbu- Mini Project EXcel Clean'!A524:A1523,'Subbu- Mini Project EXcel Clean'!G524:G1523," ",0)</f>
        <v>93.8</v>
      </c>
      <c r="G524" t="str">
        <f>_xlfn.XLOOKUP(A524,'Subbu- Mini Project EXcel Clean'!A524:A1523,'Subbu- Mini Project EXcel Clean'!H524:H1523," ",0)</f>
        <v>Pass</v>
      </c>
      <c r="H524" t="str">
        <f>VLOOKUP(A524,'Subbu- Mini Project EXcel Clean'!A523:R1523,18,)</f>
        <v>Bachelor</v>
      </c>
    </row>
    <row r="525" spans="1:8" x14ac:dyDescent="0.25">
      <c r="A525" t="s">
        <v>553</v>
      </c>
      <c r="B525">
        <f>VLOOKUP(A525,'Subbu- Mini Project EXcel Clean'!A524:R1524,2,FALSE)</f>
        <v>82.5</v>
      </c>
      <c r="C525">
        <f>VLOOKUP(A525,'Subbu- Mini Project EXcel Clean'!A524:R1524,3,FALSE)</f>
        <v>87.6</v>
      </c>
      <c r="D525">
        <f>_xlfn.XLOOKUP(A525,'Subbu- Mini Project EXcel Clean'!A525:A1524,'Subbu- Mini Project EXcel Clean'!D525:D1524,"Entry Level",0)</f>
        <v>81.2</v>
      </c>
      <c r="E525">
        <f>_xlfn.XLOOKUP(A525,'Subbu- Mini Project EXcel Clean'!A525:A1524,'Subbu- Mini Project EXcel Clean'!F525:F1524,"Entry Level",0)</f>
        <v>94</v>
      </c>
      <c r="F525">
        <f>_xlfn.XLOOKUP(A525,'Subbu- Mini Project EXcel Clean'!A525:A1524,'Subbu- Mini Project EXcel Clean'!G525:G1524," ",0)</f>
        <v>90.15</v>
      </c>
      <c r="G525" t="str">
        <f>_xlfn.XLOOKUP(A525,'Subbu- Mini Project EXcel Clean'!A525:A1524,'Subbu- Mini Project EXcel Clean'!H525:H1524," ",0)</f>
        <v>Pass</v>
      </c>
      <c r="H525" t="str">
        <f>VLOOKUP(A525,'Subbu- Mini Project EXcel Clean'!A524:R1524,18,)</f>
        <v>High School</v>
      </c>
    </row>
    <row r="526" spans="1:8" x14ac:dyDescent="0.25">
      <c r="A526" t="s">
        <v>554</v>
      </c>
      <c r="B526">
        <f>VLOOKUP(A526,'Subbu- Mini Project EXcel Clean'!A525:R1525,2,FALSE)</f>
        <v>88.8</v>
      </c>
      <c r="C526">
        <f>VLOOKUP(A526,'Subbu- Mini Project EXcel Clean'!A525:R1525,3,FALSE)</f>
        <v>96.1</v>
      </c>
      <c r="D526">
        <f>_xlfn.XLOOKUP(A526,'Subbu- Mini Project EXcel Clean'!A526:A1525,'Subbu- Mini Project EXcel Clean'!D526:D1525,"Entry Level",0)</f>
        <v>91.6</v>
      </c>
      <c r="E526">
        <f>_xlfn.XLOOKUP(A526,'Subbu- Mini Project EXcel Clean'!A526:A1525,'Subbu- Mini Project EXcel Clean'!F526:F1525,"Entry Level",0)</f>
        <v>86.4</v>
      </c>
      <c r="F526">
        <f>_xlfn.XLOOKUP(A526,'Subbu- Mini Project EXcel Clean'!A526:A1525,'Subbu- Mini Project EXcel Clean'!G526:G1525," ",0)</f>
        <v>86.25</v>
      </c>
      <c r="G526" t="str">
        <f>_xlfn.XLOOKUP(A526,'Subbu- Mini Project EXcel Clean'!A526:A1525,'Subbu- Mini Project EXcel Clean'!H526:H1525," ",0)</f>
        <v>Pass</v>
      </c>
      <c r="H526" t="str">
        <f>VLOOKUP(A526,'Subbu- Mini Project EXcel Clean'!A525:R1525,18,)</f>
        <v>Master</v>
      </c>
    </row>
    <row r="527" spans="1:8" x14ac:dyDescent="0.25">
      <c r="A527" t="s">
        <v>555</v>
      </c>
      <c r="B527">
        <f>VLOOKUP(A527,'Subbu- Mini Project EXcel Clean'!A526:R1526,2,FALSE)</f>
        <v>61.3</v>
      </c>
      <c r="C527">
        <f>VLOOKUP(A527,'Subbu- Mini Project EXcel Clean'!A526:R1526,3,FALSE)</f>
        <v>81.3</v>
      </c>
      <c r="D527">
        <f>_xlfn.XLOOKUP(A527,'Subbu- Mini Project EXcel Clean'!A527:A1526,'Subbu- Mini Project EXcel Clean'!D527:D1526,"Entry Level",0)</f>
        <v>71.099999999999994</v>
      </c>
      <c r="E527">
        <f>_xlfn.XLOOKUP(A527,'Subbu- Mini Project EXcel Clean'!A527:A1526,'Subbu- Mini Project EXcel Clean'!F527:F1526,"Entry Level",0)</f>
        <v>71.2</v>
      </c>
      <c r="F527">
        <f>_xlfn.XLOOKUP(A527,'Subbu- Mini Project EXcel Clean'!A527:A1526,'Subbu- Mini Project EXcel Clean'!G527:G1526," ",0)</f>
        <v>68.5</v>
      </c>
      <c r="G527" t="str">
        <f>_xlfn.XLOOKUP(A527,'Subbu- Mini Project EXcel Clean'!A527:A1526,'Subbu- Mini Project EXcel Clean'!H527:H1526," ",0)</f>
        <v>Pass</v>
      </c>
      <c r="H527" t="str">
        <f>VLOOKUP(A527,'Subbu- Mini Project EXcel Clean'!A526:R1526,18,)</f>
        <v>Bachelor</v>
      </c>
    </row>
    <row r="528" spans="1:8" x14ac:dyDescent="0.25">
      <c r="A528" t="s">
        <v>556</v>
      </c>
      <c r="B528">
        <f>VLOOKUP(A528,'Subbu- Mini Project EXcel Clean'!A527:R1527,2,FALSE)</f>
        <v>63</v>
      </c>
      <c r="C528">
        <f>VLOOKUP(A528,'Subbu- Mini Project EXcel Clean'!A527:R1527,3,FALSE)</f>
        <v>65.8</v>
      </c>
      <c r="D528">
        <f>_xlfn.XLOOKUP(A528,'Subbu- Mini Project EXcel Clean'!A528:A1527,'Subbu- Mini Project EXcel Clean'!D528:D1527,"Entry Level",0)</f>
        <v>65.5</v>
      </c>
      <c r="E528">
        <f>_xlfn.XLOOKUP(A528,'Subbu- Mini Project EXcel Clean'!A528:A1527,'Subbu- Mini Project EXcel Clean'!F528:F1527,"Entry Level",0)</f>
        <v>65.599999999999994</v>
      </c>
      <c r="F528">
        <f>_xlfn.XLOOKUP(A528,'Subbu- Mini Project EXcel Clean'!A528:A1527,'Subbu- Mini Project EXcel Clean'!G528:G1527," ",0)</f>
        <v>64.2</v>
      </c>
      <c r="G528" t="str">
        <f>_xlfn.XLOOKUP(A528,'Subbu- Mini Project EXcel Clean'!A528:A1527,'Subbu- Mini Project EXcel Clean'!H528:H1527," ",0)</f>
        <v>Pass</v>
      </c>
      <c r="H528" t="str">
        <f>VLOOKUP(A528,'Subbu- Mini Project EXcel Clean'!A527:R1527,18,)</f>
        <v>Master</v>
      </c>
    </row>
    <row r="529" spans="1:8" x14ac:dyDescent="0.25">
      <c r="A529" t="s">
        <v>557</v>
      </c>
      <c r="B529">
        <f>VLOOKUP(A529,'Subbu- Mini Project EXcel Clean'!A528:R1528,2,FALSE)</f>
        <v>55</v>
      </c>
      <c r="C529">
        <f>VLOOKUP(A529,'Subbu- Mini Project EXcel Clean'!A528:R1528,3,FALSE)</f>
        <v>54.1</v>
      </c>
      <c r="D529">
        <f>_xlfn.XLOOKUP(A529,'Subbu- Mini Project EXcel Clean'!A529:A1528,'Subbu- Mini Project EXcel Clean'!D529:D1528,"Entry Level",0)</f>
        <v>56.8</v>
      </c>
      <c r="E529">
        <f>_xlfn.XLOOKUP(A529,'Subbu- Mini Project EXcel Clean'!A529:A1528,'Subbu- Mini Project EXcel Clean'!F529:F1528,"Entry Level",0)</f>
        <v>73.099999999999994</v>
      </c>
      <c r="F529">
        <f>_xlfn.XLOOKUP(A529,'Subbu- Mini Project EXcel Clean'!A529:A1528,'Subbu- Mini Project EXcel Clean'!G529:G1528," ",0)</f>
        <v>64.05</v>
      </c>
      <c r="G529" t="str">
        <f>_xlfn.XLOOKUP(A529,'Subbu- Mini Project EXcel Clean'!A529:A1528,'Subbu- Mini Project EXcel Clean'!H529:H1528," ",0)</f>
        <v>Pass</v>
      </c>
      <c r="H529" t="str">
        <f>VLOOKUP(A529,'Subbu- Mini Project EXcel Clean'!A528:R1528,18,)</f>
        <v>Master</v>
      </c>
    </row>
    <row r="530" spans="1:8" x14ac:dyDescent="0.25">
      <c r="A530" t="s">
        <v>558</v>
      </c>
      <c r="B530">
        <f>VLOOKUP(A530,'Subbu- Mini Project EXcel Clean'!A529:R1529,2,FALSE)</f>
        <v>48.5</v>
      </c>
      <c r="C530">
        <f>VLOOKUP(A530,'Subbu- Mini Project EXcel Clean'!A529:R1529,3,FALSE)</f>
        <v>45.8</v>
      </c>
      <c r="D530">
        <f>_xlfn.XLOOKUP(A530,'Subbu- Mini Project EXcel Clean'!A530:A1529,'Subbu- Mini Project EXcel Clean'!D530:D1529,"Entry Level",0)</f>
        <v>51.9</v>
      </c>
      <c r="E530">
        <f>_xlfn.XLOOKUP(A530,'Subbu- Mini Project EXcel Clean'!A530:A1529,'Subbu- Mini Project EXcel Clean'!F530:F1529,"Entry Level",0)</f>
        <v>50.7</v>
      </c>
      <c r="F530">
        <f>_xlfn.XLOOKUP(A530,'Subbu- Mini Project EXcel Clean'!A530:A1529,'Subbu- Mini Project EXcel Clean'!G530:G1529," ",0)</f>
        <v>46.9</v>
      </c>
      <c r="G530" t="str">
        <f>_xlfn.XLOOKUP(A530,'Subbu- Mini Project EXcel Clean'!A530:A1529,'Subbu- Mini Project EXcel Clean'!H530:H1529," ",0)</f>
        <v>Fail</v>
      </c>
      <c r="H530" t="str">
        <f>VLOOKUP(A530,'Subbu- Mini Project EXcel Clean'!A529:R1529,18,)</f>
        <v>Bachelor</v>
      </c>
    </row>
    <row r="531" spans="1:8" x14ac:dyDescent="0.25">
      <c r="A531" t="s">
        <v>559</v>
      </c>
      <c r="B531">
        <f>VLOOKUP(A531,'Subbu- Mini Project EXcel Clean'!A530:R1530,2,FALSE)</f>
        <v>89.9</v>
      </c>
      <c r="C531">
        <f>VLOOKUP(A531,'Subbu- Mini Project EXcel Clean'!A530:R1530,3,FALSE)</f>
        <v>92</v>
      </c>
      <c r="D531">
        <f>_xlfn.XLOOKUP(A531,'Subbu- Mini Project EXcel Clean'!A531:A1530,'Subbu- Mini Project EXcel Clean'!D531:D1530,"Entry Level",0)</f>
        <v>87.6</v>
      </c>
      <c r="E531">
        <f>_xlfn.XLOOKUP(A531,'Subbu- Mini Project EXcel Clean'!A531:A1530,'Subbu- Mini Project EXcel Clean'!F531:F1530,"Entry Level",0)</f>
        <v>79.2</v>
      </c>
      <c r="F531">
        <f>_xlfn.XLOOKUP(A531,'Subbu- Mini Project EXcel Clean'!A531:A1530,'Subbu- Mini Project EXcel Clean'!G531:G1530," ",0)</f>
        <v>83.4</v>
      </c>
      <c r="G531" t="str">
        <f>_xlfn.XLOOKUP(A531,'Subbu- Mini Project EXcel Clean'!A531:A1530,'Subbu- Mini Project EXcel Clean'!H531:H1530," ",0)</f>
        <v>Pass</v>
      </c>
      <c r="H531" t="str">
        <f>VLOOKUP(A531,'Subbu- Mini Project EXcel Clean'!A530:R1530,18,)</f>
        <v>Bachelor</v>
      </c>
    </row>
    <row r="532" spans="1:8" x14ac:dyDescent="0.25">
      <c r="A532" t="s">
        <v>560</v>
      </c>
      <c r="B532">
        <f>VLOOKUP(A532,'Subbu- Mini Project EXcel Clean'!A531:R1531,2,FALSE)</f>
        <v>84.6</v>
      </c>
      <c r="C532">
        <f>VLOOKUP(A532,'Subbu- Mini Project EXcel Clean'!A531:R1531,3,FALSE)</f>
        <v>83.1</v>
      </c>
      <c r="D532">
        <f>_xlfn.XLOOKUP(A532,'Subbu- Mini Project EXcel Clean'!A532:A1531,'Subbu- Mini Project EXcel Clean'!D532:D1531,"Entry Level",0)</f>
        <v>78.8</v>
      </c>
      <c r="E532">
        <f>_xlfn.XLOOKUP(A532,'Subbu- Mini Project EXcel Clean'!A532:A1531,'Subbu- Mini Project EXcel Clean'!F532:F1531,"Entry Level",0)</f>
        <v>75.599999999999994</v>
      </c>
      <c r="F532">
        <f>_xlfn.XLOOKUP(A532,'Subbu- Mini Project EXcel Clean'!A532:A1531,'Subbu- Mini Project EXcel Clean'!G532:G1531," ",0)</f>
        <v>80.150000000000006</v>
      </c>
      <c r="G532" t="str">
        <f>_xlfn.XLOOKUP(A532,'Subbu- Mini Project EXcel Clean'!A532:A1531,'Subbu- Mini Project EXcel Clean'!H532:H1531," ",0)</f>
        <v>Pass</v>
      </c>
      <c r="H532" t="str">
        <f>VLOOKUP(A532,'Subbu- Mini Project EXcel Clean'!A531:R1531,18,)</f>
        <v>Master</v>
      </c>
    </row>
    <row r="533" spans="1:8" x14ac:dyDescent="0.25">
      <c r="A533" t="s">
        <v>561</v>
      </c>
      <c r="B533">
        <f>VLOOKUP(A533,'Subbu- Mini Project EXcel Clean'!A532:R1532,2,FALSE)</f>
        <v>99.1</v>
      </c>
      <c r="C533">
        <f>VLOOKUP(A533,'Subbu- Mini Project EXcel Clean'!A532:R1532,3,FALSE)</f>
        <v>104</v>
      </c>
      <c r="D533">
        <f>_xlfn.XLOOKUP(A533,'Subbu- Mini Project EXcel Clean'!A533:A1532,'Subbu- Mini Project EXcel Clean'!D533:D1532,"Entry Level",0)</f>
        <v>97.2</v>
      </c>
      <c r="E533">
        <f>_xlfn.XLOOKUP(A533,'Subbu- Mini Project EXcel Clean'!A533:A1532,'Subbu- Mini Project EXcel Clean'!F533:F1532,"Entry Level",0)</f>
        <v>90.6</v>
      </c>
      <c r="F533">
        <f>_xlfn.XLOOKUP(A533,'Subbu- Mini Project EXcel Clean'!A533:A1532,'Subbu- Mini Project EXcel Clean'!G533:G1532," ",0)</f>
        <v>92.8</v>
      </c>
      <c r="G533" t="str">
        <f>_xlfn.XLOOKUP(A533,'Subbu- Mini Project EXcel Clean'!A533:A1532,'Subbu- Mini Project EXcel Clean'!H533:H1532," ",0)</f>
        <v>Pass</v>
      </c>
      <c r="H533" t="str">
        <f>VLOOKUP(A533,'Subbu- Mini Project EXcel Clean'!A532:R1532,18,)</f>
        <v>Master</v>
      </c>
    </row>
    <row r="534" spans="1:8" x14ac:dyDescent="0.25">
      <c r="A534" t="s">
        <v>562</v>
      </c>
      <c r="B534">
        <f>VLOOKUP(A534,'Subbu- Mini Project EXcel Clean'!A533:R1533,2,FALSE)</f>
        <v>101.8</v>
      </c>
      <c r="C534">
        <f>VLOOKUP(A534,'Subbu- Mini Project EXcel Clean'!A533:R1533,3,FALSE)</f>
        <v>96</v>
      </c>
      <c r="D534">
        <f>_xlfn.XLOOKUP(A534,'Subbu- Mini Project EXcel Clean'!A534:A1533,'Subbu- Mini Project EXcel Clean'!D534:D1533,"Entry Level",0)</f>
        <v>105.2</v>
      </c>
      <c r="E534">
        <f>_xlfn.XLOOKUP(A534,'Subbu- Mini Project EXcel Clean'!A534:A1533,'Subbu- Mini Project EXcel Clean'!F534:F1533,"Entry Level",0)</f>
        <v>83.2</v>
      </c>
      <c r="F534">
        <f>_xlfn.XLOOKUP(A534,'Subbu- Mini Project EXcel Clean'!A534:A1533,'Subbu- Mini Project EXcel Clean'!G534:G1533," ",0)</f>
        <v>89</v>
      </c>
      <c r="G534" t="str">
        <f>_xlfn.XLOOKUP(A534,'Subbu- Mini Project EXcel Clean'!A534:A1533,'Subbu- Mini Project EXcel Clean'!H534:H1533," ",0)</f>
        <v>Pass</v>
      </c>
      <c r="H534" t="str">
        <f>VLOOKUP(A534,'Subbu- Mini Project EXcel Clean'!A533:R1533,18,)</f>
        <v>High School</v>
      </c>
    </row>
    <row r="535" spans="1:8" x14ac:dyDescent="0.25">
      <c r="A535" t="s">
        <v>563</v>
      </c>
      <c r="B535">
        <f>VLOOKUP(A535,'Subbu- Mini Project EXcel Clean'!A534:R1534,2,FALSE)</f>
        <v>73.3</v>
      </c>
      <c r="C535">
        <f>VLOOKUP(A535,'Subbu- Mini Project EXcel Clean'!A534:R1534,3,FALSE)</f>
        <v>73</v>
      </c>
      <c r="D535">
        <f>_xlfn.XLOOKUP(A535,'Subbu- Mini Project EXcel Clean'!A535:A1534,'Subbu- Mini Project EXcel Clean'!D535:D1534,"Entry Level",0)</f>
        <v>65.5</v>
      </c>
      <c r="E535">
        <f>_xlfn.XLOOKUP(A535,'Subbu- Mini Project EXcel Clean'!A535:A1534,'Subbu- Mini Project EXcel Clean'!F535:F1534,"Entry Level",0)</f>
        <v>71.5</v>
      </c>
      <c r="F535">
        <f>_xlfn.XLOOKUP(A535,'Subbu- Mini Project EXcel Clean'!A535:A1534,'Subbu- Mini Project EXcel Clean'!G535:G1534," ",0)</f>
        <v>71</v>
      </c>
      <c r="G535" t="str">
        <f>_xlfn.XLOOKUP(A535,'Subbu- Mini Project EXcel Clean'!A535:A1534,'Subbu- Mini Project EXcel Clean'!H535:H1534," ",0)</f>
        <v>Pass</v>
      </c>
      <c r="H535" t="str">
        <f>VLOOKUP(A535,'Subbu- Mini Project EXcel Clean'!A534:R1534,18,)</f>
        <v>Master</v>
      </c>
    </row>
    <row r="536" spans="1:8" x14ac:dyDescent="0.25">
      <c r="A536" t="s">
        <v>564</v>
      </c>
      <c r="B536">
        <f>VLOOKUP(A536,'Subbu- Mini Project EXcel Clean'!A535:R1535,2,FALSE)</f>
        <v>82.3</v>
      </c>
      <c r="C536">
        <f>VLOOKUP(A536,'Subbu- Mini Project EXcel Clean'!A535:R1535,3,FALSE)</f>
        <v>85.6</v>
      </c>
      <c r="D536">
        <f>_xlfn.XLOOKUP(A536,'Subbu- Mini Project EXcel Clean'!A536:A1535,'Subbu- Mini Project EXcel Clean'!D536:D1535,"Entry Level",0)</f>
        <v>80.5</v>
      </c>
      <c r="E536">
        <f>_xlfn.XLOOKUP(A536,'Subbu- Mini Project EXcel Clean'!A536:A1535,'Subbu- Mini Project EXcel Clean'!F536:F1535,"Entry Level",0)</f>
        <v>76.099999999999994</v>
      </c>
      <c r="F536">
        <f>_xlfn.XLOOKUP(A536,'Subbu- Mini Project EXcel Clean'!A536:A1535,'Subbu- Mini Project EXcel Clean'!G536:G1535," ",0)</f>
        <v>79.2</v>
      </c>
      <c r="G536" t="str">
        <f>_xlfn.XLOOKUP(A536,'Subbu- Mini Project EXcel Clean'!A536:A1535,'Subbu- Mini Project EXcel Clean'!H536:H1535," ",0)</f>
        <v>Pass</v>
      </c>
      <c r="H536" t="str">
        <f>VLOOKUP(A536,'Subbu- Mini Project EXcel Clean'!A535:R1535,18,)</f>
        <v>High School</v>
      </c>
    </row>
    <row r="537" spans="1:8" x14ac:dyDescent="0.25">
      <c r="A537" t="s">
        <v>565</v>
      </c>
      <c r="B537">
        <f>VLOOKUP(A537,'Subbu- Mini Project EXcel Clean'!A536:R1536,2,FALSE)</f>
        <v>85.4</v>
      </c>
      <c r="C537">
        <f>VLOOKUP(A537,'Subbu- Mini Project EXcel Clean'!A536:R1536,3,FALSE)</f>
        <v>94.1</v>
      </c>
      <c r="D537">
        <f>_xlfn.XLOOKUP(A537,'Subbu- Mini Project EXcel Clean'!A537:A1536,'Subbu- Mini Project EXcel Clean'!D537:D1536,"Entry Level",0)</f>
        <v>94</v>
      </c>
      <c r="E537">
        <f>_xlfn.XLOOKUP(A537,'Subbu- Mini Project EXcel Clean'!A537:A1536,'Subbu- Mini Project EXcel Clean'!F537:F1536,"Entry Level",0)</f>
        <v>93</v>
      </c>
      <c r="F537">
        <f>_xlfn.XLOOKUP(A537,'Subbu- Mini Project EXcel Clean'!A537:A1536,'Subbu- Mini Project EXcel Clean'!G537:G1536," ",0)</f>
        <v>92.5</v>
      </c>
      <c r="G537" t="str">
        <f>_xlfn.XLOOKUP(A537,'Subbu- Mini Project EXcel Clean'!A537:A1536,'Subbu- Mini Project EXcel Clean'!H537:H1536," ",0)</f>
        <v>Pass</v>
      </c>
      <c r="H537" t="str">
        <f>VLOOKUP(A537,'Subbu- Mini Project EXcel Clean'!A536:R1536,18,)</f>
        <v>High School</v>
      </c>
    </row>
    <row r="538" spans="1:8" x14ac:dyDescent="0.25">
      <c r="A538" t="s">
        <v>566</v>
      </c>
      <c r="B538">
        <f>VLOOKUP(A538,'Subbu- Mini Project EXcel Clean'!A537:R1537,2,FALSE)</f>
        <v>81.400000000000006</v>
      </c>
      <c r="C538">
        <f>VLOOKUP(A538,'Subbu- Mini Project EXcel Clean'!A537:R1537,3,FALSE)</f>
        <v>90.9</v>
      </c>
      <c r="D538">
        <f>_xlfn.XLOOKUP(A538,'Subbu- Mini Project EXcel Clean'!A538:A1537,'Subbu- Mini Project EXcel Clean'!D538:D1537,"Entry Level",0)</f>
        <v>86.5</v>
      </c>
      <c r="E538">
        <f>_xlfn.XLOOKUP(A538,'Subbu- Mini Project EXcel Clean'!A538:A1537,'Subbu- Mini Project EXcel Clean'!F538:F1537,"Entry Level",0)</f>
        <v>70.3</v>
      </c>
      <c r="F538">
        <f>_xlfn.XLOOKUP(A538,'Subbu- Mini Project EXcel Clean'!A538:A1537,'Subbu- Mini Project EXcel Clean'!G538:G1537," ",0)</f>
        <v>78.5</v>
      </c>
      <c r="G538" t="str">
        <f>_xlfn.XLOOKUP(A538,'Subbu- Mini Project EXcel Clean'!A538:A1537,'Subbu- Mini Project EXcel Clean'!H538:H1537," ",0)</f>
        <v>Pass</v>
      </c>
      <c r="H538" t="str">
        <f>VLOOKUP(A538,'Subbu- Mini Project EXcel Clean'!A537:R1537,18,)</f>
        <v>High School</v>
      </c>
    </row>
    <row r="539" spans="1:8" x14ac:dyDescent="0.25">
      <c r="A539" t="s">
        <v>567</v>
      </c>
      <c r="B539">
        <f>VLOOKUP(A539,'Subbu- Mini Project EXcel Clean'!A538:R1538,2,FALSE)</f>
        <v>52.1</v>
      </c>
      <c r="C539">
        <f>VLOOKUP(A539,'Subbu- Mini Project EXcel Clean'!A538:R1538,3,FALSE)</f>
        <v>50.5</v>
      </c>
      <c r="D539">
        <f>_xlfn.XLOOKUP(A539,'Subbu- Mini Project EXcel Clean'!A539:A1538,'Subbu- Mini Project EXcel Clean'!D539:D1538,"Entry Level",0)</f>
        <v>48.7</v>
      </c>
      <c r="E539">
        <f>_xlfn.XLOOKUP(A539,'Subbu- Mini Project EXcel Clean'!A539:A1538,'Subbu- Mini Project EXcel Clean'!F539:F1538,"Entry Level",0)</f>
        <v>53.1</v>
      </c>
      <c r="F539">
        <f>_xlfn.XLOOKUP(A539,'Subbu- Mini Project EXcel Clean'!A539:A1538,'Subbu- Mini Project EXcel Clean'!G539:G1538," ",0)</f>
        <v>53.35</v>
      </c>
      <c r="G539" t="str">
        <f>_xlfn.XLOOKUP(A539,'Subbu- Mini Project EXcel Clean'!A539:A1538,'Subbu- Mini Project EXcel Clean'!H539:H1538," ",0)</f>
        <v>Pass</v>
      </c>
      <c r="H539" t="str">
        <f>VLOOKUP(A539,'Subbu- Mini Project EXcel Clean'!A538:R1538,18,)</f>
        <v>Master</v>
      </c>
    </row>
    <row r="540" spans="1:8" x14ac:dyDescent="0.25">
      <c r="A540" t="s">
        <v>568</v>
      </c>
      <c r="B540">
        <f>VLOOKUP(A540,'Subbu- Mini Project EXcel Clean'!A539:R1539,2,FALSE)</f>
        <v>61.7</v>
      </c>
      <c r="C540">
        <f>VLOOKUP(A540,'Subbu- Mini Project EXcel Clean'!A539:R1539,3,FALSE)</f>
        <v>62</v>
      </c>
      <c r="D540">
        <f>_xlfn.XLOOKUP(A540,'Subbu- Mini Project EXcel Clean'!A540:A1539,'Subbu- Mini Project EXcel Clean'!D540:D1539,"Entry Level",0)</f>
        <v>70.400000000000006</v>
      </c>
      <c r="E540">
        <f>_xlfn.XLOOKUP(A540,'Subbu- Mini Project EXcel Clean'!A540:A1539,'Subbu- Mini Project EXcel Clean'!F540:F1539,"Entry Level",0)</f>
        <v>71.5</v>
      </c>
      <c r="F540">
        <f>_xlfn.XLOOKUP(A540,'Subbu- Mini Project EXcel Clean'!A540:A1539,'Subbu- Mini Project EXcel Clean'!G540:G1539," ",0)</f>
        <v>68.150000000000006</v>
      </c>
      <c r="G540" t="str">
        <f>_xlfn.XLOOKUP(A540,'Subbu- Mini Project EXcel Clean'!A540:A1539,'Subbu- Mini Project EXcel Clean'!H540:H1539," ",0)</f>
        <v>Pass</v>
      </c>
      <c r="H540" t="str">
        <f>VLOOKUP(A540,'Subbu- Mini Project EXcel Clean'!A539:R1539,18,)</f>
        <v>High School</v>
      </c>
    </row>
    <row r="541" spans="1:8" x14ac:dyDescent="0.25">
      <c r="A541" t="s">
        <v>569</v>
      </c>
      <c r="B541">
        <f>VLOOKUP(A541,'Subbu- Mini Project EXcel Clean'!A540:R1540,2,FALSE)</f>
        <v>46.2</v>
      </c>
      <c r="C541">
        <f>VLOOKUP(A541,'Subbu- Mini Project EXcel Clean'!A540:R1540,3,FALSE)</f>
        <v>41.6</v>
      </c>
      <c r="D541">
        <f>_xlfn.XLOOKUP(A541,'Subbu- Mini Project EXcel Clean'!A541:A1540,'Subbu- Mini Project EXcel Clean'!D541:D1540,"Entry Level",0)</f>
        <v>58.7</v>
      </c>
      <c r="E541">
        <f>_xlfn.XLOOKUP(A541,'Subbu- Mini Project EXcel Clean'!A541:A1540,'Subbu- Mini Project EXcel Clean'!F541:F1540,"Entry Level",0)</f>
        <v>62.7</v>
      </c>
      <c r="F541">
        <f>_xlfn.XLOOKUP(A541,'Subbu- Mini Project EXcel Clean'!A541:A1540,'Subbu- Mini Project EXcel Clean'!G541:G1540," ",0)</f>
        <v>54.9</v>
      </c>
      <c r="G541" t="str">
        <f>_xlfn.XLOOKUP(A541,'Subbu- Mini Project EXcel Clean'!A541:A1540,'Subbu- Mini Project EXcel Clean'!H541:H1540," ",0)</f>
        <v>Pass</v>
      </c>
      <c r="H541" t="str">
        <f>VLOOKUP(A541,'Subbu- Mini Project EXcel Clean'!A540:R1540,18,)</f>
        <v>Master</v>
      </c>
    </row>
    <row r="542" spans="1:8" x14ac:dyDescent="0.25">
      <c r="A542" t="s">
        <v>570</v>
      </c>
      <c r="B542">
        <f>VLOOKUP(A542,'Subbu- Mini Project EXcel Clean'!A541:R1541,2,FALSE)</f>
        <v>92.8</v>
      </c>
      <c r="C542">
        <f>VLOOKUP(A542,'Subbu- Mini Project EXcel Clean'!A541:R1541,3,FALSE)</f>
        <v>94.7</v>
      </c>
      <c r="D542">
        <f>_xlfn.XLOOKUP(A542,'Subbu- Mini Project EXcel Clean'!A542:A1541,'Subbu- Mini Project EXcel Clean'!D542:D1541,"Entry Level",0)</f>
        <v>93.5</v>
      </c>
      <c r="E542">
        <f>_xlfn.XLOOKUP(A542,'Subbu- Mini Project EXcel Clean'!A542:A1541,'Subbu- Mini Project EXcel Clean'!F542:F1541,"Entry Level",0)</f>
        <v>92.3</v>
      </c>
      <c r="F542">
        <f>_xlfn.XLOOKUP(A542,'Subbu- Mini Project EXcel Clean'!A542:A1541,'Subbu- Mini Project EXcel Clean'!G542:G1541," ",0)</f>
        <v>92.4</v>
      </c>
      <c r="G542" t="str">
        <f>_xlfn.XLOOKUP(A542,'Subbu- Mini Project EXcel Clean'!A542:A1541,'Subbu- Mini Project EXcel Clean'!H542:H1541," ",0)</f>
        <v>Pass</v>
      </c>
      <c r="H542" t="str">
        <f>VLOOKUP(A542,'Subbu- Mini Project EXcel Clean'!A541:R1541,18,)</f>
        <v>Master</v>
      </c>
    </row>
    <row r="543" spans="1:8" x14ac:dyDescent="0.25">
      <c r="A543" t="s">
        <v>571</v>
      </c>
      <c r="B543">
        <f>VLOOKUP(A543,'Subbu- Mini Project EXcel Clean'!A542:R1542,2,FALSE)</f>
        <v>76</v>
      </c>
      <c r="C543">
        <f>VLOOKUP(A543,'Subbu- Mini Project EXcel Clean'!A542:R1542,3,FALSE)</f>
        <v>77.2</v>
      </c>
      <c r="D543">
        <f>_xlfn.XLOOKUP(A543,'Subbu- Mini Project EXcel Clean'!A543:A1542,'Subbu- Mini Project EXcel Clean'!D543:D1542,"Entry Level",0)</f>
        <v>68.8</v>
      </c>
      <c r="E543">
        <f>_xlfn.XLOOKUP(A543,'Subbu- Mini Project EXcel Clean'!A543:A1542,'Subbu- Mini Project EXcel Clean'!F543:F1542,"Entry Level",0)</f>
        <v>73</v>
      </c>
      <c r="F543">
        <f>_xlfn.XLOOKUP(A543,'Subbu- Mini Project EXcel Clean'!A543:A1542,'Subbu- Mini Project EXcel Clean'!G543:G1542," ",0)</f>
        <v>73.150000000000006</v>
      </c>
      <c r="G543" t="str">
        <f>_xlfn.XLOOKUP(A543,'Subbu- Mini Project EXcel Clean'!A543:A1542,'Subbu- Mini Project EXcel Clean'!H543:H1542," ",0)</f>
        <v>Pass</v>
      </c>
      <c r="H543" t="str">
        <f>VLOOKUP(A543,'Subbu- Mini Project EXcel Clean'!A542:R1542,18,)</f>
        <v>Bachelor</v>
      </c>
    </row>
    <row r="544" spans="1:8" x14ac:dyDescent="0.25">
      <c r="A544" t="s">
        <v>572</v>
      </c>
      <c r="B544">
        <f>VLOOKUP(A544,'Subbu- Mini Project EXcel Clean'!A543:R1543,2,FALSE)</f>
        <v>52.2</v>
      </c>
      <c r="C544">
        <f>VLOOKUP(A544,'Subbu- Mini Project EXcel Clean'!A543:R1543,3,FALSE)</f>
        <v>54.9</v>
      </c>
      <c r="D544">
        <f>_xlfn.XLOOKUP(A544,'Subbu- Mini Project EXcel Clean'!A544:A1543,'Subbu- Mini Project EXcel Clean'!D544:D1543,"Entry Level",0)</f>
        <v>44.8</v>
      </c>
      <c r="E544">
        <f>_xlfn.XLOOKUP(A544,'Subbu- Mini Project EXcel Clean'!A544:A1543,'Subbu- Mini Project EXcel Clean'!F544:F1543,"Entry Level",0)</f>
        <v>47.1</v>
      </c>
      <c r="F544">
        <f>_xlfn.XLOOKUP(A544,'Subbu- Mini Project EXcel Clean'!A544:A1543,'Subbu- Mini Project EXcel Clean'!G544:G1543," ",0)</f>
        <v>49.85</v>
      </c>
      <c r="G544" t="str">
        <f>_xlfn.XLOOKUP(A544,'Subbu- Mini Project EXcel Clean'!A544:A1543,'Subbu- Mini Project EXcel Clean'!H544:H1543," ",0)</f>
        <v>Fail</v>
      </c>
      <c r="H544" t="str">
        <f>VLOOKUP(A544,'Subbu- Mini Project EXcel Clean'!A543:R1543,18,)</f>
        <v>Master</v>
      </c>
    </row>
    <row r="545" spans="1:8" x14ac:dyDescent="0.25">
      <c r="A545" t="s">
        <v>573</v>
      </c>
      <c r="B545">
        <f>VLOOKUP(A545,'Subbu- Mini Project EXcel Clean'!A544:R1544,2,FALSE)</f>
        <v>79.400000000000006</v>
      </c>
      <c r="C545">
        <f>VLOOKUP(A545,'Subbu- Mini Project EXcel Clean'!A544:R1544,3,FALSE)</f>
        <v>85.3</v>
      </c>
      <c r="D545">
        <f>_xlfn.XLOOKUP(A545,'Subbu- Mini Project EXcel Clean'!A545:A1544,'Subbu- Mini Project EXcel Clean'!D545:D1544,"Entry Level",0)</f>
        <v>78.2</v>
      </c>
      <c r="E545">
        <f>_xlfn.XLOOKUP(A545,'Subbu- Mini Project EXcel Clean'!A545:A1544,'Subbu- Mini Project EXcel Clean'!F545:F1544,"Entry Level",0)</f>
        <v>71.099999999999994</v>
      </c>
      <c r="F545">
        <f>_xlfn.XLOOKUP(A545,'Subbu- Mini Project EXcel Clean'!A545:A1544,'Subbu- Mini Project EXcel Clean'!G545:G1544," ",0)</f>
        <v>74</v>
      </c>
      <c r="G545" t="str">
        <f>_xlfn.XLOOKUP(A545,'Subbu- Mini Project EXcel Clean'!A545:A1544,'Subbu- Mini Project EXcel Clean'!H545:H1544," ",0)</f>
        <v>Pass</v>
      </c>
      <c r="H545" t="str">
        <f>VLOOKUP(A545,'Subbu- Mini Project EXcel Clean'!A544:R1544,18,)</f>
        <v>Master</v>
      </c>
    </row>
    <row r="546" spans="1:8" x14ac:dyDescent="0.25">
      <c r="A546" t="s">
        <v>574</v>
      </c>
      <c r="B546">
        <f>VLOOKUP(A546,'Subbu- Mini Project EXcel Clean'!A545:R1545,2,FALSE)</f>
        <v>74.3</v>
      </c>
      <c r="C546">
        <f>VLOOKUP(A546,'Subbu- Mini Project EXcel Clean'!A545:R1545,3,FALSE)</f>
        <v>74</v>
      </c>
      <c r="D546">
        <f>_xlfn.XLOOKUP(A546,'Subbu- Mini Project EXcel Clean'!A546:A1545,'Subbu- Mini Project EXcel Clean'!D546:D1545,"Entry Level",0)</f>
        <v>79.5</v>
      </c>
      <c r="E546">
        <f>_xlfn.XLOOKUP(A546,'Subbu- Mini Project EXcel Clean'!A546:A1545,'Subbu- Mini Project EXcel Clean'!F546:F1545,"Entry Level",0)</f>
        <v>80.7</v>
      </c>
      <c r="F546">
        <f>_xlfn.XLOOKUP(A546,'Subbu- Mini Project EXcel Clean'!A546:A1545,'Subbu- Mini Project EXcel Clean'!G546:G1545," ",0)</f>
        <v>77.349999999999994</v>
      </c>
      <c r="G546" t="str">
        <f>_xlfn.XLOOKUP(A546,'Subbu- Mini Project EXcel Clean'!A546:A1545,'Subbu- Mini Project EXcel Clean'!H546:H1545," ",0)</f>
        <v>Pass</v>
      </c>
      <c r="H546" t="str">
        <f>VLOOKUP(A546,'Subbu- Mini Project EXcel Clean'!A545:R1545,18,)</f>
        <v>High School</v>
      </c>
    </row>
    <row r="547" spans="1:8" x14ac:dyDescent="0.25">
      <c r="A547" t="s">
        <v>575</v>
      </c>
      <c r="B547">
        <f>VLOOKUP(A547,'Subbu- Mini Project EXcel Clean'!A546:R1546,2,FALSE)</f>
        <v>49.8</v>
      </c>
      <c r="C547">
        <f>VLOOKUP(A547,'Subbu- Mini Project EXcel Clean'!A546:R1546,3,FALSE)</f>
        <v>63</v>
      </c>
      <c r="D547">
        <f>_xlfn.XLOOKUP(A547,'Subbu- Mini Project EXcel Clean'!A547:A1546,'Subbu- Mini Project EXcel Clean'!D547:D1546,"Entry Level",0)</f>
        <v>62.1</v>
      </c>
      <c r="E547">
        <f>_xlfn.XLOOKUP(A547,'Subbu- Mini Project EXcel Clean'!A547:A1546,'Subbu- Mini Project EXcel Clean'!F547:F1546,"Entry Level",0)</f>
        <v>71</v>
      </c>
      <c r="F547">
        <f>_xlfn.XLOOKUP(A547,'Subbu- Mini Project EXcel Clean'!A547:A1546,'Subbu- Mini Project EXcel Clean'!G547:G1546," ",0)</f>
        <v>65.349999999999994</v>
      </c>
      <c r="G547" t="str">
        <f>_xlfn.XLOOKUP(A547,'Subbu- Mini Project EXcel Clean'!A547:A1546,'Subbu- Mini Project EXcel Clean'!H547:H1546," ",0)</f>
        <v>Pass</v>
      </c>
      <c r="H547" t="str">
        <f>VLOOKUP(A547,'Subbu- Mini Project EXcel Clean'!A546:R1546,18,)</f>
        <v>Master</v>
      </c>
    </row>
    <row r="548" spans="1:8" x14ac:dyDescent="0.25">
      <c r="A548" t="s">
        <v>576</v>
      </c>
      <c r="B548">
        <f>VLOOKUP(A548,'Subbu- Mini Project EXcel Clean'!A547:R1547,2,FALSE)</f>
        <v>41.5</v>
      </c>
      <c r="C548">
        <f>VLOOKUP(A548,'Subbu- Mini Project EXcel Clean'!A547:R1547,3,FALSE)</f>
        <v>40.799999999999997</v>
      </c>
      <c r="D548">
        <f>_xlfn.XLOOKUP(A548,'Subbu- Mini Project EXcel Clean'!A548:A1547,'Subbu- Mini Project EXcel Clean'!D548:D1547,"Entry Level",0)</f>
        <v>46.2</v>
      </c>
      <c r="E548">
        <f>_xlfn.XLOOKUP(A548,'Subbu- Mini Project EXcel Clean'!A548:A1547,'Subbu- Mini Project EXcel Clean'!F548:F1547,"Entry Level",0)</f>
        <v>45.5</v>
      </c>
      <c r="F548">
        <f>_xlfn.XLOOKUP(A548,'Subbu- Mini Project EXcel Clean'!A548:A1547,'Subbu- Mini Project EXcel Clean'!G548:G1547," ",0)</f>
        <v>45.85</v>
      </c>
      <c r="G548" t="str">
        <f>_xlfn.XLOOKUP(A548,'Subbu- Mini Project EXcel Clean'!A548:A1547,'Subbu- Mini Project EXcel Clean'!H548:H1547," ",0)</f>
        <v>Fail</v>
      </c>
      <c r="H548" t="str">
        <f>VLOOKUP(A548,'Subbu- Mini Project EXcel Clean'!A547:R1547,18,)</f>
        <v>Master</v>
      </c>
    </row>
    <row r="549" spans="1:8" x14ac:dyDescent="0.25">
      <c r="A549" t="s">
        <v>577</v>
      </c>
      <c r="B549">
        <f>VLOOKUP(A549,'Subbu- Mini Project EXcel Clean'!A548:R1548,2,FALSE)</f>
        <v>76.2</v>
      </c>
      <c r="C549">
        <f>VLOOKUP(A549,'Subbu- Mini Project EXcel Clean'!A548:R1548,3,FALSE)</f>
        <v>75</v>
      </c>
      <c r="D549">
        <f>_xlfn.XLOOKUP(A549,'Subbu- Mini Project EXcel Clean'!A549:A1548,'Subbu- Mini Project EXcel Clean'!D549:D1548,"Entry Level",0)</f>
        <v>74</v>
      </c>
      <c r="E549">
        <f>_xlfn.XLOOKUP(A549,'Subbu- Mini Project EXcel Clean'!A549:A1548,'Subbu- Mini Project EXcel Clean'!F549:F1548,"Entry Level",0)</f>
        <v>77.099999999999994</v>
      </c>
      <c r="F549">
        <f>_xlfn.XLOOKUP(A549,'Subbu- Mini Project EXcel Clean'!A549:A1548,'Subbu- Mini Project EXcel Clean'!G549:G1548," ",0)</f>
        <v>77</v>
      </c>
      <c r="G549" t="str">
        <f>_xlfn.XLOOKUP(A549,'Subbu- Mini Project EXcel Clean'!A549:A1548,'Subbu- Mini Project EXcel Clean'!H549:H1548," ",0)</f>
        <v>Pass</v>
      </c>
      <c r="H549" t="str">
        <f>VLOOKUP(A549,'Subbu- Mini Project EXcel Clean'!A548:R1548,18,)</f>
        <v>Bachelor</v>
      </c>
    </row>
    <row r="550" spans="1:8" x14ac:dyDescent="0.25">
      <c r="A550" t="s">
        <v>578</v>
      </c>
      <c r="B550">
        <f>VLOOKUP(A550,'Subbu- Mini Project EXcel Clean'!A549:R1549,2,FALSE)</f>
        <v>62.6</v>
      </c>
      <c r="C550">
        <f>VLOOKUP(A550,'Subbu- Mini Project EXcel Clean'!A549:R1549,3,FALSE)</f>
        <v>72.099999999999994</v>
      </c>
      <c r="D550">
        <f>_xlfn.XLOOKUP(A550,'Subbu- Mini Project EXcel Clean'!A550:A1549,'Subbu- Mini Project EXcel Clean'!D550:D1549,"Entry Level",0)</f>
        <v>63.2</v>
      </c>
      <c r="E550">
        <f>_xlfn.XLOOKUP(A550,'Subbu- Mini Project EXcel Clean'!A550:A1549,'Subbu- Mini Project EXcel Clean'!F550:F1549,"Entry Level",0)</f>
        <v>79.8</v>
      </c>
      <c r="F550">
        <f>_xlfn.XLOOKUP(A550,'Subbu- Mini Project EXcel Clean'!A550:A1549,'Subbu- Mini Project EXcel Clean'!G550:G1549," ",0)</f>
        <v>74.2</v>
      </c>
      <c r="G550" t="str">
        <f>_xlfn.XLOOKUP(A550,'Subbu- Mini Project EXcel Clean'!A550:A1549,'Subbu- Mini Project EXcel Clean'!H550:H1549," ",0)</f>
        <v>Pass</v>
      </c>
      <c r="H550" t="str">
        <f>VLOOKUP(A550,'Subbu- Mini Project EXcel Clean'!A549:R1549,18,)</f>
        <v>Bachelor</v>
      </c>
    </row>
    <row r="551" spans="1:8" x14ac:dyDescent="0.25">
      <c r="A551" t="s">
        <v>579</v>
      </c>
      <c r="B551">
        <f>VLOOKUP(A551,'Subbu- Mini Project EXcel Clean'!A550:R1550,2,FALSE)</f>
        <v>85.5</v>
      </c>
      <c r="C551">
        <f>VLOOKUP(A551,'Subbu- Mini Project EXcel Clean'!A550:R1550,3,FALSE)</f>
        <v>86.7</v>
      </c>
      <c r="D551">
        <f>_xlfn.XLOOKUP(A551,'Subbu- Mini Project EXcel Clean'!A551:A1550,'Subbu- Mini Project EXcel Clean'!D551:D1550,"Entry Level",0)</f>
        <v>86.7</v>
      </c>
      <c r="E551">
        <f>_xlfn.XLOOKUP(A551,'Subbu- Mini Project EXcel Clean'!A551:A1550,'Subbu- Mini Project EXcel Clean'!F551:F1550,"Entry Level",0)</f>
        <v>70.8</v>
      </c>
      <c r="F551">
        <f>_xlfn.XLOOKUP(A551,'Subbu- Mini Project EXcel Clean'!A551:A1550,'Subbu- Mini Project EXcel Clean'!G551:G1550," ",0)</f>
        <v>76.650000000000006</v>
      </c>
      <c r="G551" t="str">
        <f>_xlfn.XLOOKUP(A551,'Subbu- Mini Project EXcel Clean'!A551:A1550,'Subbu- Mini Project EXcel Clean'!H551:H1550," ",0)</f>
        <v>Pass</v>
      </c>
      <c r="H551" t="str">
        <f>VLOOKUP(A551,'Subbu- Mini Project EXcel Clean'!A550:R1550,18,)</f>
        <v>High School</v>
      </c>
    </row>
    <row r="552" spans="1:8" x14ac:dyDescent="0.25">
      <c r="A552" t="s">
        <v>580</v>
      </c>
      <c r="B552">
        <f>VLOOKUP(A552,'Subbu- Mini Project EXcel Clean'!A551:R1551,2,FALSE)</f>
        <v>76.3</v>
      </c>
      <c r="C552">
        <f>VLOOKUP(A552,'Subbu- Mini Project EXcel Clean'!A551:R1551,3,FALSE)</f>
        <v>67.099999999999994</v>
      </c>
      <c r="D552">
        <f>_xlfn.XLOOKUP(A552,'Subbu- Mini Project EXcel Clean'!A552:A1551,'Subbu- Mini Project EXcel Clean'!D552:D1551,"Entry Level",0)</f>
        <v>73.2</v>
      </c>
      <c r="E552">
        <f>_xlfn.XLOOKUP(A552,'Subbu- Mini Project EXcel Clean'!A552:A1551,'Subbu- Mini Project EXcel Clean'!F552:F1551,"Entry Level",0)</f>
        <v>78</v>
      </c>
      <c r="F552">
        <f>_xlfn.XLOOKUP(A552,'Subbu- Mini Project EXcel Clean'!A552:A1551,'Subbu- Mini Project EXcel Clean'!G552:G1551," ",0)</f>
        <v>73.3</v>
      </c>
      <c r="G552" t="str">
        <f>_xlfn.XLOOKUP(A552,'Subbu- Mini Project EXcel Clean'!A552:A1551,'Subbu- Mini Project EXcel Clean'!H552:H1551," ",0)</f>
        <v>Pass</v>
      </c>
      <c r="H552" t="str">
        <f>VLOOKUP(A552,'Subbu- Mini Project EXcel Clean'!A551:R1551,18,)</f>
        <v>High School</v>
      </c>
    </row>
    <row r="553" spans="1:8" x14ac:dyDescent="0.25">
      <c r="A553" t="s">
        <v>581</v>
      </c>
      <c r="B553">
        <f>VLOOKUP(A553,'Subbu- Mini Project EXcel Clean'!A552:R1552,2,FALSE)</f>
        <v>93</v>
      </c>
      <c r="C553">
        <f>VLOOKUP(A553,'Subbu- Mini Project EXcel Clean'!A552:R1552,3,FALSE)</f>
        <v>86.5</v>
      </c>
      <c r="D553">
        <f>_xlfn.XLOOKUP(A553,'Subbu- Mini Project EXcel Clean'!A553:A1552,'Subbu- Mini Project EXcel Clean'!D553:D1552,"Entry Level",0)</f>
        <v>79.099999999999994</v>
      </c>
      <c r="E553">
        <f>_xlfn.XLOOKUP(A553,'Subbu- Mini Project EXcel Clean'!A553:A1552,'Subbu- Mini Project EXcel Clean'!F553:F1552,"Entry Level",0)</f>
        <v>92.9</v>
      </c>
      <c r="F553">
        <f>_xlfn.XLOOKUP(A553,'Subbu- Mini Project EXcel Clean'!A553:A1552,'Subbu- Mini Project EXcel Clean'!G553:G1552," ",0)</f>
        <v>89.9</v>
      </c>
      <c r="G553" t="str">
        <f>_xlfn.XLOOKUP(A553,'Subbu- Mini Project EXcel Clean'!A553:A1552,'Subbu- Mini Project EXcel Clean'!H553:H1552," ",0)</f>
        <v>Pass</v>
      </c>
      <c r="H553" t="str">
        <f>VLOOKUP(A553,'Subbu- Mini Project EXcel Clean'!A552:R1552,18,)</f>
        <v>Bachelor</v>
      </c>
    </row>
    <row r="554" spans="1:8" x14ac:dyDescent="0.25">
      <c r="A554" t="s">
        <v>582</v>
      </c>
      <c r="B554">
        <f>VLOOKUP(A554,'Subbu- Mini Project EXcel Clean'!A553:R1553,2,FALSE)</f>
        <v>69.3</v>
      </c>
      <c r="C554">
        <f>VLOOKUP(A554,'Subbu- Mini Project EXcel Clean'!A553:R1553,3,FALSE)</f>
        <v>62.8</v>
      </c>
      <c r="D554">
        <f>_xlfn.XLOOKUP(A554,'Subbu- Mini Project EXcel Clean'!A554:A1553,'Subbu- Mini Project EXcel Clean'!D554:D1553,"Entry Level",0)</f>
        <v>78.3</v>
      </c>
      <c r="E554">
        <f>_xlfn.XLOOKUP(A554,'Subbu- Mini Project EXcel Clean'!A554:A1553,'Subbu- Mini Project EXcel Clean'!F554:F1553,"Entry Level",0)</f>
        <v>71.900000000000006</v>
      </c>
      <c r="F554">
        <f>_xlfn.XLOOKUP(A554,'Subbu- Mini Project EXcel Clean'!A554:A1553,'Subbu- Mini Project EXcel Clean'!G554:G1553," ",0)</f>
        <v>71.150000000000006</v>
      </c>
      <c r="G554" t="str">
        <f>_xlfn.XLOOKUP(A554,'Subbu- Mini Project EXcel Clean'!A554:A1553,'Subbu- Mini Project EXcel Clean'!H554:H1553," ",0)</f>
        <v>Pass</v>
      </c>
      <c r="H554" t="str">
        <f>VLOOKUP(A554,'Subbu- Mini Project EXcel Clean'!A553:R1553,18,)</f>
        <v>Bachelor</v>
      </c>
    </row>
    <row r="555" spans="1:8" x14ac:dyDescent="0.25">
      <c r="A555" t="s">
        <v>583</v>
      </c>
      <c r="B555">
        <f>VLOOKUP(A555,'Subbu- Mini Project EXcel Clean'!A554:R1554,2,FALSE)</f>
        <v>78.3</v>
      </c>
      <c r="C555">
        <f>VLOOKUP(A555,'Subbu- Mini Project EXcel Clean'!A554:R1554,3,FALSE)</f>
        <v>69.099999999999994</v>
      </c>
      <c r="D555">
        <f>_xlfn.XLOOKUP(A555,'Subbu- Mini Project EXcel Clean'!A555:A1554,'Subbu- Mini Project EXcel Clean'!D555:D1554,"Entry Level",0)</f>
        <v>73.7</v>
      </c>
      <c r="E555">
        <f>_xlfn.XLOOKUP(A555,'Subbu- Mini Project EXcel Clean'!A555:A1554,'Subbu- Mini Project EXcel Clean'!F555:F1554,"Entry Level",0)</f>
        <v>72.400000000000006</v>
      </c>
      <c r="F555">
        <f>_xlfn.XLOOKUP(A555,'Subbu- Mini Project EXcel Clean'!A555:A1554,'Subbu- Mini Project EXcel Clean'!G555:G1554," ",0)</f>
        <v>71.650000000000006</v>
      </c>
      <c r="G555" t="str">
        <f>_xlfn.XLOOKUP(A555,'Subbu- Mini Project EXcel Clean'!A555:A1554,'Subbu- Mini Project EXcel Clean'!H555:H1554," ",0)</f>
        <v>Pass</v>
      </c>
      <c r="H555" t="str">
        <f>VLOOKUP(A555,'Subbu- Mini Project EXcel Clean'!A554:R1554,18,)</f>
        <v>Master</v>
      </c>
    </row>
    <row r="556" spans="1:8" x14ac:dyDescent="0.25">
      <c r="A556" t="s">
        <v>584</v>
      </c>
      <c r="B556">
        <f>VLOOKUP(A556,'Subbu- Mini Project EXcel Clean'!A555:R1555,2,FALSE)</f>
        <v>89</v>
      </c>
      <c r="C556">
        <f>VLOOKUP(A556,'Subbu- Mini Project EXcel Clean'!A555:R1555,3,FALSE)</f>
        <v>92.7</v>
      </c>
      <c r="D556">
        <f>_xlfn.XLOOKUP(A556,'Subbu- Mini Project EXcel Clean'!A556:A1555,'Subbu- Mini Project EXcel Clean'!D556:D1555,"Entry Level",0)</f>
        <v>95.2</v>
      </c>
      <c r="E556">
        <f>_xlfn.XLOOKUP(A556,'Subbu- Mini Project EXcel Clean'!A556:A1555,'Subbu- Mini Project EXcel Clean'!F556:F1555,"Entry Level",0)</f>
        <v>91.4</v>
      </c>
      <c r="F556">
        <f>_xlfn.XLOOKUP(A556,'Subbu- Mini Project EXcel Clean'!A556:A1555,'Subbu- Mini Project EXcel Clean'!G556:G1555," ",0)</f>
        <v>89.8</v>
      </c>
      <c r="G556" t="str">
        <f>_xlfn.XLOOKUP(A556,'Subbu- Mini Project EXcel Clean'!A556:A1555,'Subbu- Mini Project EXcel Clean'!H556:H1555," ",0)</f>
        <v>Pass</v>
      </c>
      <c r="H556" t="str">
        <f>VLOOKUP(A556,'Subbu- Mini Project EXcel Clean'!A555:R1555,18,)</f>
        <v>High School</v>
      </c>
    </row>
    <row r="557" spans="1:8" x14ac:dyDescent="0.25">
      <c r="A557" t="s">
        <v>585</v>
      </c>
      <c r="B557">
        <f>VLOOKUP(A557,'Subbu- Mini Project EXcel Clean'!A556:R1556,2,FALSE)</f>
        <v>60.5</v>
      </c>
      <c r="C557">
        <f>VLOOKUP(A557,'Subbu- Mini Project EXcel Clean'!A556:R1556,3,FALSE)</f>
        <v>65.099999999999994</v>
      </c>
      <c r="D557">
        <f>_xlfn.XLOOKUP(A557,'Subbu- Mini Project EXcel Clean'!A557:A1556,'Subbu- Mini Project EXcel Clean'!D557:D1556,"Entry Level",0)</f>
        <v>55.5</v>
      </c>
      <c r="E557">
        <f>_xlfn.XLOOKUP(A557,'Subbu- Mini Project EXcel Clean'!A557:A1556,'Subbu- Mini Project EXcel Clean'!F557:F1556,"Entry Level",0)</f>
        <v>63.3</v>
      </c>
      <c r="F557">
        <f>_xlfn.XLOOKUP(A557,'Subbu- Mini Project EXcel Clean'!A557:A1556,'Subbu- Mini Project EXcel Clean'!G557:G1556," ",0)</f>
        <v>62.75</v>
      </c>
      <c r="G557" t="str">
        <f>_xlfn.XLOOKUP(A557,'Subbu- Mini Project EXcel Clean'!A557:A1556,'Subbu- Mini Project EXcel Clean'!H557:H1556," ",0)</f>
        <v>Pass</v>
      </c>
      <c r="H557" t="str">
        <f>VLOOKUP(A557,'Subbu- Mini Project EXcel Clean'!A556:R1556,18,)</f>
        <v>High School</v>
      </c>
    </row>
    <row r="558" spans="1:8" x14ac:dyDescent="0.25">
      <c r="A558" t="s">
        <v>586</v>
      </c>
      <c r="B558">
        <f>VLOOKUP(A558,'Subbu- Mini Project EXcel Clean'!A557:R1557,2,FALSE)</f>
        <v>44.3</v>
      </c>
      <c r="C558">
        <f>VLOOKUP(A558,'Subbu- Mini Project EXcel Clean'!A557:R1557,3,FALSE)</f>
        <v>49.9</v>
      </c>
      <c r="D558">
        <f>_xlfn.XLOOKUP(A558,'Subbu- Mini Project EXcel Clean'!A558:A1557,'Subbu- Mini Project EXcel Clean'!D558:D1557,"Entry Level",0)</f>
        <v>40.5</v>
      </c>
      <c r="E558">
        <f>_xlfn.XLOOKUP(A558,'Subbu- Mini Project EXcel Clean'!A558:A1557,'Subbu- Mini Project EXcel Clean'!F558:F1557,"Entry Level",0)</f>
        <v>48</v>
      </c>
      <c r="F558">
        <f>_xlfn.XLOOKUP(A558,'Subbu- Mini Project EXcel Clean'!A558:A1557,'Subbu- Mini Project EXcel Clean'!G558:G1557," ",0)</f>
        <v>47.7</v>
      </c>
      <c r="G558" t="str">
        <f>_xlfn.XLOOKUP(A558,'Subbu- Mini Project EXcel Clean'!A558:A1557,'Subbu- Mini Project EXcel Clean'!H558:H1557," ",0)</f>
        <v>Fail</v>
      </c>
      <c r="H558" t="str">
        <f>VLOOKUP(A558,'Subbu- Mini Project EXcel Clean'!A557:R1557,18,)</f>
        <v>Master</v>
      </c>
    </row>
    <row r="559" spans="1:8" x14ac:dyDescent="0.25">
      <c r="A559" t="s">
        <v>587</v>
      </c>
      <c r="B559">
        <f>VLOOKUP(A559,'Subbu- Mini Project EXcel Clean'!A558:R1558,2,FALSE)</f>
        <v>40.1</v>
      </c>
      <c r="C559">
        <f>VLOOKUP(A559,'Subbu- Mini Project EXcel Clean'!A558:R1558,3,FALSE)</f>
        <v>41.8</v>
      </c>
      <c r="D559">
        <f>_xlfn.XLOOKUP(A559,'Subbu- Mini Project EXcel Clean'!A559:A1558,'Subbu- Mini Project EXcel Clean'!D559:D1558,"Entry Level",0)</f>
        <v>40.799999999999997</v>
      </c>
      <c r="E559">
        <f>_xlfn.XLOOKUP(A559,'Subbu- Mini Project EXcel Clean'!A559:A1558,'Subbu- Mini Project EXcel Clean'!F559:F1558,"Entry Level",0)</f>
        <v>59.9</v>
      </c>
      <c r="F559">
        <f>_xlfn.XLOOKUP(A559,'Subbu- Mini Project EXcel Clean'!A559:A1558,'Subbu- Mini Project EXcel Clean'!G559:G1558," ",0)</f>
        <v>50.75</v>
      </c>
      <c r="G559" t="str">
        <f>_xlfn.XLOOKUP(A559,'Subbu- Mini Project EXcel Clean'!A559:A1558,'Subbu- Mini Project EXcel Clean'!H559:H1558," ",0)</f>
        <v>Pass</v>
      </c>
      <c r="H559" t="str">
        <f>VLOOKUP(A559,'Subbu- Mini Project EXcel Clean'!A558:R1558,18,)</f>
        <v>Master</v>
      </c>
    </row>
    <row r="560" spans="1:8" x14ac:dyDescent="0.25">
      <c r="A560" t="s">
        <v>588</v>
      </c>
      <c r="B560">
        <f>VLOOKUP(A560,'Subbu- Mini Project EXcel Clean'!A559:R1559,2,FALSE)</f>
        <v>79.599999999999994</v>
      </c>
      <c r="C560">
        <f>VLOOKUP(A560,'Subbu- Mini Project EXcel Clean'!A559:R1559,3,FALSE)</f>
        <v>81.599999999999994</v>
      </c>
      <c r="D560">
        <f>_xlfn.XLOOKUP(A560,'Subbu- Mini Project EXcel Clean'!A560:A1559,'Subbu- Mini Project EXcel Clean'!D560:D1559,"Entry Level",0)</f>
        <v>84</v>
      </c>
      <c r="E560">
        <f>_xlfn.XLOOKUP(A560,'Subbu- Mini Project EXcel Clean'!A560:A1559,'Subbu- Mini Project EXcel Clean'!F560:F1559,"Entry Level",0)</f>
        <v>79.3</v>
      </c>
      <c r="F560">
        <f>_xlfn.XLOOKUP(A560,'Subbu- Mini Project EXcel Clean'!A560:A1559,'Subbu- Mini Project EXcel Clean'!G560:G1559," ",0)</f>
        <v>80.400000000000006</v>
      </c>
      <c r="G560" t="str">
        <f>_xlfn.XLOOKUP(A560,'Subbu- Mini Project EXcel Clean'!A560:A1559,'Subbu- Mini Project EXcel Clean'!H560:H1559," ",0)</f>
        <v>Pass</v>
      </c>
      <c r="H560" t="str">
        <f>VLOOKUP(A560,'Subbu- Mini Project EXcel Clean'!A559:R1559,18,)</f>
        <v>High School</v>
      </c>
    </row>
    <row r="561" spans="1:8" x14ac:dyDescent="0.25">
      <c r="A561" t="s">
        <v>589</v>
      </c>
      <c r="B561">
        <f>VLOOKUP(A561,'Subbu- Mini Project EXcel Clean'!A560:R1560,2,FALSE)</f>
        <v>75</v>
      </c>
      <c r="C561">
        <f>VLOOKUP(A561,'Subbu- Mini Project EXcel Clean'!A560:R1560,3,FALSE)</f>
        <v>70.8</v>
      </c>
      <c r="D561">
        <f>_xlfn.XLOOKUP(A561,'Subbu- Mini Project EXcel Clean'!A561:A1560,'Subbu- Mini Project EXcel Clean'!D561:D1560,"Entry Level",0)</f>
        <v>83.1</v>
      </c>
      <c r="E561">
        <f>_xlfn.XLOOKUP(A561,'Subbu- Mini Project EXcel Clean'!A561:A1560,'Subbu- Mini Project EXcel Clean'!F561:F1560,"Entry Level",0)</f>
        <v>77.400000000000006</v>
      </c>
      <c r="F561">
        <f>_xlfn.XLOOKUP(A561,'Subbu- Mini Project EXcel Clean'!A561:A1560,'Subbu- Mini Project EXcel Clean'!G561:G1560," ",0)</f>
        <v>75.75</v>
      </c>
      <c r="G561" t="str">
        <f>_xlfn.XLOOKUP(A561,'Subbu- Mini Project EXcel Clean'!A561:A1560,'Subbu- Mini Project EXcel Clean'!H561:H1560," ",0)</f>
        <v>Pass</v>
      </c>
      <c r="H561" t="str">
        <f>VLOOKUP(A561,'Subbu- Mini Project EXcel Clean'!A560:R1560,18,)</f>
        <v>Bachelor</v>
      </c>
    </row>
    <row r="562" spans="1:8" x14ac:dyDescent="0.25">
      <c r="A562" t="s">
        <v>590</v>
      </c>
      <c r="B562">
        <f>VLOOKUP(A562,'Subbu- Mini Project EXcel Clean'!A561:R1561,2,FALSE)</f>
        <v>79.5</v>
      </c>
      <c r="C562">
        <f>VLOOKUP(A562,'Subbu- Mini Project EXcel Clean'!A561:R1561,3,FALSE)</f>
        <v>82.2</v>
      </c>
      <c r="D562">
        <f>_xlfn.XLOOKUP(A562,'Subbu- Mini Project EXcel Clean'!A562:A1561,'Subbu- Mini Project EXcel Clean'!D562:D1561,"Entry Level",0)</f>
        <v>82.3</v>
      </c>
      <c r="E562">
        <f>_xlfn.XLOOKUP(A562,'Subbu- Mini Project EXcel Clean'!A562:A1561,'Subbu- Mini Project EXcel Clean'!F562:F1561,"Entry Level",0)</f>
        <v>86.7</v>
      </c>
      <c r="F562">
        <f>_xlfn.XLOOKUP(A562,'Subbu- Mini Project EXcel Clean'!A562:A1561,'Subbu- Mini Project EXcel Clean'!G562:G1561," ",0)</f>
        <v>82.7</v>
      </c>
      <c r="G562" t="str">
        <f>_xlfn.XLOOKUP(A562,'Subbu- Mini Project EXcel Clean'!A562:A1561,'Subbu- Mini Project EXcel Clean'!H562:H1561," ",0)</f>
        <v>Pass</v>
      </c>
      <c r="H562" t="str">
        <f>VLOOKUP(A562,'Subbu- Mini Project EXcel Clean'!A561:R1561,18,)</f>
        <v>Bachelor</v>
      </c>
    </row>
    <row r="563" spans="1:8" x14ac:dyDescent="0.25">
      <c r="A563" t="s">
        <v>591</v>
      </c>
      <c r="B563">
        <f>VLOOKUP(A563,'Subbu- Mini Project EXcel Clean'!A562:R1562,2,FALSE)</f>
        <v>51.7</v>
      </c>
      <c r="C563">
        <f>VLOOKUP(A563,'Subbu- Mini Project EXcel Clean'!A562:R1562,3,FALSE)</f>
        <v>53.8</v>
      </c>
      <c r="D563">
        <f>_xlfn.XLOOKUP(A563,'Subbu- Mini Project EXcel Clean'!A563:A1562,'Subbu- Mini Project EXcel Clean'!D563:D1562,"Entry Level",0)</f>
        <v>50.5</v>
      </c>
      <c r="E563">
        <f>_xlfn.XLOOKUP(A563,'Subbu- Mini Project EXcel Clean'!A563:A1562,'Subbu- Mini Project EXcel Clean'!F563:F1562,"Entry Level",0)</f>
        <v>65.2</v>
      </c>
      <c r="F563">
        <f>_xlfn.XLOOKUP(A563,'Subbu- Mini Project EXcel Clean'!A563:A1562,'Subbu- Mini Project EXcel Clean'!G563:G1562," ",0)</f>
        <v>58.45</v>
      </c>
      <c r="G563" t="str">
        <f>_xlfn.XLOOKUP(A563,'Subbu- Mini Project EXcel Clean'!A563:A1562,'Subbu- Mini Project EXcel Clean'!H563:H1562," ",0)</f>
        <v>Pass</v>
      </c>
      <c r="H563" t="str">
        <f>VLOOKUP(A563,'Subbu- Mini Project EXcel Clean'!A562:R1562,18,)</f>
        <v>Master</v>
      </c>
    </row>
    <row r="564" spans="1:8" x14ac:dyDescent="0.25">
      <c r="A564" t="s">
        <v>592</v>
      </c>
      <c r="B564">
        <f>VLOOKUP(A564,'Subbu- Mini Project EXcel Clean'!A563:R1563,2,FALSE)</f>
        <v>49.7</v>
      </c>
      <c r="C564">
        <f>VLOOKUP(A564,'Subbu- Mini Project EXcel Clean'!A563:R1563,3,FALSE)</f>
        <v>50</v>
      </c>
      <c r="D564">
        <f>_xlfn.XLOOKUP(A564,'Subbu- Mini Project EXcel Clean'!A564:A1563,'Subbu- Mini Project EXcel Clean'!D564:D1563,"Entry Level",0)</f>
        <v>42.4</v>
      </c>
      <c r="E564">
        <f>_xlfn.XLOOKUP(A564,'Subbu- Mini Project EXcel Clean'!A564:A1563,'Subbu- Mini Project EXcel Clean'!F564:F1563,"Entry Level",0)</f>
        <v>40.799999999999997</v>
      </c>
      <c r="F564">
        <f>_xlfn.XLOOKUP(A564,'Subbu- Mini Project EXcel Clean'!A564:A1563,'Subbu- Mini Project EXcel Clean'!G564:G1563," ",0)</f>
        <v>44.15</v>
      </c>
      <c r="G564" t="str">
        <f>_xlfn.XLOOKUP(A564,'Subbu- Mini Project EXcel Clean'!A564:A1563,'Subbu- Mini Project EXcel Clean'!H564:H1563," ",0)</f>
        <v>Fail</v>
      </c>
      <c r="H564" t="str">
        <f>VLOOKUP(A564,'Subbu- Mini Project EXcel Clean'!A563:R1563,18,)</f>
        <v>High School</v>
      </c>
    </row>
    <row r="565" spans="1:8" x14ac:dyDescent="0.25">
      <c r="A565" t="s">
        <v>593</v>
      </c>
      <c r="B565">
        <f>VLOOKUP(A565,'Subbu- Mini Project EXcel Clean'!A564:R1564,2,FALSE)</f>
        <v>46.8</v>
      </c>
      <c r="C565">
        <f>VLOOKUP(A565,'Subbu- Mini Project EXcel Clean'!A564:R1564,3,FALSE)</f>
        <v>38.200000000000003</v>
      </c>
      <c r="D565">
        <f>_xlfn.XLOOKUP(A565,'Subbu- Mini Project EXcel Clean'!A565:A1564,'Subbu- Mini Project EXcel Clean'!D565:D1564,"Entry Level",0)</f>
        <v>46.9</v>
      </c>
      <c r="E565">
        <f>_xlfn.XLOOKUP(A565,'Subbu- Mini Project EXcel Clean'!A565:A1564,'Subbu- Mini Project EXcel Clean'!F565:F1564,"Entry Level",0)</f>
        <v>53.1</v>
      </c>
      <c r="F565">
        <f>_xlfn.XLOOKUP(A565,'Subbu- Mini Project EXcel Clean'!A565:A1564,'Subbu- Mini Project EXcel Clean'!G565:G1564," ",0)</f>
        <v>46.95</v>
      </c>
      <c r="G565" t="str">
        <f>_xlfn.XLOOKUP(A565,'Subbu- Mini Project EXcel Clean'!A565:A1564,'Subbu- Mini Project EXcel Clean'!H565:H1564," ",0)</f>
        <v>Fail</v>
      </c>
      <c r="H565" t="str">
        <f>VLOOKUP(A565,'Subbu- Mini Project EXcel Clean'!A564:R1564,18,)</f>
        <v>Master</v>
      </c>
    </row>
    <row r="566" spans="1:8" x14ac:dyDescent="0.25">
      <c r="A566" t="s">
        <v>594</v>
      </c>
      <c r="B566">
        <f>VLOOKUP(A566,'Subbu- Mini Project EXcel Clean'!A565:R1565,2,FALSE)</f>
        <v>64</v>
      </c>
      <c r="C566">
        <f>VLOOKUP(A566,'Subbu- Mini Project EXcel Clean'!A565:R1565,3,FALSE)</f>
        <v>48.5</v>
      </c>
      <c r="D566">
        <f>_xlfn.XLOOKUP(A566,'Subbu- Mini Project EXcel Clean'!A566:A1565,'Subbu- Mini Project EXcel Clean'!D566:D1565,"Entry Level",0)</f>
        <v>54.5</v>
      </c>
      <c r="E566">
        <f>_xlfn.XLOOKUP(A566,'Subbu- Mini Project EXcel Clean'!A566:A1565,'Subbu- Mini Project EXcel Clean'!F566:F1565,"Entry Level",0)</f>
        <v>66.2</v>
      </c>
      <c r="F566">
        <f>_xlfn.XLOOKUP(A566,'Subbu- Mini Project EXcel Clean'!A566:A1565,'Subbu- Mini Project EXcel Clean'!G566:G1565," ",0)</f>
        <v>62.75</v>
      </c>
      <c r="G566" t="str">
        <f>_xlfn.XLOOKUP(A566,'Subbu- Mini Project EXcel Clean'!A566:A1565,'Subbu- Mini Project EXcel Clean'!H566:H1565," ",0)</f>
        <v>Pass</v>
      </c>
      <c r="H566" t="str">
        <f>VLOOKUP(A566,'Subbu- Mini Project EXcel Clean'!A565:R1565,18,)</f>
        <v>Bachelor</v>
      </c>
    </row>
    <row r="567" spans="1:8" x14ac:dyDescent="0.25">
      <c r="A567" t="s">
        <v>595</v>
      </c>
      <c r="B567">
        <f>VLOOKUP(A567,'Subbu- Mini Project EXcel Clean'!A566:R1566,2,FALSE)</f>
        <v>65</v>
      </c>
      <c r="C567">
        <f>VLOOKUP(A567,'Subbu- Mini Project EXcel Clean'!A566:R1566,3,FALSE)</f>
        <v>77.900000000000006</v>
      </c>
      <c r="D567">
        <f>_xlfn.XLOOKUP(A567,'Subbu- Mini Project EXcel Clean'!A567:A1566,'Subbu- Mini Project EXcel Clean'!D567:D1566,"Entry Level",0)</f>
        <v>80.599999999999994</v>
      </c>
      <c r="E567">
        <f>_xlfn.XLOOKUP(A567,'Subbu- Mini Project EXcel Clean'!A567:A1566,'Subbu- Mini Project EXcel Clean'!F567:F1566,"Entry Level",0)</f>
        <v>74.8</v>
      </c>
      <c r="F567">
        <f>_xlfn.XLOOKUP(A567,'Subbu- Mini Project EXcel Clean'!A567:A1566,'Subbu- Mini Project EXcel Clean'!G567:G1566," ",0)</f>
        <v>73.599999999999994</v>
      </c>
      <c r="G567" t="str">
        <f>_xlfn.XLOOKUP(A567,'Subbu- Mini Project EXcel Clean'!A567:A1566,'Subbu- Mini Project EXcel Clean'!H567:H1566," ",0)</f>
        <v>Pass</v>
      </c>
      <c r="H567" t="str">
        <f>VLOOKUP(A567,'Subbu- Mini Project EXcel Clean'!A566:R1566,18,)</f>
        <v>Bachelor</v>
      </c>
    </row>
    <row r="568" spans="1:8" x14ac:dyDescent="0.25">
      <c r="A568" t="s">
        <v>596</v>
      </c>
      <c r="B568">
        <f>VLOOKUP(A568,'Subbu- Mini Project EXcel Clean'!A567:R1567,2,FALSE)</f>
        <v>48.8</v>
      </c>
      <c r="C568">
        <f>VLOOKUP(A568,'Subbu- Mini Project EXcel Clean'!A567:R1567,3,FALSE)</f>
        <v>59.2</v>
      </c>
      <c r="D568">
        <f>_xlfn.XLOOKUP(A568,'Subbu- Mini Project EXcel Clean'!A568:A1567,'Subbu- Mini Project EXcel Clean'!D568:D1567,"Entry Level",0)</f>
        <v>60.2</v>
      </c>
      <c r="E568">
        <f>_xlfn.XLOOKUP(A568,'Subbu- Mini Project EXcel Clean'!A568:A1567,'Subbu- Mini Project EXcel Clean'!F568:F1567,"Entry Level",0)</f>
        <v>55.5</v>
      </c>
      <c r="F568">
        <f>_xlfn.XLOOKUP(A568,'Subbu- Mini Project EXcel Clean'!A568:A1567,'Subbu- Mini Project EXcel Clean'!G568:G1567," ",0)</f>
        <v>58.55</v>
      </c>
      <c r="G568" t="str">
        <f>_xlfn.XLOOKUP(A568,'Subbu- Mini Project EXcel Clean'!A568:A1567,'Subbu- Mini Project EXcel Clean'!H568:H1567," ",0)</f>
        <v>Pass</v>
      </c>
      <c r="H568" t="str">
        <f>VLOOKUP(A568,'Subbu- Mini Project EXcel Clean'!A567:R1567,18,)</f>
        <v>Master</v>
      </c>
    </row>
    <row r="569" spans="1:8" x14ac:dyDescent="0.25">
      <c r="A569" t="s">
        <v>597</v>
      </c>
      <c r="B569">
        <f>VLOOKUP(A569,'Subbu- Mini Project EXcel Clean'!A568:R1568,2,FALSE)</f>
        <v>68.7</v>
      </c>
      <c r="C569">
        <f>VLOOKUP(A569,'Subbu- Mini Project EXcel Clean'!A568:R1568,3,FALSE)</f>
        <v>59.7</v>
      </c>
      <c r="D569">
        <f>_xlfn.XLOOKUP(A569,'Subbu- Mini Project EXcel Clean'!A569:A1568,'Subbu- Mini Project EXcel Clean'!D569:D1568,"Entry Level",0)</f>
        <v>72</v>
      </c>
      <c r="E569">
        <f>_xlfn.XLOOKUP(A569,'Subbu- Mini Project EXcel Clean'!A569:A1568,'Subbu- Mini Project EXcel Clean'!F569:F1568,"Entry Level",0)</f>
        <v>79.2</v>
      </c>
      <c r="F569">
        <f>_xlfn.XLOOKUP(A569,'Subbu- Mini Project EXcel Clean'!A569:A1568,'Subbu- Mini Project EXcel Clean'!G569:G1568," ",0)</f>
        <v>71.650000000000006</v>
      </c>
      <c r="G569" t="str">
        <f>_xlfn.XLOOKUP(A569,'Subbu- Mini Project EXcel Clean'!A569:A1568,'Subbu- Mini Project EXcel Clean'!H569:H1568," ",0)</f>
        <v>Pass</v>
      </c>
      <c r="H569" t="str">
        <f>VLOOKUP(A569,'Subbu- Mini Project EXcel Clean'!A568:R1568,18,)</f>
        <v>Bachelor</v>
      </c>
    </row>
    <row r="570" spans="1:8" x14ac:dyDescent="0.25">
      <c r="A570" t="s">
        <v>598</v>
      </c>
      <c r="B570">
        <f>VLOOKUP(A570,'Subbu- Mini Project EXcel Clean'!A569:R1569,2,FALSE)</f>
        <v>82.9</v>
      </c>
      <c r="C570">
        <f>VLOOKUP(A570,'Subbu- Mini Project EXcel Clean'!A569:R1569,3,FALSE)</f>
        <v>93.2</v>
      </c>
      <c r="D570">
        <f>_xlfn.XLOOKUP(A570,'Subbu- Mini Project EXcel Clean'!A570:A1569,'Subbu- Mini Project EXcel Clean'!D570:D1569,"Entry Level",0)</f>
        <v>93.1</v>
      </c>
      <c r="E570">
        <f>_xlfn.XLOOKUP(A570,'Subbu- Mini Project EXcel Clean'!A570:A1569,'Subbu- Mini Project EXcel Clean'!F570:F1569,"Entry Level",0)</f>
        <v>90.4</v>
      </c>
      <c r="F570">
        <f>_xlfn.XLOOKUP(A570,'Subbu- Mini Project EXcel Clean'!A570:A1569,'Subbu- Mini Project EXcel Clean'!G570:G1569," ",0)</f>
        <v>90.05</v>
      </c>
      <c r="G570" t="str">
        <f>_xlfn.XLOOKUP(A570,'Subbu- Mini Project EXcel Clean'!A570:A1569,'Subbu- Mini Project EXcel Clean'!H570:H1569," ",0)</f>
        <v>Pass</v>
      </c>
      <c r="H570" t="str">
        <f>VLOOKUP(A570,'Subbu- Mini Project EXcel Clean'!A569:R1569,18,)</f>
        <v>High School</v>
      </c>
    </row>
    <row r="571" spans="1:8" x14ac:dyDescent="0.25">
      <c r="A571" t="s">
        <v>599</v>
      </c>
      <c r="B571">
        <f>VLOOKUP(A571,'Subbu- Mini Project EXcel Clean'!A570:R1570,2,FALSE)</f>
        <v>58</v>
      </c>
      <c r="C571">
        <f>VLOOKUP(A571,'Subbu- Mini Project EXcel Clean'!A570:R1570,3,FALSE)</f>
        <v>57.2</v>
      </c>
      <c r="D571">
        <f>_xlfn.XLOOKUP(A571,'Subbu- Mini Project EXcel Clean'!A571:A1570,'Subbu- Mini Project EXcel Clean'!D571:D1570,"Entry Level",0)</f>
        <v>58.5</v>
      </c>
      <c r="E571">
        <f>_xlfn.XLOOKUP(A571,'Subbu- Mini Project EXcel Clean'!A571:A1570,'Subbu- Mini Project EXcel Clean'!F571:F1570,"Entry Level",0)</f>
        <v>60.4</v>
      </c>
      <c r="F571">
        <f>_xlfn.XLOOKUP(A571,'Subbu- Mini Project EXcel Clean'!A571:A1570,'Subbu- Mini Project EXcel Clean'!G571:G1570," ",0)</f>
        <v>59.8</v>
      </c>
      <c r="G571" t="str">
        <f>_xlfn.XLOOKUP(A571,'Subbu- Mini Project EXcel Clean'!A571:A1570,'Subbu- Mini Project EXcel Clean'!H571:H1570," ",0)</f>
        <v>Pass</v>
      </c>
      <c r="H571" t="str">
        <f>VLOOKUP(A571,'Subbu- Mini Project EXcel Clean'!A570:R1570,18,)</f>
        <v>Master</v>
      </c>
    </row>
    <row r="572" spans="1:8" x14ac:dyDescent="0.25">
      <c r="A572" t="s">
        <v>600</v>
      </c>
      <c r="B572">
        <f>VLOOKUP(A572,'Subbu- Mini Project EXcel Clean'!A571:R1571,2,FALSE)</f>
        <v>62.4</v>
      </c>
      <c r="C572">
        <f>VLOOKUP(A572,'Subbu- Mini Project EXcel Clean'!A571:R1571,3,FALSE)</f>
        <v>73.599999999999994</v>
      </c>
      <c r="D572">
        <f>_xlfn.XLOOKUP(A572,'Subbu- Mini Project EXcel Clean'!A572:A1571,'Subbu- Mini Project EXcel Clean'!D572:D1571,"Entry Level",0)</f>
        <v>65.7</v>
      </c>
      <c r="E572">
        <f>_xlfn.XLOOKUP(A572,'Subbu- Mini Project EXcel Clean'!A572:A1571,'Subbu- Mini Project EXcel Clean'!F572:F1571,"Entry Level",0)</f>
        <v>70.2</v>
      </c>
      <c r="F572">
        <f>_xlfn.XLOOKUP(A572,'Subbu- Mini Project EXcel Clean'!A572:A1571,'Subbu- Mini Project EXcel Clean'!G572:G1571," ",0)</f>
        <v>69.25</v>
      </c>
      <c r="G572" t="str">
        <f>_xlfn.XLOOKUP(A572,'Subbu- Mini Project EXcel Clean'!A572:A1571,'Subbu- Mini Project EXcel Clean'!H572:H1571," ",0)</f>
        <v>Pass</v>
      </c>
      <c r="H572" t="str">
        <f>VLOOKUP(A572,'Subbu- Mini Project EXcel Clean'!A571:R1571,18,)</f>
        <v>Master</v>
      </c>
    </row>
    <row r="573" spans="1:8" x14ac:dyDescent="0.25">
      <c r="A573" t="s">
        <v>601</v>
      </c>
      <c r="B573">
        <f>VLOOKUP(A573,'Subbu- Mini Project EXcel Clean'!A572:R1572,2,FALSE)</f>
        <v>74.099999999999994</v>
      </c>
      <c r="C573">
        <f>VLOOKUP(A573,'Subbu- Mini Project EXcel Clean'!A572:R1572,3,FALSE)</f>
        <v>86.2</v>
      </c>
      <c r="D573">
        <f>_xlfn.XLOOKUP(A573,'Subbu- Mini Project EXcel Clean'!A573:A1572,'Subbu- Mini Project EXcel Clean'!D573:D1572,"Entry Level",0)</f>
        <v>81.400000000000006</v>
      </c>
      <c r="E573">
        <f>_xlfn.XLOOKUP(A573,'Subbu- Mini Project EXcel Clean'!A573:A1572,'Subbu- Mini Project EXcel Clean'!F573:F1572,"Entry Level",0)</f>
        <v>83.2</v>
      </c>
      <c r="F573">
        <f>_xlfn.XLOOKUP(A573,'Subbu- Mini Project EXcel Clean'!A573:A1572,'Subbu- Mini Project EXcel Clean'!G573:G1572," ",0)</f>
        <v>83.15</v>
      </c>
      <c r="G573" t="str">
        <f>_xlfn.XLOOKUP(A573,'Subbu- Mini Project EXcel Clean'!A573:A1572,'Subbu- Mini Project EXcel Clean'!H573:H1572," ",0)</f>
        <v>Pass</v>
      </c>
      <c r="H573" t="str">
        <f>VLOOKUP(A573,'Subbu- Mini Project EXcel Clean'!A572:R1572,18,)</f>
        <v>Master</v>
      </c>
    </row>
    <row r="574" spans="1:8" x14ac:dyDescent="0.25">
      <c r="A574" t="s">
        <v>602</v>
      </c>
      <c r="B574">
        <f>VLOOKUP(A574,'Subbu- Mini Project EXcel Clean'!A573:R1573,2,FALSE)</f>
        <v>64.5</v>
      </c>
      <c r="C574">
        <f>VLOOKUP(A574,'Subbu- Mini Project EXcel Clean'!A573:R1573,3,FALSE)</f>
        <v>65.2</v>
      </c>
      <c r="D574">
        <f>_xlfn.XLOOKUP(A574,'Subbu- Mini Project EXcel Clean'!A574:A1573,'Subbu- Mini Project EXcel Clean'!D574:D1573,"Entry Level",0)</f>
        <v>64</v>
      </c>
      <c r="E574">
        <f>_xlfn.XLOOKUP(A574,'Subbu- Mini Project EXcel Clean'!A574:A1573,'Subbu- Mini Project EXcel Clean'!F574:F1573,"Entry Level",0)</f>
        <v>86.6</v>
      </c>
      <c r="F574">
        <f>_xlfn.XLOOKUP(A574,'Subbu- Mini Project EXcel Clean'!A574:A1573,'Subbu- Mini Project EXcel Clean'!G574:G1573," ",0)</f>
        <v>74.2</v>
      </c>
      <c r="G574" t="str">
        <f>_xlfn.XLOOKUP(A574,'Subbu- Mini Project EXcel Clean'!A574:A1573,'Subbu- Mini Project EXcel Clean'!H574:H1573," ",0)</f>
        <v>Pass</v>
      </c>
      <c r="H574" t="str">
        <f>VLOOKUP(A574,'Subbu- Mini Project EXcel Clean'!A573:R1573,18,)</f>
        <v>Bachelor</v>
      </c>
    </row>
    <row r="575" spans="1:8" x14ac:dyDescent="0.25">
      <c r="A575" t="s">
        <v>603</v>
      </c>
      <c r="B575">
        <f>VLOOKUP(A575,'Subbu- Mini Project EXcel Clean'!A574:R1574,2,FALSE)</f>
        <v>78</v>
      </c>
      <c r="C575">
        <f>VLOOKUP(A575,'Subbu- Mini Project EXcel Clean'!A574:R1574,3,FALSE)</f>
        <v>67.400000000000006</v>
      </c>
      <c r="D575">
        <f>_xlfn.XLOOKUP(A575,'Subbu- Mini Project EXcel Clean'!A575:A1574,'Subbu- Mini Project EXcel Clean'!D575:D1574,"Entry Level",0)</f>
        <v>74.599999999999994</v>
      </c>
      <c r="E575">
        <f>_xlfn.XLOOKUP(A575,'Subbu- Mini Project EXcel Clean'!A575:A1574,'Subbu- Mini Project EXcel Clean'!F575:F1574,"Entry Level",0)</f>
        <v>75.900000000000006</v>
      </c>
      <c r="F575">
        <f>_xlfn.XLOOKUP(A575,'Subbu- Mini Project EXcel Clean'!A575:A1574,'Subbu- Mini Project EXcel Clean'!G575:G1574," ",0)</f>
        <v>75.05</v>
      </c>
      <c r="G575" t="str">
        <f>_xlfn.XLOOKUP(A575,'Subbu- Mini Project EXcel Clean'!A575:A1574,'Subbu- Mini Project EXcel Clean'!H575:H1574," ",0)</f>
        <v>Pass</v>
      </c>
      <c r="H575" t="str">
        <f>VLOOKUP(A575,'Subbu- Mini Project EXcel Clean'!A574:R1574,18,)</f>
        <v>High School</v>
      </c>
    </row>
    <row r="576" spans="1:8" x14ac:dyDescent="0.25">
      <c r="A576" t="s">
        <v>604</v>
      </c>
      <c r="B576">
        <f>VLOOKUP(A576,'Subbu- Mini Project EXcel Clean'!A575:R1575,2,FALSE)</f>
        <v>84.5</v>
      </c>
      <c r="C576">
        <f>VLOOKUP(A576,'Subbu- Mini Project EXcel Clean'!A575:R1575,3,FALSE)</f>
        <v>93.5</v>
      </c>
      <c r="D576">
        <f>_xlfn.XLOOKUP(A576,'Subbu- Mini Project EXcel Clean'!A576:A1575,'Subbu- Mini Project EXcel Clean'!D576:D1575,"Entry Level",0)</f>
        <v>84.5</v>
      </c>
      <c r="E576">
        <f>_xlfn.XLOOKUP(A576,'Subbu- Mini Project EXcel Clean'!A576:A1575,'Subbu- Mini Project EXcel Clean'!F576:F1575,"Entry Level",0)</f>
        <v>84.3</v>
      </c>
      <c r="F576">
        <f>_xlfn.XLOOKUP(A576,'Subbu- Mini Project EXcel Clean'!A576:A1575,'Subbu- Mini Project EXcel Clean'!G576:G1575," ",0)</f>
        <v>85.85</v>
      </c>
      <c r="G576" t="str">
        <f>_xlfn.XLOOKUP(A576,'Subbu- Mini Project EXcel Clean'!A576:A1575,'Subbu- Mini Project EXcel Clean'!H576:H1575," ",0)</f>
        <v>Pass</v>
      </c>
      <c r="H576" t="str">
        <f>VLOOKUP(A576,'Subbu- Mini Project EXcel Clean'!A575:R1575,18,)</f>
        <v>Master</v>
      </c>
    </row>
    <row r="577" spans="1:8" x14ac:dyDescent="0.25">
      <c r="A577" t="s">
        <v>605</v>
      </c>
      <c r="B577">
        <f>VLOOKUP(A577,'Subbu- Mini Project EXcel Clean'!A576:R1576,2,FALSE)</f>
        <v>79.3</v>
      </c>
      <c r="C577">
        <f>VLOOKUP(A577,'Subbu- Mini Project EXcel Clean'!A576:R1576,3,FALSE)</f>
        <v>93.5</v>
      </c>
      <c r="D577">
        <f>_xlfn.XLOOKUP(A577,'Subbu- Mini Project EXcel Clean'!A577:A1576,'Subbu- Mini Project EXcel Clean'!D577:D1576,"Entry Level",0)</f>
        <v>91.4</v>
      </c>
      <c r="E577">
        <f>_xlfn.XLOOKUP(A577,'Subbu- Mini Project EXcel Clean'!A577:A1576,'Subbu- Mini Project EXcel Clean'!F577:F1576,"Entry Level",0)</f>
        <v>91.5</v>
      </c>
      <c r="F577">
        <f>_xlfn.XLOOKUP(A577,'Subbu- Mini Project EXcel Clean'!A577:A1576,'Subbu- Mini Project EXcel Clean'!G577:G1576," ",0)</f>
        <v>91.85</v>
      </c>
      <c r="G577" t="str">
        <f>_xlfn.XLOOKUP(A577,'Subbu- Mini Project EXcel Clean'!A577:A1576,'Subbu- Mini Project EXcel Clean'!H577:H1576," ",0)</f>
        <v>Pass</v>
      </c>
      <c r="H577" t="str">
        <f>VLOOKUP(A577,'Subbu- Mini Project EXcel Clean'!A576:R1576,18,)</f>
        <v>Master</v>
      </c>
    </row>
    <row r="578" spans="1:8" x14ac:dyDescent="0.25">
      <c r="A578" t="s">
        <v>606</v>
      </c>
      <c r="B578">
        <f>VLOOKUP(A578,'Subbu- Mini Project EXcel Clean'!A577:R1577,2,FALSE)</f>
        <v>45.4</v>
      </c>
      <c r="C578">
        <f>VLOOKUP(A578,'Subbu- Mini Project EXcel Clean'!A577:R1577,3,FALSE)</f>
        <v>46.2</v>
      </c>
      <c r="D578">
        <f>_xlfn.XLOOKUP(A578,'Subbu- Mini Project EXcel Clean'!A578:A1577,'Subbu- Mini Project EXcel Clean'!D578:D1577,"Entry Level",0)</f>
        <v>48.5</v>
      </c>
      <c r="E578">
        <f>_xlfn.XLOOKUP(A578,'Subbu- Mini Project EXcel Clean'!A578:A1577,'Subbu- Mini Project EXcel Clean'!F578:F1577,"Entry Level",0)</f>
        <v>61.1</v>
      </c>
      <c r="F578">
        <f>_xlfn.XLOOKUP(A578,'Subbu- Mini Project EXcel Clean'!A578:A1577,'Subbu- Mini Project EXcel Clean'!G578:G1577," ",0)</f>
        <v>54.6</v>
      </c>
      <c r="G578" t="str">
        <f>_xlfn.XLOOKUP(A578,'Subbu- Mini Project EXcel Clean'!A578:A1577,'Subbu- Mini Project EXcel Clean'!H578:H1577," ",0)</f>
        <v>Pass</v>
      </c>
      <c r="H578" t="str">
        <f>VLOOKUP(A578,'Subbu- Mini Project EXcel Clean'!A577:R1577,18,)</f>
        <v>Bachelor</v>
      </c>
    </row>
    <row r="579" spans="1:8" x14ac:dyDescent="0.25">
      <c r="A579" t="s">
        <v>607</v>
      </c>
      <c r="B579">
        <f>VLOOKUP(A579,'Subbu- Mini Project EXcel Clean'!A578:R1578,2,FALSE)</f>
        <v>92.9</v>
      </c>
      <c r="C579">
        <f>VLOOKUP(A579,'Subbu- Mini Project EXcel Clean'!A578:R1578,3,FALSE)</f>
        <v>91.7</v>
      </c>
      <c r="D579">
        <f>_xlfn.XLOOKUP(A579,'Subbu- Mini Project EXcel Clean'!A579:A1578,'Subbu- Mini Project EXcel Clean'!D579:D1578,"Entry Level",0)</f>
        <v>80.3</v>
      </c>
      <c r="E579">
        <f>_xlfn.XLOOKUP(A579,'Subbu- Mini Project EXcel Clean'!A579:A1578,'Subbu- Mini Project EXcel Clean'!F579:F1578,"Entry Level",0)</f>
        <v>90.6</v>
      </c>
      <c r="F579">
        <f>_xlfn.XLOOKUP(A579,'Subbu- Mini Project EXcel Clean'!A579:A1578,'Subbu- Mini Project EXcel Clean'!G579:G1578," ",0)</f>
        <v>90.8</v>
      </c>
      <c r="G579" t="str">
        <f>_xlfn.XLOOKUP(A579,'Subbu- Mini Project EXcel Clean'!A579:A1578,'Subbu- Mini Project EXcel Clean'!H579:H1578," ",0)</f>
        <v>Pass</v>
      </c>
      <c r="H579" t="str">
        <f>VLOOKUP(A579,'Subbu- Mini Project EXcel Clean'!A578:R1578,18,)</f>
        <v>High School</v>
      </c>
    </row>
    <row r="580" spans="1:8" x14ac:dyDescent="0.25">
      <c r="A580" t="s">
        <v>608</v>
      </c>
      <c r="B580">
        <f>VLOOKUP(A580,'Subbu- Mini Project EXcel Clean'!A579:R1579,2,FALSE)</f>
        <v>59.7</v>
      </c>
      <c r="C580">
        <f>VLOOKUP(A580,'Subbu- Mini Project EXcel Clean'!A579:R1579,3,FALSE)</f>
        <v>58.2</v>
      </c>
      <c r="D580">
        <f>_xlfn.XLOOKUP(A580,'Subbu- Mini Project EXcel Clean'!A580:A1579,'Subbu- Mini Project EXcel Clean'!D580:D1579,"Entry Level",0)</f>
        <v>69.400000000000006</v>
      </c>
      <c r="E580">
        <f>_xlfn.XLOOKUP(A580,'Subbu- Mini Project EXcel Clean'!A580:A1579,'Subbu- Mini Project EXcel Clean'!F580:F1579,"Entry Level",0)</f>
        <v>84.2</v>
      </c>
      <c r="F580">
        <f>_xlfn.XLOOKUP(A580,'Subbu- Mini Project EXcel Clean'!A580:A1579,'Subbu- Mini Project EXcel Clean'!G580:G1579," ",0)</f>
        <v>75.650000000000006</v>
      </c>
      <c r="G580" t="str">
        <f>_xlfn.XLOOKUP(A580,'Subbu- Mini Project EXcel Clean'!A580:A1579,'Subbu- Mini Project EXcel Clean'!H580:H1579," ",0)</f>
        <v>Pass</v>
      </c>
      <c r="H580" t="str">
        <f>VLOOKUP(A580,'Subbu- Mini Project EXcel Clean'!A579:R1579,18,)</f>
        <v>Master</v>
      </c>
    </row>
    <row r="581" spans="1:8" x14ac:dyDescent="0.25">
      <c r="A581" t="s">
        <v>609</v>
      </c>
      <c r="B581">
        <f>VLOOKUP(A581,'Subbu- Mini Project EXcel Clean'!A580:R1580,2,FALSE)</f>
        <v>55.1</v>
      </c>
      <c r="C581">
        <f>VLOOKUP(A581,'Subbu- Mini Project EXcel Clean'!A580:R1580,3,FALSE)</f>
        <v>56.2</v>
      </c>
      <c r="D581">
        <f>_xlfn.XLOOKUP(A581,'Subbu- Mini Project EXcel Clean'!A581:A1580,'Subbu- Mini Project EXcel Clean'!D581:D1580,"Entry Level",0)</f>
        <v>49.3</v>
      </c>
      <c r="E581">
        <f>_xlfn.XLOOKUP(A581,'Subbu- Mini Project EXcel Clean'!A581:A1580,'Subbu- Mini Project EXcel Clean'!F581:F1580,"Entry Level",0)</f>
        <v>49.9</v>
      </c>
      <c r="F581">
        <f>_xlfn.XLOOKUP(A581,'Subbu- Mini Project EXcel Clean'!A581:A1580,'Subbu- Mini Project EXcel Clean'!G581:G1580," ",0)</f>
        <v>52.05</v>
      </c>
      <c r="G581" t="str">
        <f>_xlfn.XLOOKUP(A581,'Subbu- Mini Project EXcel Clean'!A581:A1580,'Subbu- Mini Project EXcel Clean'!H581:H1580," ",0)</f>
        <v>Pass</v>
      </c>
      <c r="H581" t="str">
        <f>VLOOKUP(A581,'Subbu- Mini Project EXcel Clean'!A580:R1580,18,)</f>
        <v>Bachelor</v>
      </c>
    </row>
    <row r="582" spans="1:8" x14ac:dyDescent="0.25">
      <c r="A582" t="s">
        <v>610</v>
      </c>
      <c r="B582">
        <f>VLOOKUP(A582,'Subbu- Mini Project EXcel Clean'!A581:R1581,2,FALSE)</f>
        <v>65.2</v>
      </c>
      <c r="C582">
        <f>VLOOKUP(A582,'Subbu- Mini Project EXcel Clean'!A581:R1581,3,FALSE)</f>
        <v>60.1</v>
      </c>
      <c r="D582">
        <f>_xlfn.XLOOKUP(A582,'Subbu- Mini Project EXcel Clean'!A582:A1581,'Subbu- Mini Project EXcel Clean'!D582:D1581,"Entry Level",0)</f>
        <v>59.5</v>
      </c>
      <c r="E582">
        <f>_xlfn.XLOOKUP(A582,'Subbu- Mini Project EXcel Clean'!A582:A1581,'Subbu- Mini Project EXcel Clean'!F582:F1581,"Entry Level",0)</f>
        <v>69.7</v>
      </c>
      <c r="F582">
        <f>_xlfn.XLOOKUP(A582,'Subbu- Mini Project EXcel Clean'!A582:A1581,'Subbu- Mini Project EXcel Clean'!G582:G1581," ",0)</f>
        <v>67.5</v>
      </c>
      <c r="G582" t="str">
        <f>_xlfn.XLOOKUP(A582,'Subbu- Mini Project EXcel Clean'!A582:A1581,'Subbu- Mini Project EXcel Clean'!H582:H1581," ",0)</f>
        <v>Pass</v>
      </c>
      <c r="H582" t="str">
        <f>VLOOKUP(A582,'Subbu- Mini Project EXcel Clean'!A581:R1581,18,)</f>
        <v>Master</v>
      </c>
    </row>
    <row r="583" spans="1:8" x14ac:dyDescent="0.25">
      <c r="A583" t="s">
        <v>611</v>
      </c>
      <c r="B583">
        <f>VLOOKUP(A583,'Subbu- Mini Project EXcel Clean'!A582:R1582,2,FALSE)</f>
        <v>96.8</v>
      </c>
      <c r="C583">
        <f>VLOOKUP(A583,'Subbu- Mini Project EXcel Clean'!A582:R1582,3,FALSE)</f>
        <v>87.1</v>
      </c>
      <c r="D583">
        <f>_xlfn.XLOOKUP(A583,'Subbu- Mini Project EXcel Clean'!A583:A1582,'Subbu- Mini Project EXcel Clean'!D583:D1582,"Entry Level",0)</f>
        <v>85.5</v>
      </c>
      <c r="E583">
        <f>_xlfn.XLOOKUP(A583,'Subbu- Mini Project EXcel Clean'!A583:A1582,'Subbu- Mini Project EXcel Clean'!F583:F1582,"Entry Level",0)</f>
        <v>77.900000000000006</v>
      </c>
      <c r="F583">
        <f>_xlfn.XLOOKUP(A583,'Subbu- Mini Project EXcel Clean'!A583:A1582,'Subbu- Mini Project EXcel Clean'!G583:G1582," ",0)</f>
        <v>85.9</v>
      </c>
      <c r="G583" t="str">
        <f>_xlfn.XLOOKUP(A583,'Subbu- Mini Project EXcel Clean'!A583:A1582,'Subbu- Mini Project EXcel Clean'!H583:H1582," ",0)</f>
        <v>Pass</v>
      </c>
      <c r="H583" t="str">
        <f>VLOOKUP(A583,'Subbu- Mini Project EXcel Clean'!A582:R1582,18,)</f>
        <v>Bachelor</v>
      </c>
    </row>
    <row r="584" spans="1:8" x14ac:dyDescent="0.25">
      <c r="A584" t="s">
        <v>612</v>
      </c>
      <c r="B584">
        <f>VLOOKUP(A584,'Subbu- Mini Project EXcel Clean'!A583:R1583,2,FALSE)</f>
        <v>67.7</v>
      </c>
      <c r="C584">
        <f>VLOOKUP(A584,'Subbu- Mini Project EXcel Clean'!A583:R1583,3,FALSE)</f>
        <v>59.5</v>
      </c>
      <c r="D584">
        <f>_xlfn.XLOOKUP(A584,'Subbu- Mini Project EXcel Clean'!A584:A1583,'Subbu- Mini Project EXcel Clean'!D584:D1583,"Entry Level",0)</f>
        <v>58.1</v>
      </c>
      <c r="E584">
        <f>_xlfn.XLOOKUP(A584,'Subbu- Mini Project EXcel Clean'!A584:A1583,'Subbu- Mini Project EXcel Clean'!F584:F1583,"Entry Level",0)</f>
        <v>59.1</v>
      </c>
      <c r="F584">
        <f>_xlfn.XLOOKUP(A584,'Subbu- Mini Project EXcel Clean'!A584:A1583,'Subbu- Mini Project EXcel Clean'!G584:G1583," ",0)</f>
        <v>63.1</v>
      </c>
      <c r="G584" t="str">
        <f>_xlfn.XLOOKUP(A584,'Subbu- Mini Project EXcel Clean'!A584:A1583,'Subbu- Mini Project EXcel Clean'!H584:H1583," ",0)</f>
        <v>Pass</v>
      </c>
      <c r="H584" t="str">
        <f>VLOOKUP(A584,'Subbu- Mini Project EXcel Clean'!A583:R1583,18,)</f>
        <v>High School</v>
      </c>
    </row>
    <row r="585" spans="1:8" x14ac:dyDescent="0.25">
      <c r="A585" t="s">
        <v>613</v>
      </c>
      <c r="B585">
        <f>VLOOKUP(A585,'Subbu- Mini Project EXcel Clean'!A584:R1584,2,FALSE)</f>
        <v>53.2</v>
      </c>
      <c r="C585">
        <f>VLOOKUP(A585,'Subbu- Mini Project EXcel Clean'!A584:R1584,3,FALSE)</f>
        <v>63.6</v>
      </c>
      <c r="D585">
        <f>_xlfn.XLOOKUP(A585,'Subbu- Mini Project EXcel Clean'!A585:A1584,'Subbu- Mini Project EXcel Clean'!D585:D1584,"Entry Level",0)</f>
        <v>51.3</v>
      </c>
      <c r="E585">
        <f>_xlfn.XLOOKUP(A585,'Subbu- Mini Project EXcel Clean'!A585:A1584,'Subbu- Mini Project EXcel Clean'!F585:F1584,"Entry Level",0)</f>
        <v>64.5</v>
      </c>
      <c r="F585">
        <f>_xlfn.XLOOKUP(A585,'Subbu- Mini Project EXcel Clean'!A585:A1584,'Subbu- Mini Project EXcel Clean'!G585:G1584," ",0)</f>
        <v>61.3</v>
      </c>
      <c r="G585" t="str">
        <f>_xlfn.XLOOKUP(A585,'Subbu- Mini Project EXcel Clean'!A585:A1584,'Subbu- Mini Project EXcel Clean'!H585:H1584," ",0)</f>
        <v>Pass</v>
      </c>
      <c r="H585" t="str">
        <f>VLOOKUP(A585,'Subbu- Mini Project EXcel Clean'!A584:R1584,18,)</f>
        <v>Bachelor</v>
      </c>
    </row>
    <row r="586" spans="1:8" x14ac:dyDescent="0.25">
      <c r="A586" t="s">
        <v>614</v>
      </c>
      <c r="B586">
        <f>VLOOKUP(A586,'Subbu- Mini Project EXcel Clean'!A585:R1585,2,FALSE)</f>
        <v>80.8</v>
      </c>
      <c r="C586">
        <f>VLOOKUP(A586,'Subbu- Mini Project EXcel Clean'!A585:R1585,3,FALSE)</f>
        <v>71.7</v>
      </c>
      <c r="D586">
        <f>_xlfn.XLOOKUP(A586,'Subbu- Mini Project EXcel Clean'!A586:A1585,'Subbu- Mini Project EXcel Clean'!D586:D1585,"Entry Level",0)</f>
        <v>71.3</v>
      </c>
      <c r="E586">
        <f>_xlfn.XLOOKUP(A586,'Subbu- Mini Project EXcel Clean'!A586:A1585,'Subbu- Mini Project EXcel Clean'!F586:F1585,"Entry Level",0)</f>
        <v>81.2</v>
      </c>
      <c r="F586">
        <f>_xlfn.XLOOKUP(A586,'Subbu- Mini Project EXcel Clean'!A586:A1585,'Subbu- Mini Project EXcel Clean'!G586:G1585," ",0)</f>
        <v>78</v>
      </c>
      <c r="G586" t="str">
        <f>_xlfn.XLOOKUP(A586,'Subbu- Mini Project EXcel Clean'!A586:A1585,'Subbu- Mini Project EXcel Clean'!H586:H1585," ",0)</f>
        <v>Pass</v>
      </c>
      <c r="H586" t="str">
        <f>VLOOKUP(A586,'Subbu- Mini Project EXcel Clean'!A585:R1585,18,)</f>
        <v>Master</v>
      </c>
    </row>
    <row r="587" spans="1:8" x14ac:dyDescent="0.25">
      <c r="A587" t="s">
        <v>615</v>
      </c>
      <c r="B587">
        <f>VLOOKUP(A587,'Subbu- Mini Project EXcel Clean'!A586:R1586,2,FALSE)</f>
        <v>52.4</v>
      </c>
      <c r="C587">
        <f>VLOOKUP(A587,'Subbu- Mini Project EXcel Clean'!A586:R1586,3,FALSE)</f>
        <v>60.9</v>
      </c>
      <c r="D587">
        <f>_xlfn.XLOOKUP(A587,'Subbu- Mini Project EXcel Clean'!A587:A1586,'Subbu- Mini Project EXcel Clean'!D587:D1586,"Entry Level",0)</f>
        <v>63</v>
      </c>
      <c r="E587">
        <f>_xlfn.XLOOKUP(A587,'Subbu- Mini Project EXcel Clean'!A587:A1586,'Subbu- Mini Project EXcel Clean'!F587:F1586,"Entry Level",0)</f>
        <v>67.3</v>
      </c>
      <c r="F587">
        <f>_xlfn.XLOOKUP(A587,'Subbu- Mini Project EXcel Clean'!A587:A1586,'Subbu- Mini Project EXcel Clean'!G587:G1586," ",0)</f>
        <v>60.25</v>
      </c>
      <c r="G587" t="str">
        <f>_xlfn.XLOOKUP(A587,'Subbu- Mini Project EXcel Clean'!A587:A1586,'Subbu- Mini Project EXcel Clean'!H587:H1586," ",0)</f>
        <v>Pass</v>
      </c>
      <c r="H587" t="str">
        <f>VLOOKUP(A587,'Subbu- Mini Project EXcel Clean'!A586:R1586,18,)</f>
        <v>Master</v>
      </c>
    </row>
    <row r="588" spans="1:8" x14ac:dyDescent="0.25">
      <c r="A588" t="s">
        <v>616</v>
      </c>
      <c r="B588">
        <f>VLOOKUP(A588,'Subbu- Mini Project EXcel Clean'!A587:R1587,2,FALSE)</f>
        <v>44</v>
      </c>
      <c r="C588">
        <f>VLOOKUP(A588,'Subbu- Mini Project EXcel Clean'!A587:R1587,3,FALSE)</f>
        <v>41.5</v>
      </c>
      <c r="D588">
        <f>_xlfn.XLOOKUP(A588,'Subbu- Mini Project EXcel Clean'!A588:A1587,'Subbu- Mini Project EXcel Clean'!D588:D1587,"Entry Level",0)</f>
        <v>41.5</v>
      </c>
      <c r="E588">
        <f>_xlfn.XLOOKUP(A588,'Subbu- Mini Project EXcel Clean'!A588:A1587,'Subbu- Mini Project EXcel Clean'!F588:F1587,"Entry Level",0)</f>
        <v>64</v>
      </c>
      <c r="F588">
        <f>_xlfn.XLOOKUP(A588,'Subbu- Mini Project EXcel Clean'!A588:A1587,'Subbu- Mini Project EXcel Clean'!G588:G1587," ",0)</f>
        <v>54.1</v>
      </c>
      <c r="G588" t="str">
        <f>_xlfn.XLOOKUP(A588,'Subbu- Mini Project EXcel Clean'!A588:A1587,'Subbu- Mini Project EXcel Clean'!H588:H1587," ",0)</f>
        <v>Pass</v>
      </c>
      <c r="H588" t="str">
        <f>VLOOKUP(A588,'Subbu- Mini Project EXcel Clean'!A587:R1587,18,)</f>
        <v>Bachelor</v>
      </c>
    </row>
    <row r="589" spans="1:8" x14ac:dyDescent="0.25">
      <c r="A589" t="s">
        <v>617</v>
      </c>
      <c r="B589">
        <f>VLOOKUP(A589,'Subbu- Mini Project EXcel Clean'!A588:R1588,2,FALSE)</f>
        <v>42.4</v>
      </c>
      <c r="C589">
        <f>VLOOKUP(A589,'Subbu- Mini Project EXcel Clean'!A588:R1588,3,FALSE)</f>
        <v>38.6</v>
      </c>
      <c r="D589">
        <f>_xlfn.XLOOKUP(A589,'Subbu- Mini Project EXcel Clean'!A589:A1588,'Subbu- Mini Project EXcel Clean'!D589:D1588,"Entry Level",0)</f>
        <v>48</v>
      </c>
      <c r="E589">
        <f>_xlfn.XLOOKUP(A589,'Subbu- Mini Project EXcel Clean'!A589:A1588,'Subbu- Mini Project EXcel Clean'!F589:F1588,"Entry Level",0)</f>
        <v>55.6</v>
      </c>
      <c r="F589">
        <f>_xlfn.XLOOKUP(A589,'Subbu- Mini Project EXcel Clean'!A589:A1588,'Subbu- Mini Project EXcel Clean'!G589:G1588," ",0)</f>
        <v>51.35</v>
      </c>
      <c r="G589" t="str">
        <f>_xlfn.XLOOKUP(A589,'Subbu- Mini Project EXcel Clean'!A589:A1588,'Subbu- Mini Project EXcel Clean'!H589:H1588," ",0)</f>
        <v>Pass</v>
      </c>
      <c r="H589" t="str">
        <f>VLOOKUP(A589,'Subbu- Mini Project EXcel Clean'!A588:R1588,18,)</f>
        <v>High School</v>
      </c>
    </row>
    <row r="590" spans="1:8" x14ac:dyDescent="0.25">
      <c r="A590" t="s">
        <v>618</v>
      </c>
      <c r="B590">
        <f>VLOOKUP(A590,'Subbu- Mini Project EXcel Clean'!A589:R1589,2,FALSE)</f>
        <v>44.8</v>
      </c>
      <c r="C590">
        <f>VLOOKUP(A590,'Subbu- Mini Project EXcel Clean'!A589:R1589,3,FALSE)</f>
        <v>41.5</v>
      </c>
      <c r="D590">
        <f>_xlfn.XLOOKUP(A590,'Subbu- Mini Project EXcel Clean'!A590:A1589,'Subbu- Mini Project EXcel Clean'!D590:D1589,"Entry Level",0)</f>
        <v>49</v>
      </c>
      <c r="E590">
        <f>_xlfn.XLOOKUP(A590,'Subbu- Mini Project EXcel Clean'!A590:A1589,'Subbu- Mini Project EXcel Clean'!F590:F1589,"Entry Level",0)</f>
        <v>53.2</v>
      </c>
      <c r="F590">
        <f>_xlfn.XLOOKUP(A590,'Subbu- Mini Project EXcel Clean'!A590:A1589,'Subbu- Mini Project EXcel Clean'!G590:G1589," ",0)</f>
        <v>50.1</v>
      </c>
      <c r="G590" t="str">
        <f>_xlfn.XLOOKUP(A590,'Subbu- Mini Project EXcel Clean'!A590:A1589,'Subbu- Mini Project EXcel Clean'!H590:H1589," ",0)</f>
        <v>Pass</v>
      </c>
      <c r="H590" t="str">
        <f>VLOOKUP(A590,'Subbu- Mini Project EXcel Clean'!A589:R1589,18,)</f>
        <v>High School</v>
      </c>
    </row>
    <row r="591" spans="1:8" x14ac:dyDescent="0.25">
      <c r="A591" t="s">
        <v>619</v>
      </c>
      <c r="B591">
        <f>VLOOKUP(A591,'Subbu- Mini Project EXcel Clean'!A590:R1590,2,FALSE)</f>
        <v>43.9</v>
      </c>
      <c r="C591">
        <f>VLOOKUP(A591,'Subbu- Mini Project EXcel Clean'!A590:R1590,3,FALSE)</f>
        <v>54.5</v>
      </c>
      <c r="D591">
        <f>_xlfn.XLOOKUP(A591,'Subbu- Mini Project EXcel Clean'!A591:A1590,'Subbu- Mini Project EXcel Clean'!D591:D1590,"Entry Level",0)</f>
        <v>49</v>
      </c>
      <c r="E591">
        <f>_xlfn.XLOOKUP(A591,'Subbu- Mini Project EXcel Clean'!A591:A1590,'Subbu- Mini Project EXcel Clean'!F591:F1590,"Entry Level",0)</f>
        <v>64.8</v>
      </c>
      <c r="F591">
        <f>_xlfn.XLOOKUP(A591,'Subbu- Mini Project EXcel Clean'!A591:A1590,'Subbu- Mini Project EXcel Clean'!G591:G1590," ",0)</f>
        <v>56.6</v>
      </c>
      <c r="G591" t="str">
        <f>_xlfn.XLOOKUP(A591,'Subbu- Mini Project EXcel Clean'!A591:A1590,'Subbu- Mini Project EXcel Clean'!H591:H1590," ",0)</f>
        <v>Pass</v>
      </c>
      <c r="H591" t="str">
        <f>VLOOKUP(A591,'Subbu- Mini Project EXcel Clean'!A590:R1590,18,)</f>
        <v>Master</v>
      </c>
    </row>
    <row r="592" spans="1:8" x14ac:dyDescent="0.25">
      <c r="A592" t="s">
        <v>620</v>
      </c>
      <c r="B592">
        <f>VLOOKUP(A592,'Subbu- Mini Project EXcel Clean'!A591:R1591,2,FALSE)</f>
        <v>46.8</v>
      </c>
      <c r="C592">
        <f>VLOOKUP(A592,'Subbu- Mini Project EXcel Clean'!A591:R1591,3,FALSE)</f>
        <v>46.9</v>
      </c>
      <c r="D592">
        <f>_xlfn.XLOOKUP(A592,'Subbu- Mini Project EXcel Clean'!A592:A1591,'Subbu- Mini Project EXcel Clean'!D592:D1591,"Entry Level",0)</f>
        <v>47.2</v>
      </c>
      <c r="E592">
        <f>_xlfn.XLOOKUP(A592,'Subbu- Mini Project EXcel Clean'!A592:A1591,'Subbu- Mini Project EXcel Clean'!F592:F1591,"Entry Level",0)</f>
        <v>45.9</v>
      </c>
      <c r="F592">
        <f>_xlfn.XLOOKUP(A592,'Subbu- Mini Project EXcel Clean'!A592:A1591,'Subbu- Mini Project EXcel Clean'!G592:G1591," ",0)</f>
        <v>46.75</v>
      </c>
      <c r="G592" t="str">
        <f>_xlfn.XLOOKUP(A592,'Subbu- Mini Project EXcel Clean'!A592:A1591,'Subbu- Mini Project EXcel Clean'!H592:H1591," ",0)</f>
        <v>Fail</v>
      </c>
      <c r="H592" t="str">
        <f>VLOOKUP(A592,'Subbu- Mini Project EXcel Clean'!A591:R1591,18,)</f>
        <v>Master</v>
      </c>
    </row>
    <row r="593" spans="1:8" x14ac:dyDescent="0.25">
      <c r="A593" t="s">
        <v>621</v>
      </c>
      <c r="B593">
        <f>VLOOKUP(A593,'Subbu- Mini Project EXcel Clean'!A592:R1592,2,FALSE)</f>
        <v>83.8</v>
      </c>
      <c r="C593">
        <f>VLOOKUP(A593,'Subbu- Mini Project EXcel Clean'!A592:R1592,3,FALSE)</f>
        <v>72.5</v>
      </c>
      <c r="D593">
        <f>_xlfn.XLOOKUP(A593,'Subbu- Mini Project EXcel Clean'!A593:A1592,'Subbu- Mini Project EXcel Clean'!D593:D1592,"Entry Level",0)</f>
        <v>69.3</v>
      </c>
      <c r="E593">
        <f>_xlfn.XLOOKUP(A593,'Subbu- Mini Project EXcel Clean'!A593:A1592,'Subbu- Mini Project EXcel Clean'!F593:F1592,"Entry Level",0)</f>
        <v>71.900000000000006</v>
      </c>
      <c r="F593">
        <f>_xlfn.XLOOKUP(A593,'Subbu- Mini Project EXcel Clean'!A593:A1592,'Subbu- Mini Project EXcel Clean'!G593:G1592," ",0)</f>
        <v>73.55</v>
      </c>
      <c r="G593" t="str">
        <f>_xlfn.XLOOKUP(A593,'Subbu- Mini Project EXcel Clean'!A593:A1592,'Subbu- Mini Project EXcel Clean'!H593:H1592," ",0)</f>
        <v>Pass</v>
      </c>
      <c r="H593" t="str">
        <f>VLOOKUP(A593,'Subbu- Mini Project EXcel Clean'!A592:R1592,18,)</f>
        <v>Bachelor</v>
      </c>
    </row>
    <row r="594" spans="1:8" x14ac:dyDescent="0.25">
      <c r="A594" t="s">
        <v>622</v>
      </c>
      <c r="B594">
        <f>VLOOKUP(A594,'Subbu- Mini Project EXcel Clean'!A593:R1593,2,FALSE)</f>
        <v>43.1</v>
      </c>
      <c r="C594">
        <f>VLOOKUP(A594,'Subbu- Mini Project EXcel Clean'!A593:R1593,3,FALSE)</f>
        <v>50.8</v>
      </c>
      <c r="D594">
        <f>_xlfn.XLOOKUP(A594,'Subbu- Mini Project EXcel Clean'!A594:A1593,'Subbu- Mini Project EXcel Clean'!D594:D1593,"Entry Level",0)</f>
        <v>57.3</v>
      </c>
      <c r="E594">
        <f>_xlfn.XLOOKUP(A594,'Subbu- Mini Project EXcel Clean'!A594:A1593,'Subbu- Mini Project EXcel Clean'!F594:F1593,"Entry Level",0)</f>
        <v>62.4</v>
      </c>
      <c r="F594">
        <f>_xlfn.XLOOKUP(A594,'Subbu- Mini Project EXcel Clean'!A594:A1593,'Subbu- Mini Project EXcel Clean'!G594:G1593," ",0)</f>
        <v>56.2</v>
      </c>
      <c r="G594" t="str">
        <f>_xlfn.XLOOKUP(A594,'Subbu- Mini Project EXcel Clean'!A594:A1593,'Subbu- Mini Project EXcel Clean'!H594:H1593," ",0)</f>
        <v>Pass</v>
      </c>
      <c r="H594" t="str">
        <f>VLOOKUP(A594,'Subbu- Mini Project EXcel Clean'!A593:R1593,18,)</f>
        <v>Bachelor</v>
      </c>
    </row>
    <row r="595" spans="1:8" x14ac:dyDescent="0.25">
      <c r="A595" t="s">
        <v>623</v>
      </c>
      <c r="B595">
        <f>VLOOKUP(A595,'Subbu- Mini Project EXcel Clean'!A594:R1594,2,FALSE)</f>
        <v>50.9</v>
      </c>
      <c r="C595">
        <f>VLOOKUP(A595,'Subbu- Mini Project EXcel Clean'!A594:R1594,3,FALSE)</f>
        <v>61.5</v>
      </c>
      <c r="D595">
        <f>_xlfn.XLOOKUP(A595,'Subbu- Mini Project EXcel Clean'!A595:A1594,'Subbu- Mini Project EXcel Clean'!D595:D1594,"Entry Level",0)</f>
        <v>68</v>
      </c>
      <c r="E595">
        <f>_xlfn.XLOOKUP(A595,'Subbu- Mini Project EXcel Clean'!A595:A1594,'Subbu- Mini Project EXcel Clean'!F595:F1594,"Entry Level",0)</f>
        <v>52.5</v>
      </c>
      <c r="F595">
        <f>_xlfn.XLOOKUP(A595,'Subbu- Mini Project EXcel Clean'!A595:A1594,'Subbu- Mini Project EXcel Clean'!G595:G1594," ",0)</f>
        <v>55.75</v>
      </c>
      <c r="G595" t="str">
        <f>_xlfn.XLOOKUP(A595,'Subbu- Mini Project EXcel Clean'!A595:A1594,'Subbu- Mini Project EXcel Clean'!H595:H1594," ",0)</f>
        <v>Pass</v>
      </c>
      <c r="H595" t="str">
        <f>VLOOKUP(A595,'Subbu- Mini Project EXcel Clean'!A594:R1594,18,)</f>
        <v>Bachelor</v>
      </c>
    </row>
    <row r="596" spans="1:8" x14ac:dyDescent="0.25">
      <c r="A596" t="s">
        <v>624</v>
      </c>
      <c r="B596">
        <f>VLOOKUP(A596,'Subbu- Mini Project EXcel Clean'!A595:R1595,2,FALSE)</f>
        <v>96.7</v>
      </c>
      <c r="C596">
        <f>VLOOKUP(A596,'Subbu- Mini Project EXcel Clean'!A595:R1595,3,FALSE)</f>
        <v>94.9</v>
      </c>
      <c r="D596">
        <f>_xlfn.XLOOKUP(A596,'Subbu- Mini Project EXcel Clean'!A596:A1595,'Subbu- Mini Project EXcel Clean'!D596:D1595,"Entry Level",0)</f>
        <v>80.900000000000006</v>
      </c>
      <c r="E596">
        <f>_xlfn.XLOOKUP(A596,'Subbu- Mini Project EXcel Clean'!A596:A1595,'Subbu- Mini Project EXcel Clean'!F596:F1595,"Entry Level",0)</f>
        <v>93</v>
      </c>
      <c r="F596">
        <f>_xlfn.XLOOKUP(A596,'Subbu- Mini Project EXcel Clean'!A596:A1595,'Subbu- Mini Project EXcel Clean'!G596:G1595," ",0)</f>
        <v>91.15</v>
      </c>
      <c r="G596" t="str">
        <f>_xlfn.XLOOKUP(A596,'Subbu- Mini Project EXcel Clean'!A596:A1595,'Subbu- Mini Project EXcel Clean'!H596:H1595," ",0)</f>
        <v>Pass</v>
      </c>
      <c r="H596" t="str">
        <f>VLOOKUP(A596,'Subbu- Mini Project EXcel Clean'!A595:R1595,18,)</f>
        <v>High School</v>
      </c>
    </row>
    <row r="597" spans="1:8" x14ac:dyDescent="0.25">
      <c r="A597" t="s">
        <v>625</v>
      </c>
      <c r="B597">
        <f>VLOOKUP(A597,'Subbu- Mini Project EXcel Clean'!A596:R1596,2,FALSE)</f>
        <v>65</v>
      </c>
      <c r="C597">
        <f>VLOOKUP(A597,'Subbu- Mini Project EXcel Clean'!A596:R1596,3,FALSE)</f>
        <v>73.3</v>
      </c>
      <c r="D597">
        <f>_xlfn.XLOOKUP(A597,'Subbu- Mini Project EXcel Clean'!A597:A1596,'Subbu- Mini Project EXcel Clean'!D597:D1596,"Entry Level",0)</f>
        <v>60.9</v>
      </c>
      <c r="E597">
        <f>_xlfn.XLOOKUP(A597,'Subbu- Mini Project EXcel Clean'!A597:A1596,'Subbu- Mini Project EXcel Clean'!F597:F1596,"Entry Level",0)</f>
        <v>76.2</v>
      </c>
      <c r="F597">
        <f>_xlfn.XLOOKUP(A597,'Subbu- Mini Project EXcel Clean'!A597:A1596,'Subbu- Mini Project EXcel Clean'!G597:G1596," ",0)</f>
        <v>71.150000000000006</v>
      </c>
      <c r="G597" t="str">
        <f>_xlfn.XLOOKUP(A597,'Subbu- Mini Project EXcel Clean'!A597:A1596,'Subbu- Mini Project EXcel Clean'!H597:H1596," ",0)</f>
        <v>Pass</v>
      </c>
      <c r="H597" t="str">
        <f>VLOOKUP(A597,'Subbu- Mini Project EXcel Clean'!A596:R1596,18,)</f>
        <v>High School</v>
      </c>
    </row>
    <row r="598" spans="1:8" x14ac:dyDescent="0.25">
      <c r="A598" t="s">
        <v>626</v>
      </c>
      <c r="B598">
        <f>VLOOKUP(A598,'Subbu- Mini Project EXcel Clean'!A597:R1597,2,FALSE)</f>
        <v>73.400000000000006</v>
      </c>
      <c r="C598">
        <f>VLOOKUP(A598,'Subbu- Mini Project EXcel Clean'!A597:R1597,3,FALSE)</f>
        <v>74.900000000000006</v>
      </c>
      <c r="D598">
        <f>_xlfn.XLOOKUP(A598,'Subbu- Mini Project EXcel Clean'!A598:A1597,'Subbu- Mini Project EXcel Clean'!D598:D1597,"Entry Level",0)</f>
        <v>75.3</v>
      </c>
      <c r="E598">
        <f>_xlfn.XLOOKUP(A598,'Subbu- Mini Project EXcel Clean'!A598:A1597,'Subbu- Mini Project EXcel Clean'!F598:F1597,"Entry Level",0)</f>
        <v>84.1</v>
      </c>
      <c r="F598">
        <f>_xlfn.XLOOKUP(A598,'Subbu- Mini Project EXcel Clean'!A598:A1597,'Subbu- Mini Project EXcel Clean'!G598:G1597," ",0)</f>
        <v>80.400000000000006</v>
      </c>
      <c r="G598" t="str">
        <f>_xlfn.XLOOKUP(A598,'Subbu- Mini Project EXcel Clean'!A598:A1597,'Subbu- Mini Project EXcel Clean'!H598:H1597," ",0)</f>
        <v>Pass</v>
      </c>
      <c r="H598" t="str">
        <f>VLOOKUP(A598,'Subbu- Mini Project EXcel Clean'!A597:R1597,18,)</f>
        <v>Master</v>
      </c>
    </row>
    <row r="599" spans="1:8" x14ac:dyDescent="0.25">
      <c r="A599" t="s">
        <v>627</v>
      </c>
      <c r="B599">
        <f>VLOOKUP(A599,'Subbu- Mini Project EXcel Clean'!A598:R1598,2,FALSE)</f>
        <v>54.7</v>
      </c>
      <c r="C599">
        <f>VLOOKUP(A599,'Subbu- Mini Project EXcel Clean'!A598:R1598,3,FALSE)</f>
        <v>42.8</v>
      </c>
      <c r="D599">
        <f>_xlfn.XLOOKUP(A599,'Subbu- Mini Project EXcel Clean'!A599:A1598,'Subbu- Mini Project EXcel Clean'!D599:D1598,"Entry Level",0)</f>
        <v>44.7</v>
      </c>
      <c r="E599">
        <f>_xlfn.XLOOKUP(A599,'Subbu- Mini Project EXcel Clean'!A599:A1598,'Subbu- Mini Project EXcel Clean'!F599:F1598,"Entry Level",0)</f>
        <v>60.9</v>
      </c>
      <c r="F599">
        <f>_xlfn.XLOOKUP(A599,'Subbu- Mini Project EXcel Clean'!A599:A1598,'Subbu- Mini Project EXcel Clean'!G599:G1598," ",0)</f>
        <v>55.2</v>
      </c>
      <c r="G599" t="str">
        <f>_xlfn.XLOOKUP(A599,'Subbu- Mini Project EXcel Clean'!A599:A1598,'Subbu- Mini Project EXcel Clean'!H599:H1598," ",0)</f>
        <v>Pass</v>
      </c>
      <c r="H599" t="str">
        <f>VLOOKUP(A599,'Subbu- Mini Project EXcel Clean'!A598:R1598,18,)</f>
        <v>Master</v>
      </c>
    </row>
    <row r="600" spans="1:8" x14ac:dyDescent="0.25">
      <c r="A600" t="s">
        <v>628</v>
      </c>
      <c r="B600">
        <f>VLOOKUP(A600,'Subbu- Mini Project EXcel Clean'!A599:R1599,2,FALSE)</f>
        <v>47.5</v>
      </c>
      <c r="C600">
        <f>VLOOKUP(A600,'Subbu- Mini Project EXcel Clean'!A599:R1599,3,FALSE)</f>
        <v>48.5</v>
      </c>
      <c r="D600">
        <f>_xlfn.XLOOKUP(A600,'Subbu- Mini Project EXcel Clean'!A600:A1599,'Subbu- Mini Project EXcel Clean'!D600:D1599,"Entry Level",0)</f>
        <v>53.1</v>
      </c>
      <c r="E600">
        <f>_xlfn.XLOOKUP(A600,'Subbu- Mini Project EXcel Clean'!A600:A1599,'Subbu- Mini Project EXcel Clean'!F600:F1599,"Entry Level",0)</f>
        <v>79.8</v>
      </c>
      <c r="F600">
        <f>_xlfn.XLOOKUP(A600,'Subbu- Mini Project EXcel Clean'!A600:A1599,'Subbu- Mini Project EXcel Clean'!G600:G1599," ",0)</f>
        <v>65.2</v>
      </c>
      <c r="G600" t="str">
        <f>_xlfn.XLOOKUP(A600,'Subbu- Mini Project EXcel Clean'!A600:A1599,'Subbu- Mini Project EXcel Clean'!H600:H1599," ",0)</f>
        <v>Pass</v>
      </c>
      <c r="H600" t="str">
        <f>VLOOKUP(A600,'Subbu- Mini Project EXcel Clean'!A599:R1599,18,)</f>
        <v>Master</v>
      </c>
    </row>
    <row r="601" spans="1:8" x14ac:dyDescent="0.25">
      <c r="A601" t="s">
        <v>629</v>
      </c>
      <c r="B601">
        <f>VLOOKUP(A601,'Subbu- Mini Project EXcel Clean'!A600:R1600,2,FALSE)</f>
        <v>51.4</v>
      </c>
      <c r="C601">
        <f>VLOOKUP(A601,'Subbu- Mini Project EXcel Clean'!A600:R1600,3,FALSE)</f>
        <v>43.5</v>
      </c>
      <c r="D601">
        <f>_xlfn.XLOOKUP(A601,'Subbu- Mini Project EXcel Clean'!A601:A1600,'Subbu- Mini Project EXcel Clean'!D601:D1600,"Entry Level",0)</f>
        <v>38.6</v>
      </c>
      <c r="E601">
        <f>_xlfn.XLOOKUP(A601,'Subbu- Mini Project EXcel Clean'!A601:A1600,'Subbu- Mini Project EXcel Clean'!F601:F1600,"Entry Level",0)</f>
        <v>68.8</v>
      </c>
      <c r="F601">
        <f>_xlfn.XLOOKUP(A601,'Subbu- Mini Project EXcel Clean'!A601:A1600,'Subbu- Mini Project EXcel Clean'!G601:G1600," ",0)</f>
        <v>55.5</v>
      </c>
      <c r="G601" t="str">
        <f>_xlfn.XLOOKUP(A601,'Subbu- Mini Project EXcel Clean'!A601:A1600,'Subbu- Mini Project EXcel Clean'!H601:H1600," ",0)</f>
        <v>Pass</v>
      </c>
      <c r="H601" t="str">
        <f>VLOOKUP(A601,'Subbu- Mini Project EXcel Clean'!A600:R1600,18,)</f>
        <v>Bachelor</v>
      </c>
    </row>
    <row r="602" spans="1:8" x14ac:dyDescent="0.25">
      <c r="A602" t="s">
        <v>630</v>
      </c>
      <c r="B602">
        <f>VLOOKUP(A602,'Subbu- Mini Project EXcel Clean'!A601:R1601,2,FALSE)</f>
        <v>52.7</v>
      </c>
      <c r="C602">
        <f>VLOOKUP(A602,'Subbu- Mini Project EXcel Clean'!A601:R1601,3,FALSE)</f>
        <v>44.5</v>
      </c>
      <c r="D602">
        <f>_xlfn.XLOOKUP(A602,'Subbu- Mini Project EXcel Clean'!A602:A1601,'Subbu- Mini Project EXcel Clean'!D602:D1601,"Entry Level",0)</f>
        <v>60.1</v>
      </c>
      <c r="E602">
        <f>_xlfn.XLOOKUP(A602,'Subbu- Mini Project EXcel Clean'!A602:A1601,'Subbu- Mini Project EXcel Clean'!F602:F1601,"Entry Level",0)</f>
        <v>57.3</v>
      </c>
      <c r="F602">
        <f>_xlfn.XLOOKUP(A602,'Subbu- Mini Project EXcel Clean'!A602:A1601,'Subbu- Mini Project EXcel Clean'!G602:G1601," ",0)</f>
        <v>53.3</v>
      </c>
      <c r="G602" t="str">
        <f>_xlfn.XLOOKUP(A602,'Subbu- Mini Project EXcel Clean'!A602:A1601,'Subbu- Mini Project EXcel Clean'!H602:H1601," ",0)</f>
        <v>Pass</v>
      </c>
      <c r="H602" t="str">
        <f>VLOOKUP(A602,'Subbu- Mini Project EXcel Clean'!A601:R1601,18,)</f>
        <v>High School</v>
      </c>
    </row>
    <row r="603" spans="1:8" x14ac:dyDescent="0.25">
      <c r="A603" t="s">
        <v>631</v>
      </c>
      <c r="B603">
        <f>VLOOKUP(A603,'Subbu- Mini Project EXcel Clean'!A602:R1602,2,FALSE)</f>
        <v>52.9</v>
      </c>
      <c r="C603">
        <f>VLOOKUP(A603,'Subbu- Mini Project EXcel Clean'!A602:R1602,3,FALSE)</f>
        <v>50.5</v>
      </c>
      <c r="D603">
        <f>_xlfn.XLOOKUP(A603,'Subbu- Mini Project EXcel Clean'!A603:A1602,'Subbu- Mini Project EXcel Clean'!D603:D1602,"Entry Level",0)</f>
        <v>61.3</v>
      </c>
      <c r="E603">
        <f>_xlfn.XLOOKUP(A603,'Subbu- Mini Project EXcel Clean'!A603:A1602,'Subbu- Mini Project EXcel Clean'!F603:F1602,"Entry Level",0)</f>
        <v>63.9</v>
      </c>
      <c r="F603">
        <f>_xlfn.XLOOKUP(A603,'Subbu- Mini Project EXcel Clean'!A603:A1602,'Subbu- Mini Project EXcel Clean'!G603:G1602," ",0)</f>
        <v>59.6</v>
      </c>
      <c r="G603" t="str">
        <f>_xlfn.XLOOKUP(A603,'Subbu- Mini Project EXcel Clean'!A603:A1602,'Subbu- Mini Project EXcel Clean'!H603:H1602," ",0)</f>
        <v>Pass</v>
      </c>
      <c r="H603" t="str">
        <f>VLOOKUP(A603,'Subbu- Mini Project EXcel Clean'!A602:R1602,18,)</f>
        <v>Master</v>
      </c>
    </row>
    <row r="604" spans="1:8" x14ac:dyDescent="0.25">
      <c r="A604" t="s">
        <v>632</v>
      </c>
      <c r="B604">
        <f>VLOOKUP(A604,'Subbu- Mini Project EXcel Clean'!A603:R1603,2,FALSE)</f>
        <v>60.5</v>
      </c>
      <c r="C604">
        <f>VLOOKUP(A604,'Subbu- Mini Project EXcel Clean'!A603:R1603,3,FALSE)</f>
        <v>51.5</v>
      </c>
      <c r="D604">
        <f>_xlfn.XLOOKUP(A604,'Subbu- Mini Project EXcel Clean'!A604:A1603,'Subbu- Mini Project EXcel Clean'!D604:D1603,"Entry Level",0)</f>
        <v>50.8</v>
      </c>
      <c r="E604">
        <f>_xlfn.XLOOKUP(A604,'Subbu- Mini Project EXcel Clean'!A604:A1603,'Subbu- Mini Project EXcel Clean'!F604:F1603,"Entry Level",0)</f>
        <v>68.900000000000006</v>
      </c>
      <c r="F604">
        <f>_xlfn.XLOOKUP(A604,'Subbu- Mini Project EXcel Clean'!A604:A1603,'Subbu- Mini Project EXcel Clean'!G604:G1603," ",0)</f>
        <v>59.3</v>
      </c>
      <c r="G604" t="str">
        <f>_xlfn.XLOOKUP(A604,'Subbu- Mini Project EXcel Clean'!A604:A1603,'Subbu- Mini Project EXcel Clean'!H604:H1603," ",0)</f>
        <v>Pass</v>
      </c>
      <c r="H604" t="str">
        <f>VLOOKUP(A604,'Subbu- Mini Project EXcel Clean'!A603:R1603,18,)</f>
        <v>Master</v>
      </c>
    </row>
    <row r="605" spans="1:8" x14ac:dyDescent="0.25">
      <c r="A605" t="s">
        <v>633</v>
      </c>
      <c r="B605">
        <f>VLOOKUP(A605,'Subbu- Mini Project EXcel Clean'!A604:R1604,2,FALSE)</f>
        <v>41.9</v>
      </c>
      <c r="C605">
        <f>VLOOKUP(A605,'Subbu- Mini Project EXcel Clean'!A604:R1604,3,FALSE)</f>
        <v>44.6</v>
      </c>
      <c r="D605">
        <f>_xlfn.XLOOKUP(A605,'Subbu- Mini Project EXcel Clean'!A605:A1604,'Subbu- Mini Project EXcel Clean'!D605:D1604,"Entry Level",0)</f>
        <v>50</v>
      </c>
      <c r="E605">
        <f>_xlfn.XLOOKUP(A605,'Subbu- Mini Project EXcel Clean'!A605:A1604,'Subbu- Mini Project EXcel Clean'!F605:F1604,"Entry Level",0)</f>
        <v>59.4</v>
      </c>
      <c r="F605">
        <f>_xlfn.XLOOKUP(A605,'Subbu- Mini Project EXcel Clean'!A605:A1604,'Subbu- Mini Project EXcel Clean'!G605:G1604," ",0)</f>
        <v>52.15</v>
      </c>
      <c r="G605" t="str">
        <f>_xlfn.XLOOKUP(A605,'Subbu- Mini Project EXcel Clean'!A605:A1604,'Subbu- Mini Project EXcel Clean'!H605:H1604," ",0)</f>
        <v>Pass</v>
      </c>
      <c r="H605" t="str">
        <f>VLOOKUP(A605,'Subbu- Mini Project EXcel Clean'!A604:R1604,18,)</f>
        <v>Master</v>
      </c>
    </row>
    <row r="606" spans="1:8" x14ac:dyDescent="0.25">
      <c r="A606" t="s">
        <v>634</v>
      </c>
      <c r="B606">
        <f>VLOOKUP(A606,'Subbu- Mini Project EXcel Clean'!A605:R1605,2,FALSE)</f>
        <v>50.3</v>
      </c>
      <c r="C606">
        <f>VLOOKUP(A606,'Subbu- Mini Project EXcel Clean'!A605:R1605,3,FALSE)</f>
        <v>46.8</v>
      </c>
      <c r="D606">
        <f>_xlfn.XLOOKUP(A606,'Subbu- Mini Project EXcel Clean'!A606:A1605,'Subbu- Mini Project EXcel Clean'!D606:D1605,"Entry Level",0)</f>
        <v>52.2</v>
      </c>
      <c r="E606">
        <f>_xlfn.XLOOKUP(A606,'Subbu- Mini Project EXcel Clean'!A606:A1605,'Subbu- Mini Project EXcel Clean'!F606:F1605,"Entry Level",0)</f>
        <v>53.6</v>
      </c>
      <c r="F606">
        <f>_xlfn.XLOOKUP(A606,'Subbu- Mini Project EXcel Clean'!A606:A1605,'Subbu- Mini Project EXcel Clean'!G606:G1605," ",0)</f>
        <v>50.1</v>
      </c>
      <c r="G606" t="str">
        <f>_xlfn.XLOOKUP(A606,'Subbu- Mini Project EXcel Clean'!A606:A1605,'Subbu- Mini Project EXcel Clean'!H606:H1605," ",0)</f>
        <v>Pass</v>
      </c>
      <c r="H606" t="str">
        <f>VLOOKUP(A606,'Subbu- Mini Project EXcel Clean'!A605:R1605,18,)</f>
        <v>Master</v>
      </c>
    </row>
    <row r="607" spans="1:8" x14ac:dyDescent="0.25">
      <c r="A607" t="s">
        <v>635</v>
      </c>
      <c r="B607">
        <f>VLOOKUP(A607,'Subbu- Mini Project EXcel Clean'!A606:R1606,2,FALSE)</f>
        <v>66.8</v>
      </c>
      <c r="C607">
        <f>VLOOKUP(A607,'Subbu- Mini Project EXcel Clean'!A606:R1606,3,FALSE)</f>
        <v>61.6</v>
      </c>
      <c r="D607">
        <f>_xlfn.XLOOKUP(A607,'Subbu- Mini Project EXcel Clean'!A607:A1606,'Subbu- Mini Project EXcel Clean'!D607:D1606,"Entry Level",0)</f>
        <v>62.5</v>
      </c>
      <c r="E607">
        <f>_xlfn.XLOOKUP(A607,'Subbu- Mini Project EXcel Clean'!A607:A1606,'Subbu- Mini Project EXcel Clean'!F607:F1606,"Entry Level",0)</f>
        <v>60.9</v>
      </c>
      <c r="F607">
        <f>_xlfn.XLOOKUP(A607,'Subbu- Mini Project EXcel Clean'!A607:A1606,'Subbu- Mini Project EXcel Clean'!G607:G1606," ",0)</f>
        <v>63.1</v>
      </c>
      <c r="G607" t="str">
        <f>_xlfn.XLOOKUP(A607,'Subbu- Mini Project EXcel Clean'!A607:A1606,'Subbu- Mini Project EXcel Clean'!H607:H1606," ",0)</f>
        <v>Pass</v>
      </c>
      <c r="H607" t="str">
        <f>VLOOKUP(A607,'Subbu- Mini Project EXcel Clean'!A606:R1606,18,)</f>
        <v>Master</v>
      </c>
    </row>
    <row r="608" spans="1:8" x14ac:dyDescent="0.25">
      <c r="A608" t="s">
        <v>636</v>
      </c>
      <c r="B608">
        <f>VLOOKUP(A608,'Subbu- Mini Project EXcel Clean'!A607:R1607,2,FALSE)</f>
        <v>57.9</v>
      </c>
      <c r="C608">
        <f>VLOOKUP(A608,'Subbu- Mini Project EXcel Clean'!A607:R1607,3,FALSE)</f>
        <v>50.2</v>
      </c>
      <c r="D608">
        <f>_xlfn.XLOOKUP(A608,'Subbu- Mini Project EXcel Clean'!A608:A1607,'Subbu- Mini Project EXcel Clean'!D608:D1607,"Entry Level",0)</f>
        <v>47.3</v>
      </c>
      <c r="E608">
        <f>_xlfn.XLOOKUP(A608,'Subbu- Mini Project EXcel Clean'!A608:A1607,'Subbu- Mini Project EXcel Clean'!F608:F1607,"Entry Level",0)</f>
        <v>53.9</v>
      </c>
      <c r="F608">
        <f>_xlfn.XLOOKUP(A608,'Subbu- Mini Project EXcel Clean'!A608:A1607,'Subbu- Mini Project EXcel Clean'!G608:G1607," ",0)</f>
        <v>52.6</v>
      </c>
      <c r="G608" t="str">
        <f>_xlfn.XLOOKUP(A608,'Subbu- Mini Project EXcel Clean'!A608:A1607,'Subbu- Mini Project EXcel Clean'!H608:H1607," ",0)</f>
        <v>Pass</v>
      </c>
      <c r="H608" t="str">
        <f>VLOOKUP(A608,'Subbu- Mini Project EXcel Clean'!A607:R1607,18,)</f>
        <v>Master</v>
      </c>
    </row>
    <row r="609" spans="1:8" x14ac:dyDescent="0.25">
      <c r="A609" t="s">
        <v>637</v>
      </c>
      <c r="B609">
        <f>VLOOKUP(A609,'Subbu- Mini Project EXcel Clean'!A608:R1608,2,FALSE)</f>
        <v>67.8</v>
      </c>
      <c r="C609">
        <f>VLOOKUP(A609,'Subbu- Mini Project EXcel Clean'!A608:R1608,3,FALSE)</f>
        <v>55.4</v>
      </c>
      <c r="D609">
        <f>_xlfn.XLOOKUP(A609,'Subbu- Mini Project EXcel Clean'!A609:A1608,'Subbu- Mini Project EXcel Clean'!D609:D1608,"Entry Level",0)</f>
        <v>60.4</v>
      </c>
      <c r="E609">
        <f>_xlfn.XLOOKUP(A609,'Subbu- Mini Project EXcel Clean'!A609:A1608,'Subbu- Mini Project EXcel Clean'!F609:F1608,"Entry Level",0)</f>
        <v>61.9</v>
      </c>
      <c r="F609">
        <f>_xlfn.XLOOKUP(A609,'Subbu- Mini Project EXcel Clean'!A609:A1608,'Subbu- Mini Project EXcel Clean'!G609:G1608," ",0)</f>
        <v>60.95</v>
      </c>
      <c r="G609" t="str">
        <f>_xlfn.XLOOKUP(A609,'Subbu- Mini Project EXcel Clean'!A609:A1608,'Subbu- Mini Project EXcel Clean'!H609:H1608," ",0)</f>
        <v>Pass</v>
      </c>
      <c r="H609" t="str">
        <f>VLOOKUP(A609,'Subbu- Mini Project EXcel Clean'!A608:R1608,18,)</f>
        <v>High School</v>
      </c>
    </row>
    <row r="610" spans="1:8" x14ac:dyDescent="0.25">
      <c r="A610" t="s">
        <v>638</v>
      </c>
      <c r="B610">
        <f>VLOOKUP(A610,'Subbu- Mini Project EXcel Clean'!A609:R1609,2,FALSE)</f>
        <v>67.8</v>
      </c>
      <c r="C610">
        <f>VLOOKUP(A610,'Subbu- Mini Project EXcel Clean'!A609:R1609,3,FALSE)</f>
        <v>72.099999999999994</v>
      </c>
      <c r="D610">
        <f>_xlfn.XLOOKUP(A610,'Subbu- Mini Project EXcel Clean'!A610:A1609,'Subbu- Mini Project EXcel Clean'!D610:D1609,"Entry Level",0)</f>
        <v>72</v>
      </c>
      <c r="E610">
        <f>_xlfn.XLOOKUP(A610,'Subbu- Mini Project EXcel Clean'!A610:A1609,'Subbu- Mini Project EXcel Clean'!F610:F1609,"Entry Level",0)</f>
        <v>66</v>
      </c>
      <c r="F610">
        <f>_xlfn.XLOOKUP(A610,'Subbu- Mini Project EXcel Clean'!A610:A1609,'Subbu- Mini Project EXcel Clean'!G610:G1609," ",0)</f>
        <v>66.849999999999994</v>
      </c>
      <c r="G610" t="str">
        <f>_xlfn.XLOOKUP(A610,'Subbu- Mini Project EXcel Clean'!A610:A1609,'Subbu- Mini Project EXcel Clean'!H610:H1609," ",0)</f>
        <v>Pass</v>
      </c>
      <c r="H610" t="str">
        <f>VLOOKUP(A610,'Subbu- Mini Project EXcel Clean'!A609:R1609,18,)</f>
        <v>Master</v>
      </c>
    </row>
    <row r="611" spans="1:8" x14ac:dyDescent="0.25">
      <c r="A611" t="s">
        <v>639</v>
      </c>
      <c r="B611">
        <f>VLOOKUP(A611,'Subbu- Mini Project EXcel Clean'!A610:R1610,2,FALSE)</f>
        <v>74.2</v>
      </c>
      <c r="C611">
        <f>VLOOKUP(A611,'Subbu- Mini Project EXcel Clean'!A610:R1610,3,FALSE)</f>
        <v>83.1</v>
      </c>
      <c r="D611">
        <f>_xlfn.XLOOKUP(A611,'Subbu- Mini Project EXcel Clean'!A611:A1610,'Subbu- Mini Project EXcel Clean'!D611:D1610,"Entry Level",0)</f>
        <v>78.7</v>
      </c>
      <c r="E611">
        <f>_xlfn.XLOOKUP(A611,'Subbu- Mini Project EXcel Clean'!A611:A1610,'Subbu- Mini Project EXcel Clean'!F611:F1610,"Entry Level",0)</f>
        <v>77.2</v>
      </c>
      <c r="F611">
        <f>_xlfn.XLOOKUP(A611,'Subbu- Mini Project EXcel Clean'!A611:A1610,'Subbu- Mini Project EXcel Clean'!G611:G1610," ",0)</f>
        <v>77.599999999999994</v>
      </c>
      <c r="G611" t="str">
        <f>_xlfn.XLOOKUP(A611,'Subbu- Mini Project EXcel Clean'!A611:A1610,'Subbu- Mini Project EXcel Clean'!H611:H1610," ",0)</f>
        <v>Pass</v>
      </c>
      <c r="H611" t="str">
        <f>VLOOKUP(A611,'Subbu- Mini Project EXcel Clean'!A610:R1610,18,)</f>
        <v>High School</v>
      </c>
    </row>
    <row r="612" spans="1:8" x14ac:dyDescent="0.25">
      <c r="A612" t="s">
        <v>640</v>
      </c>
      <c r="B612">
        <f>VLOOKUP(A612,'Subbu- Mini Project EXcel Clean'!A611:R1611,2,FALSE)</f>
        <v>44.5</v>
      </c>
      <c r="C612">
        <f>VLOOKUP(A612,'Subbu- Mini Project EXcel Clean'!A611:R1611,3,FALSE)</f>
        <v>32.9</v>
      </c>
      <c r="D612">
        <f>_xlfn.XLOOKUP(A612,'Subbu- Mini Project EXcel Clean'!A612:A1611,'Subbu- Mini Project EXcel Clean'!D612:D1611,"Entry Level",0)</f>
        <v>34.299999999999997</v>
      </c>
      <c r="E612">
        <f>_xlfn.XLOOKUP(A612,'Subbu- Mini Project EXcel Clean'!A612:A1611,'Subbu- Mini Project EXcel Clean'!F612:F1611,"Entry Level",0)</f>
        <v>48.8</v>
      </c>
      <c r="F612">
        <f>_xlfn.XLOOKUP(A612,'Subbu- Mini Project EXcel Clean'!A612:A1611,'Subbu- Mini Project EXcel Clean'!G612:G1611," ",0)</f>
        <v>45.5</v>
      </c>
      <c r="G612" t="str">
        <f>_xlfn.XLOOKUP(A612,'Subbu- Mini Project EXcel Clean'!A612:A1611,'Subbu- Mini Project EXcel Clean'!H612:H1611," ",0)</f>
        <v>Fail</v>
      </c>
      <c r="H612" t="str">
        <f>VLOOKUP(A612,'Subbu- Mini Project EXcel Clean'!A611:R1611,18,)</f>
        <v>Bachelor</v>
      </c>
    </row>
    <row r="613" spans="1:8" x14ac:dyDescent="0.25">
      <c r="A613" t="s">
        <v>641</v>
      </c>
      <c r="B613">
        <f>VLOOKUP(A613,'Subbu- Mini Project EXcel Clean'!A612:R1612,2,FALSE)</f>
        <v>80.599999999999994</v>
      </c>
      <c r="C613">
        <f>VLOOKUP(A613,'Subbu- Mini Project EXcel Clean'!A612:R1612,3,FALSE)</f>
        <v>79.3</v>
      </c>
      <c r="D613">
        <f>_xlfn.XLOOKUP(A613,'Subbu- Mini Project EXcel Clean'!A613:A1612,'Subbu- Mini Project EXcel Clean'!D613:D1612,"Entry Level",0)</f>
        <v>80</v>
      </c>
      <c r="E613">
        <f>_xlfn.XLOOKUP(A613,'Subbu- Mini Project EXcel Clean'!A613:A1612,'Subbu- Mini Project EXcel Clean'!F613:F1612,"Entry Level",0)</f>
        <v>85</v>
      </c>
      <c r="F613">
        <f>_xlfn.XLOOKUP(A613,'Subbu- Mini Project EXcel Clean'!A613:A1612,'Subbu- Mini Project EXcel Clean'!G613:G1612," ",0)</f>
        <v>84.5</v>
      </c>
      <c r="G613" t="str">
        <f>_xlfn.XLOOKUP(A613,'Subbu- Mini Project EXcel Clean'!A613:A1612,'Subbu- Mini Project EXcel Clean'!H613:H1612," ",0)</f>
        <v>Pass</v>
      </c>
      <c r="H613" t="str">
        <f>VLOOKUP(A613,'Subbu- Mini Project EXcel Clean'!A612:R1612,18,)</f>
        <v>High School</v>
      </c>
    </row>
    <row r="614" spans="1:8" x14ac:dyDescent="0.25">
      <c r="A614" t="s">
        <v>642</v>
      </c>
      <c r="B614">
        <f>VLOOKUP(A614,'Subbu- Mini Project EXcel Clean'!A613:R1613,2,FALSE)</f>
        <v>84.6</v>
      </c>
      <c r="C614">
        <f>VLOOKUP(A614,'Subbu- Mini Project EXcel Clean'!A613:R1613,3,FALSE)</f>
        <v>67.099999999999994</v>
      </c>
      <c r="D614">
        <f>_xlfn.XLOOKUP(A614,'Subbu- Mini Project EXcel Clean'!A614:A1613,'Subbu- Mini Project EXcel Clean'!D614:D1613,"Entry Level",0)</f>
        <v>74.2</v>
      </c>
      <c r="E614">
        <f>_xlfn.XLOOKUP(A614,'Subbu- Mini Project EXcel Clean'!A614:A1613,'Subbu- Mini Project EXcel Clean'!F614:F1613,"Entry Level",0)</f>
        <v>79.400000000000006</v>
      </c>
      <c r="F614">
        <f>_xlfn.XLOOKUP(A614,'Subbu- Mini Project EXcel Clean'!A614:A1613,'Subbu- Mini Project EXcel Clean'!G614:G1613," ",0)</f>
        <v>76.95</v>
      </c>
      <c r="G614" t="str">
        <f>_xlfn.XLOOKUP(A614,'Subbu- Mini Project EXcel Clean'!A614:A1613,'Subbu- Mini Project EXcel Clean'!H614:H1613," ",0)</f>
        <v>Pass</v>
      </c>
      <c r="H614" t="str">
        <f>VLOOKUP(A614,'Subbu- Mini Project EXcel Clean'!A613:R1613,18,)</f>
        <v>Bachelor</v>
      </c>
    </row>
    <row r="615" spans="1:8" x14ac:dyDescent="0.25">
      <c r="A615" t="s">
        <v>643</v>
      </c>
      <c r="B615">
        <f>VLOOKUP(A615,'Subbu- Mini Project EXcel Clean'!A614:R1614,2,FALSE)</f>
        <v>45.2</v>
      </c>
      <c r="C615">
        <f>VLOOKUP(A615,'Subbu- Mini Project EXcel Clean'!A614:R1614,3,FALSE)</f>
        <v>41.2</v>
      </c>
      <c r="D615">
        <f>_xlfn.XLOOKUP(A615,'Subbu- Mini Project EXcel Clean'!A615:A1614,'Subbu- Mini Project EXcel Clean'!D615:D1614,"Entry Level",0)</f>
        <v>44.1</v>
      </c>
      <c r="E615">
        <f>_xlfn.XLOOKUP(A615,'Subbu- Mini Project EXcel Clean'!A615:A1614,'Subbu- Mini Project EXcel Clean'!F615:F1614,"Entry Level",0)</f>
        <v>42.7</v>
      </c>
      <c r="F615">
        <f>_xlfn.XLOOKUP(A615,'Subbu- Mini Project EXcel Clean'!A615:A1614,'Subbu- Mini Project EXcel Clean'!G615:G1614," ",0)</f>
        <v>43.6</v>
      </c>
      <c r="G615" t="str">
        <f>_xlfn.XLOOKUP(A615,'Subbu- Mini Project EXcel Clean'!A615:A1614,'Subbu- Mini Project EXcel Clean'!H615:H1614," ",0)</f>
        <v>Fail</v>
      </c>
      <c r="H615" t="str">
        <f>VLOOKUP(A615,'Subbu- Mini Project EXcel Clean'!A614:R1614,18,)</f>
        <v>High School</v>
      </c>
    </row>
    <row r="616" spans="1:8" x14ac:dyDescent="0.25">
      <c r="A616" t="s">
        <v>644</v>
      </c>
      <c r="B616">
        <f>VLOOKUP(A616,'Subbu- Mini Project EXcel Clean'!A615:R1615,2,FALSE)</f>
        <v>86.2</v>
      </c>
      <c r="C616">
        <f>VLOOKUP(A616,'Subbu- Mini Project EXcel Clean'!A615:R1615,3,FALSE)</f>
        <v>87.6</v>
      </c>
      <c r="D616">
        <f>_xlfn.XLOOKUP(A616,'Subbu- Mini Project EXcel Clean'!A616:A1615,'Subbu- Mini Project EXcel Clean'!D616:D1615,"Entry Level",0)</f>
        <v>97.9</v>
      </c>
      <c r="E616">
        <f>_xlfn.XLOOKUP(A616,'Subbu- Mini Project EXcel Clean'!A616:A1615,'Subbu- Mini Project EXcel Clean'!F616:F1615,"Entry Level",0)</f>
        <v>83.6</v>
      </c>
      <c r="F616">
        <f>_xlfn.XLOOKUP(A616,'Subbu- Mini Project EXcel Clean'!A616:A1615,'Subbu- Mini Project EXcel Clean'!G616:G1615," ",0)</f>
        <v>85.8</v>
      </c>
      <c r="G616" t="str">
        <f>_xlfn.XLOOKUP(A616,'Subbu- Mini Project EXcel Clean'!A616:A1615,'Subbu- Mini Project EXcel Clean'!H616:H1615," ",0)</f>
        <v>Pass</v>
      </c>
      <c r="H616" t="str">
        <f>VLOOKUP(A616,'Subbu- Mini Project EXcel Clean'!A615:R1615,18,)</f>
        <v>High School</v>
      </c>
    </row>
    <row r="617" spans="1:8" x14ac:dyDescent="0.25">
      <c r="A617" t="s">
        <v>645</v>
      </c>
      <c r="B617">
        <f>VLOOKUP(A617,'Subbu- Mini Project EXcel Clean'!A616:R1616,2,FALSE)</f>
        <v>91.6</v>
      </c>
      <c r="C617">
        <f>VLOOKUP(A617,'Subbu- Mini Project EXcel Clean'!A616:R1616,3,FALSE)</f>
        <v>83.4</v>
      </c>
      <c r="D617">
        <f>_xlfn.XLOOKUP(A617,'Subbu- Mini Project EXcel Clean'!A617:A1616,'Subbu- Mini Project EXcel Clean'!D617:D1616,"Entry Level",0)</f>
        <v>83.7</v>
      </c>
      <c r="E617">
        <f>_xlfn.XLOOKUP(A617,'Subbu- Mini Project EXcel Clean'!A617:A1616,'Subbu- Mini Project EXcel Clean'!F617:F1616,"Entry Level",0)</f>
        <v>79.2</v>
      </c>
      <c r="F617">
        <f>_xlfn.XLOOKUP(A617,'Subbu- Mini Project EXcel Clean'!A617:A1616,'Subbu- Mini Project EXcel Clean'!G617:G1616," ",0)</f>
        <v>84.9</v>
      </c>
      <c r="G617" t="str">
        <f>_xlfn.XLOOKUP(A617,'Subbu- Mini Project EXcel Clean'!A617:A1616,'Subbu- Mini Project EXcel Clean'!H617:H1616," ",0)</f>
        <v>Pass</v>
      </c>
      <c r="H617" t="str">
        <f>VLOOKUP(A617,'Subbu- Mini Project EXcel Clean'!A616:R1616,18,)</f>
        <v>Master</v>
      </c>
    </row>
    <row r="618" spans="1:8" x14ac:dyDescent="0.25">
      <c r="A618" t="s">
        <v>646</v>
      </c>
      <c r="B618">
        <f>VLOOKUP(A618,'Subbu- Mini Project EXcel Clean'!A617:R1617,2,FALSE)</f>
        <v>36.6</v>
      </c>
      <c r="C618">
        <f>VLOOKUP(A618,'Subbu- Mini Project EXcel Clean'!A617:R1617,3,FALSE)</f>
        <v>38.700000000000003</v>
      </c>
      <c r="D618">
        <f>_xlfn.XLOOKUP(A618,'Subbu- Mini Project EXcel Clean'!A618:A1617,'Subbu- Mini Project EXcel Clean'!D618:D1617,"Entry Level",0)</f>
        <v>45.9</v>
      </c>
      <c r="E618">
        <f>_xlfn.XLOOKUP(A618,'Subbu- Mini Project EXcel Clean'!A618:A1617,'Subbu- Mini Project EXcel Clean'!F618:F1617,"Entry Level",0)</f>
        <v>63.1</v>
      </c>
      <c r="F618">
        <f>_xlfn.XLOOKUP(A618,'Subbu- Mini Project EXcel Clean'!A618:A1617,'Subbu- Mini Project EXcel Clean'!G618:G1617," ",0)</f>
        <v>53.25</v>
      </c>
      <c r="G618" t="str">
        <f>_xlfn.XLOOKUP(A618,'Subbu- Mini Project EXcel Clean'!A618:A1617,'Subbu- Mini Project EXcel Clean'!H618:H1617," ",0)</f>
        <v>Pass</v>
      </c>
      <c r="H618" t="str">
        <f>VLOOKUP(A618,'Subbu- Mini Project EXcel Clean'!A617:R1617,18,)</f>
        <v>High School</v>
      </c>
    </row>
    <row r="619" spans="1:8" x14ac:dyDescent="0.25">
      <c r="A619" t="s">
        <v>647</v>
      </c>
      <c r="B619">
        <f>VLOOKUP(A619,'Subbu- Mini Project EXcel Clean'!A618:R1618,2,FALSE)</f>
        <v>50.4</v>
      </c>
      <c r="C619">
        <f>VLOOKUP(A619,'Subbu- Mini Project EXcel Clean'!A618:R1618,3,FALSE)</f>
        <v>50.2</v>
      </c>
      <c r="D619">
        <f>_xlfn.XLOOKUP(A619,'Subbu- Mini Project EXcel Clean'!A619:A1618,'Subbu- Mini Project EXcel Clean'!D619:D1618,"Entry Level",0)</f>
        <v>62.7</v>
      </c>
      <c r="E619">
        <f>_xlfn.XLOOKUP(A619,'Subbu- Mini Project EXcel Clean'!A619:A1618,'Subbu- Mini Project EXcel Clean'!F619:F1618,"Entry Level",0)</f>
        <v>68.5</v>
      </c>
      <c r="F619">
        <f>_xlfn.XLOOKUP(A619,'Subbu- Mini Project EXcel Clean'!A619:A1618,'Subbu- Mini Project EXcel Clean'!G619:G1618," ",0)</f>
        <v>61.85</v>
      </c>
      <c r="G619" t="str">
        <f>_xlfn.XLOOKUP(A619,'Subbu- Mini Project EXcel Clean'!A619:A1618,'Subbu- Mini Project EXcel Clean'!H619:H1618," ",0)</f>
        <v>Pass</v>
      </c>
      <c r="H619" t="str">
        <f>VLOOKUP(A619,'Subbu- Mini Project EXcel Clean'!A618:R1618,18,)</f>
        <v>High School</v>
      </c>
    </row>
    <row r="620" spans="1:8" x14ac:dyDescent="0.25">
      <c r="A620" t="s">
        <v>648</v>
      </c>
      <c r="B620">
        <f>VLOOKUP(A620,'Subbu- Mini Project EXcel Clean'!A619:R1619,2,FALSE)</f>
        <v>90.3</v>
      </c>
      <c r="C620">
        <f>VLOOKUP(A620,'Subbu- Mini Project EXcel Clean'!A619:R1619,3,FALSE)</f>
        <v>85.4</v>
      </c>
      <c r="D620">
        <f>_xlfn.XLOOKUP(A620,'Subbu- Mini Project EXcel Clean'!A620:A1619,'Subbu- Mini Project EXcel Clean'!D620:D1619,"Entry Level",0)</f>
        <v>95.7</v>
      </c>
      <c r="E620">
        <f>_xlfn.XLOOKUP(A620,'Subbu- Mini Project EXcel Clean'!A620:A1619,'Subbu- Mini Project EXcel Clean'!F620:F1619,"Entry Level",0)</f>
        <v>79.7</v>
      </c>
      <c r="F620">
        <f>_xlfn.XLOOKUP(A620,'Subbu- Mini Project EXcel Clean'!A620:A1619,'Subbu- Mini Project EXcel Clean'!G620:G1619," ",0)</f>
        <v>82</v>
      </c>
      <c r="G620" t="str">
        <f>_xlfn.XLOOKUP(A620,'Subbu- Mini Project EXcel Clean'!A620:A1619,'Subbu- Mini Project EXcel Clean'!H620:H1619," ",0)</f>
        <v>Pass</v>
      </c>
      <c r="H620" t="str">
        <f>VLOOKUP(A620,'Subbu- Mini Project EXcel Clean'!A619:R1619,18,)</f>
        <v>Master</v>
      </c>
    </row>
    <row r="621" spans="1:8" x14ac:dyDescent="0.25">
      <c r="A621" t="s">
        <v>649</v>
      </c>
      <c r="B621">
        <f>VLOOKUP(A621,'Subbu- Mini Project EXcel Clean'!A620:R1620,2,FALSE)</f>
        <v>77.900000000000006</v>
      </c>
      <c r="C621">
        <f>VLOOKUP(A621,'Subbu- Mini Project EXcel Clean'!A620:R1620,3,FALSE)</f>
        <v>81.5</v>
      </c>
      <c r="D621">
        <f>_xlfn.XLOOKUP(A621,'Subbu- Mini Project EXcel Clean'!A621:A1620,'Subbu- Mini Project EXcel Clean'!D621:D1620,"Entry Level",0)</f>
        <v>79.099999999999994</v>
      </c>
      <c r="E621">
        <f>_xlfn.XLOOKUP(A621,'Subbu- Mini Project EXcel Clean'!A621:A1620,'Subbu- Mini Project EXcel Clean'!F621:F1620,"Entry Level",0)</f>
        <v>76.900000000000006</v>
      </c>
      <c r="F621">
        <f>_xlfn.XLOOKUP(A621,'Subbu- Mini Project EXcel Clean'!A621:A1620,'Subbu- Mini Project EXcel Clean'!G621:G1620," ",0)</f>
        <v>79.05</v>
      </c>
      <c r="G621" t="str">
        <f>_xlfn.XLOOKUP(A621,'Subbu- Mini Project EXcel Clean'!A621:A1620,'Subbu- Mini Project EXcel Clean'!H621:H1620," ",0)</f>
        <v>Pass</v>
      </c>
      <c r="H621" t="str">
        <f>VLOOKUP(A621,'Subbu- Mini Project EXcel Clean'!A620:R1620,18,)</f>
        <v>Bachelor</v>
      </c>
    </row>
    <row r="622" spans="1:8" x14ac:dyDescent="0.25">
      <c r="A622" t="s">
        <v>650</v>
      </c>
      <c r="B622">
        <f>VLOOKUP(A622,'Subbu- Mini Project EXcel Clean'!A621:R1621,2,FALSE)</f>
        <v>44.9</v>
      </c>
      <c r="C622">
        <f>VLOOKUP(A622,'Subbu- Mini Project EXcel Clean'!A621:R1621,3,FALSE)</f>
        <v>46.5</v>
      </c>
      <c r="D622">
        <f>_xlfn.XLOOKUP(A622,'Subbu- Mini Project EXcel Clean'!A622:A1621,'Subbu- Mini Project EXcel Clean'!D622:D1621,"Entry Level",0)</f>
        <v>52.6</v>
      </c>
      <c r="E622">
        <f>_xlfn.XLOOKUP(A622,'Subbu- Mini Project EXcel Clean'!A622:A1621,'Subbu- Mini Project EXcel Clean'!F622:F1621,"Entry Level",0)</f>
        <v>57.1</v>
      </c>
      <c r="F622">
        <f>_xlfn.XLOOKUP(A622,'Subbu- Mini Project EXcel Clean'!A622:A1621,'Subbu- Mini Project EXcel Clean'!G622:G1621," ",0)</f>
        <v>53.6</v>
      </c>
      <c r="G622" t="str">
        <f>_xlfn.XLOOKUP(A622,'Subbu- Mini Project EXcel Clean'!A622:A1621,'Subbu- Mini Project EXcel Clean'!H622:H1621," ",0)</f>
        <v>Pass</v>
      </c>
      <c r="H622" t="str">
        <f>VLOOKUP(A622,'Subbu- Mini Project EXcel Clean'!A621:R1621,18,)</f>
        <v>Master</v>
      </c>
    </row>
    <row r="623" spans="1:8" x14ac:dyDescent="0.25">
      <c r="A623" t="s">
        <v>651</v>
      </c>
      <c r="B623">
        <f>VLOOKUP(A623,'Subbu- Mini Project EXcel Clean'!A622:R1622,2,FALSE)</f>
        <v>54.2</v>
      </c>
      <c r="C623">
        <f>VLOOKUP(A623,'Subbu- Mini Project EXcel Clean'!A622:R1622,3,FALSE)</f>
        <v>52.4</v>
      </c>
      <c r="D623">
        <f>_xlfn.XLOOKUP(A623,'Subbu- Mini Project EXcel Clean'!A623:A1622,'Subbu- Mini Project EXcel Clean'!D623:D1622,"Entry Level",0)</f>
        <v>54.4</v>
      </c>
      <c r="E623">
        <f>_xlfn.XLOOKUP(A623,'Subbu- Mini Project EXcel Clean'!A623:A1622,'Subbu- Mini Project EXcel Clean'!F623:F1622,"Entry Level",0)</f>
        <v>64.3</v>
      </c>
      <c r="F623">
        <f>_xlfn.XLOOKUP(A623,'Subbu- Mini Project EXcel Clean'!A623:A1622,'Subbu- Mini Project EXcel Clean'!G623:G1622," ",0)</f>
        <v>57.9</v>
      </c>
      <c r="G623" t="str">
        <f>_xlfn.XLOOKUP(A623,'Subbu- Mini Project EXcel Clean'!A623:A1622,'Subbu- Mini Project EXcel Clean'!H623:H1622," ",0)</f>
        <v>Pass</v>
      </c>
      <c r="H623" t="str">
        <f>VLOOKUP(A623,'Subbu- Mini Project EXcel Clean'!A622:R1622,18,)</f>
        <v>Master</v>
      </c>
    </row>
    <row r="624" spans="1:8" x14ac:dyDescent="0.25">
      <c r="A624" t="s">
        <v>652</v>
      </c>
      <c r="B624">
        <f>VLOOKUP(A624,'Subbu- Mini Project EXcel Clean'!A623:R1623,2,FALSE)</f>
        <v>66.3</v>
      </c>
      <c r="C624">
        <f>VLOOKUP(A624,'Subbu- Mini Project EXcel Clean'!A623:R1623,3,FALSE)</f>
        <v>57.6</v>
      </c>
      <c r="D624">
        <f>_xlfn.XLOOKUP(A624,'Subbu- Mini Project EXcel Clean'!A624:A1623,'Subbu- Mini Project EXcel Clean'!D624:D1623,"Entry Level",0)</f>
        <v>61.4</v>
      </c>
      <c r="E624">
        <f>_xlfn.XLOOKUP(A624,'Subbu- Mini Project EXcel Clean'!A624:A1623,'Subbu- Mini Project EXcel Clean'!F624:F1623,"Entry Level",0)</f>
        <v>82.2</v>
      </c>
      <c r="F624">
        <f>_xlfn.XLOOKUP(A624,'Subbu- Mini Project EXcel Clean'!A624:A1623,'Subbu- Mini Project EXcel Clean'!G624:G1623," ",0)</f>
        <v>71.3</v>
      </c>
      <c r="G624" t="str">
        <f>_xlfn.XLOOKUP(A624,'Subbu- Mini Project EXcel Clean'!A624:A1623,'Subbu- Mini Project EXcel Clean'!H624:H1623," ",0)</f>
        <v>Pass</v>
      </c>
      <c r="H624" t="str">
        <f>VLOOKUP(A624,'Subbu- Mini Project EXcel Clean'!A623:R1623,18,)</f>
        <v>Master</v>
      </c>
    </row>
    <row r="625" spans="1:8" x14ac:dyDescent="0.25">
      <c r="A625" t="s">
        <v>653</v>
      </c>
      <c r="B625">
        <f>VLOOKUP(A625,'Subbu- Mini Project EXcel Clean'!A624:R1624,2,FALSE)</f>
        <v>70.2</v>
      </c>
      <c r="C625">
        <f>VLOOKUP(A625,'Subbu- Mini Project EXcel Clean'!A624:R1624,3,FALSE)</f>
        <v>65.3</v>
      </c>
      <c r="D625">
        <f>_xlfn.XLOOKUP(A625,'Subbu- Mini Project EXcel Clean'!A625:A1624,'Subbu- Mini Project EXcel Clean'!D625:D1624,"Entry Level",0)</f>
        <v>66.2</v>
      </c>
      <c r="E625">
        <f>_xlfn.XLOOKUP(A625,'Subbu- Mini Project EXcel Clean'!A625:A1624,'Subbu- Mini Project EXcel Clean'!F625:F1624,"Entry Level",0)</f>
        <v>69.7</v>
      </c>
      <c r="F625">
        <f>_xlfn.XLOOKUP(A625,'Subbu- Mini Project EXcel Clean'!A625:A1624,'Subbu- Mini Project EXcel Clean'!G625:G1624," ",0)</f>
        <v>68.150000000000006</v>
      </c>
      <c r="G625" t="str">
        <f>_xlfn.XLOOKUP(A625,'Subbu- Mini Project EXcel Clean'!A625:A1624,'Subbu- Mini Project EXcel Clean'!H625:H1624," ",0)</f>
        <v>Pass</v>
      </c>
      <c r="H625" t="str">
        <f>VLOOKUP(A625,'Subbu- Mini Project EXcel Clean'!A624:R1624,18,)</f>
        <v>Bachelor</v>
      </c>
    </row>
    <row r="626" spans="1:8" x14ac:dyDescent="0.25">
      <c r="A626" t="s">
        <v>654</v>
      </c>
      <c r="B626">
        <f>VLOOKUP(A626,'Subbu- Mini Project EXcel Clean'!A625:R1625,2,FALSE)</f>
        <v>79</v>
      </c>
      <c r="C626">
        <f>VLOOKUP(A626,'Subbu- Mini Project EXcel Clean'!A625:R1625,3,FALSE)</f>
        <v>82.4</v>
      </c>
      <c r="D626">
        <f>_xlfn.XLOOKUP(A626,'Subbu- Mini Project EXcel Clean'!A626:A1625,'Subbu- Mini Project EXcel Clean'!D626:D1625,"Entry Level",0)</f>
        <v>76.2</v>
      </c>
      <c r="E626">
        <f>_xlfn.XLOOKUP(A626,'Subbu- Mini Project EXcel Clean'!A626:A1625,'Subbu- Mini Project EXcel Clean'!F626:F1625,"Entry Level",0)</f>
        <v>79.400000000000006</v>
      </c>
      <c r="F626">
        <f>_xlfn.XLOOKUP(A626,'Subbu- Mini Project EXcel Clean'!A626:A1625,'Subbu- Mini Project EXcel Clean'!G626:G1625," ",0)</f>
        <v>76.7</v>
      </c>
      <c r="G626" t="str">
        <f>_xlfn.XLOOKUP(A626,'Subbu- Mini Project EXcel Clean'!A626:A1625,'Subbu- Mini Project EXcel Clean'!H626:H1625," ",0)</f>
        <v>Pass</v>
      </c>
      <c r="H626" t="str">
        <f>VLOOKUP(A626,'Subbu- Mini Project EXcel Clean'!A625:R1625,18,)</f>
        <v>High School</v>
      </c>
    </row>
    <row r="627" spans="1:8" x14ac:dyDescent="0.25">
      <c r="A627" t="s">
        <v>655</v>
      </c>
      <c r="B627">
        <f>VLOOKUP(A627,'Subbu- Mini Project EXcel Clean'!A626:R1626,2,FALSE)</f>
        <v>56.5</v>
      </c>
      <c r="C627">
        <f>VLOOKUP(A627,'Subbu- Mini Project EXcel Clean'!A626:R1626,3,FALSE)</f>
        <v>67</v>
      </c>
      <c r="D627">
        <f>_xlfn.XLOOKUP(A627,'Subbu- Mini Project EXcel Clean'!A627:A1626,'Subbu- Mini Project EXcel Clean'!D627:D1626,"Entry Level",0)</f>
        <v>47.6</v>
      </c>
      <c r="E627">
        <f>_xlfn.XLOOKUP(A627,'Subbu- Mini Project EXcel Clean'!A627:A1626,'Subbu- Mini Project EXcel Clean'!F627:F1626,"Entry Level",0)</f>
        <v>71</v>
      </c>
      <c r="F627">
        <f>_xlfn.XLOOKUP(A627,'Subbu- Mini Project EXcel Clean'!A627:A1626,'Subbu- Mini Project EXcel Clean'!G627:G1626," ",0)</f>
        <v>65.650000000000006</v>
      </c>
      <c r="G627" t="str">
        <f>_xlfn.XLOOKUP(A627,'Subbu- Mini Project EXcel Clean'!A627:A1626,'Subbu- Mini Project EXcel Clean'!H627:H1626," ",0)</f>
        <v>Pass</v>
      </c>
      <c r="H627" t="str">
        <f>VLOOKUP(A627,'Subbu- Mini Project EXcel Clean'!A626:R1626,18,)</f>
        <v>High School</v>
      </c>
    </row>
    <row r="628" spans="1:8" x14ac:dyDescent="0.25">
      <c r="A628" t="s">
        <v>656</v>
      </c>
      <c r="B628">
        <f>VLOOKUP(A628,'Subbu- Mini Project EXcel Clean'!A627:R1627,2,FALSE)</f>
        <v>58.3</v>
      </c>
      <c r="C628">
        <f>VLOOKUP(A628,'Subbu- Mini Project EXcel Clean'!A627:R1627,3,FALSE)</f>
        <v>58.9</v>
      </c>
      <c r="D628">
        <f>_xlfn.XLOOKUP(A628,'Subbu- Mini Project EXcel Clean'!A628:A1627,'Subbu- Mini Project EXcel Clean'!D628:D1627,"Entry Level",0)</f>
        <v>68.8</v>
      </c>
      <c r="E628">
        <f>_xlfn.XLOOKUP(A628,'Subbu- Mini Project EXcel Clean'!A628:A1627,'Subbu- Mini Project EXcel Clean'!F628:F1627,"Entry Level",0)</f>
        <v>56.6</v>
      </c>
      <c r="F628">
        <f>_xlfn.XLOOKUP(A628,'Subbu- Mini Project EXcel Clean'!A628:A1627,'Subbu- Mini Project EXcel Clean'!G628:G1627," ",0)</f>
        <v>61</v>
      </c>
      <c r="G628" t="str">
        <f>_xlfn.XLOOKUP(A628,'Subbu- Mini Project EXcel Clean'!A628:A1627,'Subbu- Mini Project EXcel Clean'!H628:H1627," ",0)</f>
        <v>Pass</v>
      </c>
      <c r="H628" t="str">
        <f>VLOOKUP(A628,'Subbu- Mini Project EXcel Clean'!A627:R1627,18,)</f>
        <v>Master</v>
      </c>
    </row>
    <row r="629" spans="1:8" x14ac:dyDescent="0.25">
      <c r="A629" t="s">
        <v>657</v>
      </c>
      <c r="B629">
        <f>VLOOKUP(A629,'Subbu- Mini Project EXcel Clean'!A628:R1628,2,FALSE)</f>
        <v>88.6</v>
      </c>
      <c r="C629">
        <f>VLOOKUP(A629,'Subbu- Mini Project EXcel Clean'!A628:R1628,3,FALSE)</f>
        <v>85.3</v>
      </c>
      <c r="D629">
        <f>_xlfn.XLOOKUP(A629,'Subbu- Mini Project EXcel Clean'!A629:A1628,'Subbu- Mini Project EXcel Clean'!D629:D1628,"Entry Level",0)</f>
        <v>81.7</v>
      </c>
      <c r="E629">
        <f>_xlfn.XLOOKUP(A629,'Subbu- Mini Project EXcel Clean'!A629:A1628,'Subbu- Mini Project EXcel Clean'!F629:F1628,"Entry Level",0)</f>
        <v>75</v>
      </c>
      <c r="F629">
        <f>_xlfn.XLOOKUP(A629,'Subbu- Mini Project EXcel Clean'!A629:A1628,'Subbu- Mini Project EXcel Clean'!G629:G1628," ",0)</f>
        <v>78.05</v>
      </c>
      <c r="G629" t="str">
        <f>_xlfn.XLOOKUP(A629,'Subbu- Mini Project EXcel Clean'!A629:A1628,'Subbu- Mini Project EXcel Clean'!H629:H1628," ",0)</f>
        <v>Pass</v>
      </c>
      <c r="H629" t="str">
        <f>VLOOKUP(A629,'Subbu- Mini Project EXcel Clean'!A628:R1628,18,)</f>
        <v>Master</v>
      </c>
    </row>
    <row r="630" spans="1:8" x14ac:dyDescent="0.25">
      <c r="A630" t="s">
        <v>658</v>
      </c>
      <c r="B630">
        <f>VLOOKUP(A630,'Subbu- Mini Project EXcel Clean'!A629:R1629,2,FALSE)</f>
        <v>40.4</v>
      </c>
      <c r="C630">
        <f>VLOOKUP(A630,'Subbu- Mini Project EXcel Clean'!A629:R1629,3,FALSE)</f>
        <v>46.1</v>
      </c>
      <c r="D630">
        <f>_xlfn.XLOOKUP(A630,'Subbu- Mini Project EXcel Clean'!A630:A1629,'Subbu- Mini Project EXcel Clean'!D630:D1629,"Entry Level",0)</f>
        <v>40.9</v>
      </c>
      <c r="E630">
        <f>_xlfn.XLOOKUP(A630,'Subbu- Mini Project EXcel Clean'!A630:A1629,'Subbu- Mini Project EXcel Clean'!F630:F1629,"Entry Level",0)</f>
        <v>54.7</v>
      </c>
      <c r="F630">
        <f>_xlfn.XLOOKUP(A630,'Subbu- Mini Project EXcel Clean'!A630:A1629,'Subbu- Mini Project EXcel Clean'!G630:G1629," ",0)</f>
        <v>48.35</v>
      </c>
      <c r="G630" t="str">
        <f>_xlfn.XLOOKUP(A630,'Subbu- Mini Project EXcel Clean'!A630:A1629,'Subbu- Mini Project EXcel Clean'!H630:H1629," ",0)</f>
        <v>Fail</v>
      </c>
      <c r="H630" t="str">
        <f>VLOOKUP(A630,'Subbu- Mini Project EXcel Clean'!A629:R1629,18,)</f>
        <v>High School</v>
      </c>
    </row>
    <row r="631" spans="1:8" x14ac:dyDescent="0.25">
      <c r="A631" t="s">
        <v>659</v>
      </c>
      <c r="B631">
        <f>VLOOKUP(A631,'Subbu- Mini Project EXcel Clean'!A630:R1630,2,FALSE)</f>
        <v>52.6</v>
      </c>
      <c r="C631">
        <f>VLOOKUP(A631,'Subbu- Mini Project EXcel Clean'!A630:R1630,3,FALSE)</f>
        <v>48.1</v>
      </c>
      <c r="D631">
        <f>_xlfn.XLOOKUP(A631,'Subbu- Mini Project EXcel Clean'!A631:A1630,'Subbu- Mini Project EXcel Clean'!D631:D1630,"Entry Level",0)</f>
        <v>64.099999999999994</v>
      </c>
      <c r="E631">
        <f>_xlfn.XLOOKUP(A631,'Subbu- Mini Project EXcel Clean'!A631:A1630,'Subbu- Mini Project EXcel Clean'!F631:F1630,"Entry Level",0)</f>
        <v>68.7</v>
      </c>
      <c r="F631">
        <f>_xlfn.XLOOKUP(A631,'Subbu- Mini Project EXcel Clean'!A631:A1630,'Subbu- Mini Project EXcel Clean'!G631:G1630," ",0)</f>
        <v>61.3</v>
      </c>
      <c r="G631" t="str">
        <f>_xlfn.XLOOKUP(A631,'Subbu- Mini Project EXcel Clean'!A631:A1630,'Subbu- Mini Project EXcel Clean'!H631:H1630," ",0)</f>
        <v>Pass</v>
      </c>
      <c r="H631" t="str">
        <f>VLOOKUP(A631,'Subbu- Mini Project EXcel Clean'!A630:R1630,18,)</f>
        <v>High School</v>
      </c>
    </row>
    <row r="632" spans="1:8" x14ac:dyDescent="0.25">
      <c r="A632" t="s">
        <v>660</v>
      </c>
      <c r="B632">
        <f>VLOOKUP(A632,'Subbu- Mini Project EXcel Clean'!A631:R1631,2,FALSE)</f>
        <v>85.9</v>
      </c>
      <c r="C632">
        <f>VLOOKUP(A632,'Subbu- Mini Project EXcel Clean'!A631:R1631,3,FALSE)</f>
        <v>83.3</v>
      </c>
      <c r="D632">
        <f>_xlfn.XLOOKUP(A632,'Subbu- Mini Project EXcel Clean'!A632:A1631,'Subbu- Mini Project EXcel Clean'!D632:D1631,"Entry Level",0)</f>
        <v>75.900000000000006</v>
      </c>
      <c r="E632">
        <f>_xlfn.XLOOKUP(A632,'Subbu- Mini Project EXcel Clean'!A632:A1631,'Subbu- Mini Project EXcel Clean'!F632:F1631,"Entry Level",0)</f>
        <v>74.400000000000006</v>
      </c>
      <c r="F632">
        <f>_xlfn.XLOOKUP(A632,'Subbu- Mini Project EXcel Clean'!A632:A1631,'Subbu- Mini Project EXcel Clean'!G632:G1631," ",0)</f>
        <v>76.8</v>
      </c>
      <c r="G632" t="str">
        <f>_xlfn.XLOOKUP(A632,'Subbu- Mini Project EXcel Clean'!A632:A1631,'Subbu- Mini Project EXcel Clean'!H632:H1631," ",0)</f>
        <v>Pass</v>
      </c>
      <c r="H632" t="str">
        <f>VLOOKUP(A632,'Subbu- Mini Project EXcel Clean'!A631:R1631,18,)</f>
        <v>High School</v>
      </c>
    </row>
    <row r="633" spans="1:8" x14ac:dyDescent="0.25">
      <c r="A633" t="s">
        <v>661</v>
      </c>
      <c r="B633">
        <f>VLOOKUP(A633,'Subbu- Mini Project EXcel Clean'!A632:R1632,2,FALSE)</f>
        <v>92</v>
      </c>
      <c r="C633">
        <f>VLOOKUP(A633,'Subbu- Mini Project EXcel Clean'!A632:R1632,3,FALSE)</f>
        <v>96.9</v>
      </c>
      <c r="D633">
        <f>_xlfn.XLOOKUP(A633,'Subbu- Mini Project EXcel Clean'!A633:A1632,'Subbu- Mini Project EXcel Clean'!D633:D1632,"Entry Level",0)</f>
        <v>87.2</v>
      </c>
      <c r="E633">
        <f>_xlfn.XLOOKUP(A633,'Subbu- Mini Project EXcel Clean'!A633:A1632,'Subbu- Mini Project EXcel Clean'!F633:F1632,"Entry Level",0)</f>
        <v>81.900000000000006</v>
      </c>
      <c r="F633">
        <f>_xlfn.XLOOKUP(A633,'Subbu- Mini Project EXcel Clean'!A633:A1632,'Subbu- Mini Project EXcel Clean'!G633:G1632," ",0)</f>
        <v>85.55</v>
      </c>
      <c r="G633" t="str">
        <f>_xlfn.XLOOKUP(A633,'Subbu- Mini Project EXcel Clean'!A633:A1632,'Subbu- Mini Project EXcel Clean'!H633:H1632," ",0)</f>
        <v>Pass</v>
      </c>
      <c r="H633" t="str">
        <f>VLOOKUP(A633,'Subbu- Mini Project EXcel Clean'!A632:R1632,18,)</f>
        <v>Bachelor</v>
      </c>
    </row>
    <row r="634" spans="1:8" x14ac:dyDescent="0.25">
      <c r="A634" t="s">
        <v>662</v>
      </c>
      <c r="B634">
        <f>VLOOKUP(A634,'Subbu- Mini Project EXcel Clean'!A633:R1633,2,FALSE)</f>
        <v>70.400000000000006</v>
      </c>
      <c r="C634">
        <f>VLOOKUP(A634,'Subbu- Mini Project EXcel Clean'!A633:R1633,3,FALSE)</f>
        <v>62.5</v>
      </c>
      <c r="D634">
        <f>_xlfn.XLOOKUP(A634,'Subbu- Mini Project EXcel Clean'!A634:A1633,'Subbu- Mini Project EXcel Clean'!D634:D1633,"Entry Level",0)</f>
        <v>78.099999999999994</v>
      </c>
      <c r="E634">
        <f>_xlfn.XLOOKUP(A634,'Subbu- Mini Project EXcel Clean'!A634:A1633,'Subbu- Mini Project EXcel Clean'!F634:F1633,"Entry Level",0)</f>
        <v>79.5</v>
      </c>
      <c r="F634">
        <f>_xlfn.XLOOKUP(A634,'Subbu- Mini Project EXcel Clean'!A634:A1633,'Subbu- Mini Project EXcel Clean'!G634:G1633," ",0)</f>
        <v>73.8</v>
      </c>
      <c r="G634" t="str">
        <f>_xlfn.XLOOKUP(A634,'Subbu- Mini Project EXcel Clean'!A634:A1633,'Subbu- Mini Project EXcel Clean'!H634:H1633," ",0)</f>
        <v>Pass</v>
      </c>
      <c r="H634" t="str">
        <f>VLOOKUP(A634,'Subbu- Mini Project EXcel Clean'!A633:R1633,18,)</f>
        <v>Bachelor</v>
      </c>
    </row>
    <row r="635" spans="1:8" x14ac:dyDescent="0.25">
      <c r="A635" t="s">
        <v>663</v>
      </c>
      <c r="B635">
        <f>VLOOKUP(A635,'Subbu- Mini Project EXcel Clean'!A634:R1634,2,FALSE)</f>
        <v>80.099999999999994</v>
      </c>
      <c r="C635">
        <f>VLOOKUP(A635,'Subbu- Mini Project EXcel Clean'!A634:R1634,3,FALSE)</f>
        <v>64.7</v>
      </c>
      <c r="D635">
        <f>_xlfn.XLOOKUP(A635,'Subbu- Mini Project EXcel Clean'!A635:A1634,'Subbu- Mini Project EXcel Clean'!D635:D1634,"Entry Level",0)</f>
        <v>65.099999999999994</v>
      </c>
      <c r="E635">
        <f>_xlfn.XLOOKUP(A635,'Subbu- Mini Project EXcel Clean'!A635:A1634,'Subbu- Mini Project EXcel Clean'!F635:F1634,"Entry Level",0)</f>
        <v>63.9</v>
      </c>
      <c r="F635">
        <f>_xlfn.XLOOKUP(A635,'Subbu- Mini Project EXcel Clean'!A635:A1634,'Subbu- Mini Project EXcel Clean'!G635:G1634," ",0)</f>
        <v>66.599999999999994</v>
      </c>
      <c r="G635" t="str">
        <f>_xlfn.XLOOKUP(A635,'Subbu- Mini Project EXcel Clean'!A635:A1634,'Subbu- Mini Project EXcel Clean'!H635:H1634," ",0)</f>
        <v>Pass</v>
      </c>
      <c r="H635" t="str">
        <f>VLOOKUP(A635,'Subbu- Mini Project EXcel Clean'!A634:R1634,18,)</f>
        <v>Master</v>
      </c>
    </row>
    <row r="636" spans="1:8" x14ac:dyDescent="0.25">
      <c r="A636" t="s">
        <v>664</v>
      </c>
      <c r="B636">
        <f>VLOOKUP(A636,'Subbu- Mini Project EXcel Clean'!A635:R1635,2,FALSE)</f>
        <v>42.7</v>
      </c>
      <c r="C636">
        <f>VLOOKUP(A636,'Subbu- Mini Project EXcel Clean'!A635:R1635,3,FALSE)</f>
        <v>51</v>
      </c>
      <c r="D636">
        <f>_xlfn.XLOOKUP(A636,'Subbu- Mini Project EXcel Clean'!A636:A1635,'Subbu- Mini Project EXcel Clean'!D636:D1635,"Entry Level",0)</f>
        <v>43.1</v>
      </c>
      <c r="E636">
        <f>_xlfn.XLOOKUP(A636,'Subbu- Mini Project EXcel Clean'!A636:A1635,'Subbu- Mini Project EXcel Clean'!F636:F1635,"Entry Level",0)</f>
        <v>39.1</v>
      </c>
      <c r="F636">
        <f>_xlfn.XLOOKUP(A636,'Subbu- Mini Project EXcel Clean'!A636:A1635,'Subbu- Mini Project EXcel Clean'!G636:G1635," ",0)</f>
        <v>42.5</v>
      </c>
      <c r="G636" t="str">
        <f>_xlfn.XLOOKUP(A636,'Subbu- Mini Project EXcel Clean'!A636:A1635,'Subbu- Mini Project EXcel Clean'!H636:H1635," ",0)</f>
        <v>Fail</v>
      </c>
      <c r="H636" t="str">
        <f>VLOOKUP(A636,'Subbu- Mini Project EXcel Clean'!A635:R1635,18,)</f>
        <v>Bachelor</v>
      </c>
    </row>
    <row r="637" spans="1:8" x14ac:dyDescent="0.25">
      <c r="A637" t="s">
        <v>665</v>
      </c>
      <c r="B637">
        <f>VLOOKUP(A637,'Subbu- Mini Project EXcel Clean'!A636:R1636,2,FALSE)</f>
        <v>69.2</v>
      </c>
      <c r="C637">
        <f>VLOOKUP(A637,'Subbu- Mini Project EXcel Clean'!A636:R1636,3,FALSE)</f>
        <v>66</v>
      </c>
      <c r="D637">
        <f>_xlfn.XLOOKUP(A637,'Subbu- Mini Project EXcel Clean'!A637:A1636,'Subbu- Mini Project EXcel Clean'!D637:D1636,"Entry Level",0)</f>
        <v>63.9</v>
      </c>
      <c r="E637">
        <f>_xlfn.XLOOKUP(A637,'Subbu- Mini Project EXcel Clean'!A637:A1636,'Subbu- Mini Project EXcel Clean'!F637:F1636,"Entry Level",0)</f>
        <v>82.7</v>
      </c>
      <c r="F637">
        <f>_xlfn.XLOOKUP(A637,'Subbu- Mini Project EXcel Clean'!A637:A1636,'Subbu- Mini Project EXcel Clean'!G637:G1636," ",0)</f>
        <v>73.650000000000006</v>
      </c>
      <c r="G637" t="str">
        <f>_xlfn.XLOOKUP(A637,'Subbu- Mini Project EXcel Clean'!A637:A1636,'Subbu- Mini Project EXcel Clean'!H637:H1636," ",0)</f>
        <v>Pass</v>
      </c>
      <c r="H637" t="str">
        <f>VLOOKUP(A637,'Subbu- Mini Project EXcel Clean'!A636:R1636,18,)</f>
        <v>Master</v>
      </c>
    </row>
    <row r="638" spans="1:8" x14ac:dyDescent="0.25">
      <c r="A638" t="s">
        <v>666</v>
      </c>
      <c r="B638">
        <f>VLOOKUP(A638,'Subbu- Mini Project EXcel Clean'!A637:R1637,2,FALSE)</f>
        <v>69.599999999999994</v>
      </c>
      <c r="C638">
        <f>VLOOKUP(A638,'Subbu- Mini Project EXcel Clean'!A637:R1637,3,FALSE)</f>
        <v>72.099999999999994</v>
      </c>
      <c r="D638">
        <f>_xlfn.XLOOKUP(A638,'Subbu- Mini Project EXcel Clean'!A638:A1637,'Subbu- Mini Project EXcel Clean'!D638:D1637,"Entry Level",0)</f>
        <v>73.5</v>
      </c>
      <c r="E638">
        <f>_xlfn.XLOOKUP(A638,'Subbu- Mini Project EXcel Clean'!A638:A1637,'Subbu- Mini Project EXcel Clean'!F638:F1637,"Entry Level",0)</f>
        <v>87.4</v>
      </c>
      <c r="F638">
        <f>_xlfn.XLOOKUP(A638,'Subbu- Mini Project EXcel Clean'!A638:A1637,'Subbu- Mini Project EXcel Clean'!G638:G1637," ",0)</f>
        <v>78.349999999999994</v>
      </c>
      <c r="G638" t="str">
        <f>_xlfn.XLOOKUP(A638,'Subbu- Mini Project EXcel Clean'!A638:A1637,'Subbu- Mini Project EXcel Clean'!H638:H1637," ",0)</f>
        <v>Pass</v>
      </c>
      <c r="H638" t="str">
        <f>VLOOKUP(A638,'Subbu- Mini Project EXcel Clean'!A637:R1637,18,)</f>
        <v>High School</v>
      </c>
    </row>
    <row r="639" spans="1:8" x14ac:dyDescent="0.25">
      <c r="A639" t="s">
        <v>667</v>
      </c>
      <c r="B639">
        <f>VLOOKUP(A639,'Subbu- Mini Project EXcel Clean'!A638:R1638,2,FALSE)</f>
        <v>54.7</v>
      </c>
      <c r="C639">
        <f>VLOOKUP(A639,'Subbu- Mini Project EXcel Clean'!A638:R1638,3,FALSE)</f>
        <v>55</v>
      </c>
      <c r="D639">
        <f>_xlfn.XLOOKUP(A639,'Subbu- Mini Project EXcel Clean'!A639:A1638,'Subbu- Mini Project EXcel Clean'!D639:D1638,"Entry Level",0)</f>
        <v>54.4</v>
      </c>
      <c r="E639">
        <f>_xlfn.XLOOKUP(A639,'Subbu- Mini Project EXcel Clean'!A639:A1638,'Subbu- Mini Project EXcel Clean'!F639:F1638,"Entry Level",0)</f>
        <v>69.7</v>
      </c>
      <c r="F639">
        <f>_xlfn.XLOOKUP(A639,'Subbu- Mini Project EXcel Clean'!A639:A1638,'Subbu- Mini Project EXcel Clean'!G639:G1638," ",0)</f>
        <v>61.5</v>
      </c>
      <c r="G639" t="str">
        <f>_xlfn.XLOOKUP(A639,'Subbu- Mini Project EXcel Clean'!A639:A1638,'Subbu- Mini Project EXcel Clean'!H639:H1638," ",0)</f>
        <v>Pass</v>
      </c>
      <c r="H639" t="str">
        <f>VLOOKUP(A639,'Subbu- Mini Project EXcel Clean'!A638:R1638,18,)</f>
        <v>High School</v>
      </c>
    </row>
    <row r="640" spans="1:8" x14ac:dyDescent="0.25">
      <c r="A640" t="s">
        <v>668</v>
      </c>
      <c r="B640">
        <f>VLOOKUP(A640,'Subbu- Mini Project EXcel Clean'!A639:R1639,2,FALSE)</f>
        <v>62.5</v>
      </c>
      <c r="C640">
        <f>VLOOKUP(A640,'Subbu- Mini Project EXcel Clean'!A639:R1639,3,FALSE)</f>
        <v>56.8</v>
      </c>
      <c r="D640">
        <f>_xlfn.XLOOKUP(A640,'Subbu- Mini Project EXcel Clean'!A640:A1639,'Subbu- Mini Project EXcel Clean'!D640:D1639,"Entry Level",0)</f>
        <v>48.3</v>
      </c>
      <c r="E640">
        <f>_xlfn.XLOOKUP(A640,'Subbu- Mini Project EXcel Clean'!A640:A1639,'Subbu- Mini Project EXcel Clean'!F640:F1639,"Entry Level",0)</f>
        <v>67.2</v>
      </c>
      <c r="F640">
        <f>_xlfn.XLOOKUP(A640,'Subbu- Mini Project EXcel Clean'!A640:A1639,'Subbu- Mini Project EXcel Clean'!G640:G1639," ",0)</f>
        <v>61</v>
      </c>
      <c r="G640" t="str">
        <f>_xlfn.XLOOKUP(A640,'Subbu- Mini Project EXcel Clean'!A640:A1639,'Subbu- Mini Project EXcel Clean'!H640:H1639," ",0)</f>
        <v>Pass</v>
      </c>
      <c r="H640" t="str">
        <f>VLOOKUP(A640,'Subbu- Mini Project EXcel Clean'!A639:R1639,18,)</f>
        <v>Master</v>
      </c>
    </row>
    <row r="641" spans="1:8" x14ac:dyDescent="0.25">
      <c r="A641" t="s">
        <v>669</v>
      </c>
      <c r="B641">
        <f>VLOOKUP(A641,'Subbu- Mini Project EXcel Clean'!A640:R1640,2,FALSE)</f>
        <v>63.3</v>
      </c>
      <c r="C641">
        <f>VLOOKUP(A641,'Subbu- Mini Project EXcel Clean'!A640:R1640,3,FALSE)</f>
        <v>54.1</v>
      </c>
      <c r="D641">
        <f>_xlfn.XLOOKUP(A641,'Subbu- Mini Project EXcel Clean'!A641:A1640,'Subbu- Mini Project EXcel Clean'!D641:D1640,"Entry Level",0)</f>
        <v>58.1</v>
      </c>
      <c r="E641">
        <f>_xlfn.XLOOKUP(A641,'Subbu- Mini Project EXcel Clean'!A641:A1640,'Subbu- Mini Project EXcel Clean'!F641:F1640,"Entry Level",0)</f>
        <v>67.900000000000006</v>
      </c>
      <c r="F641">
        <f>_xlfn.XLOOKUP(A641,'Subbu- Mini Project EXcel Clean'!A641:A1640,'Subbu- Mini Project EXcel Clean'!G641:G1640," ",0)</f>
        <v>64.349999999999994</v>
      </c>
      <c r="G641" t="str">
        <f>_xlfn.XLOOKUP(A641,'Subbu- Mini Project EXcel Clean'!A641:A1640,'Subbu- Mini Project EXcel Clean'!H641:H1640," ",0)</f>
        <v>Pass</v>
      </c>
      <c r="H641" t="str">
        <f>VLOOKUP(A641,'Subbu- Mini Project EXcel Clean'!A640:R1640,18,)</f>
        <v>High School</v>
      </c>
    </row>
    <row r="642" spans="1:8" x14ac:dyDescent="0.25">
      <c r="A642" t="s">
        <v>670</v>
      </c>
      <c r="B642">
        <f>VLOOKUP(A642,'Subbu- Mini Project EXcel Clean'!A641:R1641,2,FALSE)</f>
        <v>43.8</v>
      </c>
      <c r="C642">
        <f>VLOOKUP(A642,'Subbu- Mini Project EXcel Clean'!A641:R1641,3,FALSE)</f>
        <v>46.3</v>
      </c>
      <c r="D642">
        <f>_xlfn.XLOOKUP(A642,'Subbu- Mini Project EXcel Clean'!A642:A1641,'Subbu- Mini Project EXcel Clean'!D642:D1641,"Entry Level",0)</f>
        <v>38.1</v>
      </c>
      <c r="E642">
        <f>_xlfn.XLOOKUP(A642,'Subbu- Mini Project EXcel Clean'!A642:A1641,'Subbu- Mini Project EXcel Clean'!F642:F1641,"Entry Level",0)</f>
        <v>56.8</v>
      </c>
      <c r="F642">
        <f>_xlfn.XLOOKUP(A642,'Subbu- Mini Project EXcel Clean'!A642:A1641,'Subbu- Mini Project EXcel Clean'!G642:G1641," ",0)</f>
        <v>48.95</v>
      </c>
      <c r="G642" t="str">
        <f>_xlfn.XLOOKUP(A642,'Subbu- Mini Project EXcel Clean'!A642:A1641,'Subbu- Mini Project EXcel Clean'!H642:H1641," ",0)</f>
        <v>Fail</v>
      </c>
      <c r="H642" t="str">
        <f>VLOOKUP(A642,'Subbu- Mini Project EXcel Clean'!A641:R1641,18,)</f>
        <v>Master</v>
      </c>
    </row>
    <row r="643" spans="1:8" x14ac:dyDescent="0.25">
      <c r="A643" t="s">
        <v>671</v>
      </c>
      <c r="B643">
        <f>VLOOKUP(A643,'Subbu- Mini Project EXcel Clean'!A642:R1642,2,FALSE)</f>
        <v>63.1</v>
      </c>
      <c r="C643">
        <f>VLOOKUP(A643,'Subbu- Mini Project EXcel Clean'!A642:R1642,3,FALSE)</f>
        <v>63.6</v>
      </c>
      <c r="D643">
        <f>_xlfn.XLOOKUP(A643,'Subbu- Mini Project EXcel Clean'!A643:A1642,'Subbu- Mini Project EXcel Clean'!D643:D1642,"Entry Level",0)</f>
        <v>57.3</v>
      </c>
      <c r="E643">
        <f>_xlfn.XLOOKUP(A643,'Subbu- Mini Project EXcel Clean'!A643:A1642,'Subbu- Mini Project EXcel Clean'!F643:F1642,"Entry Level",0)</f>
        <v>65.900000000000006</v>
      </c>
      <c r="F643">
        <f>_xlfn.XLOOKUP(A643,'Subbu- Mini Project EXcel Clean'!A643:A1642,'Subbu- Mini Project EXcel Clean'!G643:G1642," ",0)</f>
        <v>61.8</v>
      </c>
      <c r="G643" t="str">
        <f>_xlfn.XLOOKUP(A643,'Subbu- Mini Project EXcel Clean'!A643:A1642,'Subbu- Mini Project EXcel Clean'!H643:H1642," ",0)</f>
        <v>Pass</v>
      </c>
      <c r="H643" t="str">
        <f>VLOOKUP(A643,'Subbu- Mini Project EXcel Clean'!A642:R1642,18,)</f>
        <v>Master</v>
      </c>
    </row>
    <row r="644" spans="1:8" x14ac:dyDescent="0.25">
      <c r="A644" t="s">
        <v>672</v>
      </c>
      <c r="B644">
        <f>VLOOKUP(A644,'Subbu- Mini Project EXcel Clean'!A643:R1643,2,FALSE)</f>
        <v>49.8</v>
      </c>
      <c r="C644">
        <f>VLOOKUP(A644,'Subbu- Mini Project EXcel Clean'!A643:R1643,3,FALSE)</f>
        <v>50.5</v>
      </c>
      <c r="D644">
        <f>_xlfn.XLOOKUP(A644,'Subbu- Mini Project EXcel Clean'!A644:A1643,'Subbu- Mini Project EXcel Clean'!D644:D1643,"Entry Level",0)</f>
        <v>53.8</v>
      </c>
      <c r="E644">
        <f>_xlfn.XLOOKUP(A644,'Subbu- Mini Project EXcel Clean'!A644:A1643,'Subbu- Mini Project EXcel Clean'!F644:F1643,"Entry Level",0)</f>
        <v>60.7</v>
      </c>
      <c r="F644">
        <f>_xlfn.XLOOKUP(A644,'Subbu- Mini Project EXcel Clean'!A644:A1643,'Subbu- Mini Project EXcel Clean'!G644:G1643," ",0)</f>
        <v>56.15</v>
      </c>
      <c r="G644" t="str">
        <f>_xlfn.XLOOKUP(A644,'Subbu- Mini Project EXcel Clean'!A644:A1643,'Subbu- Mini Project EXcel Clean'!H644:H1643," ",0)</f>
        <v>Pass</v>
      </c>
      <c r="H644" t="str">
        <f>VLOOKUP(A644,'Subbu- Mini Project EXcel Clean'!A643:R1643,18,)</f>
        <v>Master</v>
      </c>
    </row>
    <row r="645" spans="1:8" x14ac:dyDescent="0.25">
      <c r="A645" t="s">
        <v>673</v>
      </c>
      <c r="B645">
        <f>VLOOKUP(A645,'Subbu- Mini Project EXcel Clean'!A644:R1644,2,FALSE)</f>
        <v>53.8</v>
      </c>
      <c r="C645">
        <f>VLOOKUP(A645,'Subbu- Mini Project EXcel Clean'!A644:R1644,3,FALSE)</f>
        <v>57.8</v>
      </c>
      <c r="D645">
        <f>_xlfn.XLOOKUP(A645,'Subbu- Mini Project EXcel Clean'!A645:A1644,'Subbu- Mini Project EXcel Clean'!D645:D1644,"Entry Level",0)</f>
        <v>60.1</v>
      </c>
      <c r="E645">
        <f>_xlfn.XLOOKUP(A645,'Subbu- Mini Project EXcel Clean'!A645:A1644,'Subbu- Mini Project EXcel Clean'!F645:F1644,"Entry Level",0)</f>
        <v>57.3</v>
      </c>
      <c r="F645">
        <f>_xlfn.XLOOKUP(A645,'Subbu- Mini Project EXcel Clean'!A645:A1644,'Subbu- Mini Project EXcel Clean'!G645:G1644," ",0)</f>
        <v>57.65</v>
      </c>
      <c r="G645" t="str">
        <f>_xlfn.XLOOKUP(A645,'Subbu- Mini Project EXcel Clean'!A645:A1644,'Subbu- Mini Project EXcel Clean'!H645:H1644," ",0)</f>
        <v>Pass</v>
      </c>
      <c r="H645" t="str">
        <f>VLOOKUP(A645,'Subbu- Mini Project EXcel Clean'!A644:R1644,18,)</f>
        <v>Bachelor</v>
      </c>
    </row>
    <row r="646" spans="1:8" x14ac:dyDescent="0.25">
      <c r="A646" t="s">
        <v>674</v>
      </c>
      <c r="B646">
        <f>VLOOKUP(A646,'Subbu- Mini Project EXcel Clean'!A645:R1645,2,FALSE)</f>
        <v>41.4</v>
      </c>
      <c r="C646">
        <f>VLOOKUP(A646,'Subbu- Mini Project EXcel Clean'!A645:R1645,3,FALSE)</f>
        <v>38.9</v>
      </c>
      <c r="D646">
        <f>_xlfn.XLOOKUP(A646,'Subbu- Mini Project EXcel Clean'!A646:A1645,'Subbu- Mini Project EXcel Clean'!D646:D1645,"Entry Level",0)</f>
        <v>37.700000000000003</v>
      </c>
      <c r="E646">
        <f>_xlfn.XLOOKUP(A646,'Subbu- Mini Project EXcel Clean'!A646:A1645,'Subbu- Mini Project EXcel Clean'!F646:F1645,"Entry Level",0)</f>
        <v>55.9</v>
      </c>
      <c r="F646">
        <f>_xlfn.XLOOKUP(A646,'Subbu- Mini Project EXcel Clean'!A646:A1645,'Subbu- Mini Project EXcel Clean'!G646:G1645," ",0)</f>
        <v>51.25</v>
      </c>
      <c r="G646" t="str">
        <f>_xlfn.XLOOKUP(A646,'Subbu- Mini Project EXcel Clean'!A646:A1645,'Subbu- Mini Project EXcel Clean'!H646:H1645," ",0)</f>
        <v>Pass</v>
      </c>
      <c r="H646" t="str">
        <f>VLOOKUP(A646,'Subbu- Mini Project EXcel Clean'!A645:R1645,18,)</f>
        <v>Master</v>
      </c>
    </row>
    <row r="647" spans="1:8" x14ac:dyDescent="0.25">
      <c r="A647" t="s">
        <v>675</v>
      </c>
      <c r="B647">
        <f>VLOOKUP(A647,'Subbu- Mini Project EXcel Clean'!A646:R1646,2,FALSE)</f>
        <v>79.099999999999994</v>
      </c>
      <c r="C647">
        <f>VLOOKUP(A647,'Subbu- Mini Project EXcel Clean'!A646:R1646,3,FALSE)</f>
        <v>91.6</v>
      </c>
      <c r="D647">
        <f>_xlfn.XLOOKUP(A647,'Subbu- Mini Project EXcel Clean'!A647:A1646,'Subbu- Mini Project EXcel Clean'!D647:D1646,"Entry Level",0)</f>
        <v>94.3</v>
      </c>
      <c r="E647">
        <f>_xlfn.XLOOKUP(A647,'Subbu- Mini Project EXcel Clean'!A647:A1646,'Subbu- Mini Project EXcel Clean'!F647:F1646,"Entry Level",0)</f>
        <v>88.7</v>
      </c>
      <c r="F647">
        <f>_xlfn.XLOOKUP(A647,'Subbu- Mini Project EXcel Clean'!A647:A1646,'Subbu- Mini Project EXcel Clean'!G647:G1646," ",0)</f>
        <v>88.85</v>
      </c>
      <c r="G647" t="str">
        <f>_xlfn.XLOOKUP(A647,'Subbu- Mini Project EXcel Clean'!A647:A1646,'Subbu- Mini Project EXcel Clean'!H647:H1646," ",0)</f>
        <v>Pass</v>
      </c>
      <c r="H647" t="str">
        <f>VLOOKUP(A647,'Subbu- Mini Project EXcel Clean'!A646:R1646,18,)</f>
        <v>Master</v>
      </c>
    </row>
    <row r="648" spans="1:8" x14ac:dyDescent="0.25">
      <c r="A648" t="s">
        <v>676</v>
      </c>
      <c r="B648">
        <f>VLOOKUP(A648,'Subbu- Mini Project EXcel Clean'!A647:R1647,2,FALSE)</f>
        <v>82.9</v>
      </c>
      <c r="C648">
        <f>VLOOKUP(A648,'Subbu- Mini Project EXcel Clean'!A647:R1647,3,FALSE)</f>
        <v>75.5</v>
      </c>
      <c r="D648">
        <f>_xlfn.XLOOKUP(A648,'Subbu- Mini Project EXcel Clean'!A648:A1647,'Subbu- Mini Project EXcel Clean'!D648:D1647,"Entry Level",0)</f>
        <v>73.900000000000006</v>
      </c>
      <c r="E648">
        <f>_xlfn.XLOOKUP(A648,'Subbu- Mini Project EXcel Clean'!A648:A1647,'Subbu- Mini Project EXcel Clean'!F648:F1647,"Entry Level",0)</f>
        <v>84.4</v>
      </c>
      <c r="F648">
        <f>_xlfn.XLOOKUP(A648,'Subbu- Mini Project EXcel Clean'!A648:A1647,'Subbu- Mini Project EXcel Clean'!G648:G1647," ",0)</f>
        <v>78.5</v>
      </c>
      <c r="G648" t="str">
        <f>_xlfn.XLOOKUP(A648,'Subbu- Mini Project EXcel Clean'!A648:A1647,'Subbu- Mini Project EXcel Clean'!H648:H1647," ",0)</f>
        <v>Pass</v>
      </c>
      <c r="H648" t="str">
        <f>VLOOKUP(A648,'Subbu- Mini Project EXcel Clean'!A647:R1647,18,)</f>
        <v>Master</v>
      </c>
    </row>
    <row r="649" spans="1:8" x14ac:dyDescent="0.25">
      <c r="A649" t="s">
        <v>677</v>
      </c>
      <c r="B649">
        <f>VLOOKUP(A649,'Subbu- Mini Project EXcel Clean'!A648:R1648,2,FALSE)</f>
        <v>71.8</v>
      </c>
      <c r="C649">
        <f>VLOOKUP(A649,'Subbu- Mini Project EXcel Clean'!A648:R1648,3,FALSE)</f>
        <v>77</v>
      </c>
      <c r="D649">
        <f>_xlfn.XLOOKUP(A649,'Subbu- Mini Project EXcel Clean'!A649:A1648,'Subbu- Mini Project EXcel Clean'!D649:D1648,"Entry Level",0)</f>
        <v>84.3</v>
      </c>
      <c r="E649">
        <f>_xlfn.XLOOKUP(A649,'Subbu- Mini Project EXcel Clean'!A649:A1648,'Subbu- Mini Project EXcel Clean'!F649:F1648,"Entry Level",0)</f>
        <v>85.8</v>
      </c>
      <c r="F649">
        <f>_xlfn.XLOOKUP(A649,'Subbu- Mini Project EXcel Clean'!A649:A1648,'Subbu- Mini Project EXcel Clean'!G649:G1648," ",0)</f>
        <v>81.599999999999994</v>
      </c>
      <c r="G649" t="str">
        <f>_xlfn.XLOOKUP(A649,'Subbu- Mini Project EXcel Clean'!A649:A1648,'Subbu- Mini Project EXcel Clean'!H649:H1648," ",0)</f>
        <v>Pass</v>
      </c>
      <c r="H649" t="str">
        <f>VLOOKUP(A649,'Subbu- Mini Project EXcel Clean'!A648:R1648,18,)</f>
        <v>Bachelor</v>
      </c>
    </row>
    <row r="650" spans="1:8" x14ac:dyDescent="0.25">
      <c r="A650" t="s">
        <v>678</v>
      </c>
      <c r="B650">
        <f>VLOOKUP(A650,'Subbu- Mini Project EXcel Clean'!A649:R1649,2,FALSE)</f>
        <v>82.3</v>
      </c>
      <c r="C650">
        <f>VLOOKUP(A650,'Subbu- Mini Project EXcel Clean'!A649:R1649,3,FALSE)</f>
        <v>89</v>
      </c>
      <c r="D650">
        <f>_xlfn.XLOOKUP(A650,'Subbu- Mini Project EXcel Clean'!A650:A1649,'Subbu- Mini Project EXcel Clean'!D650:D1649,"Entry Level",0)</f>
        <v>85.6</v>
      </c>
      <c r="E650">
        <f>_xlfn.XLOOKUP(A650,'Subbu- Mini Project EXcel Clean'!A650:A1649,'Subbu- Mini Project EXcel Clean'!F650:F1649,"Entry Level",0)</f>
        <v>93.6</v>
      </c>
      <c r="F650">
        <f>_xlfn.XLOOKUP(A650,'Subbu- Mini Project EXcel Clean'!A650:A1649,'Subbu- Mini Project EXcel Clean'!G650:G1649," ",0)</f>
        <v>88.5</v>
      </c>
      <c r="G650" t="str">
        <f>_xlfn.XLOOKUP(A650,'Subbu- Mini Project EXcel Clean'!A650:A1649,'Subbu- Mini Project EXcel Clean'!H650:H1649," ",0)</f>
        <v>Pass</v>
      </c>
      <c r="H650" t="str">
        <f>VLOOKUP(A650,'Subbu- Mini Project EXcel Clean'!A649:R1649,18,)</f>
        <v>High School</v>
      </c>
    </row>
    <row r="651" spans="1:8" x14ac:dyDescent="0.25">
      <c r="A651" t="s">
        <v>679</v>
      </c>
      <c r="B651">
        <f>VLOOKUP(A651,'Subbu- Mini Project EXcel Clean'!A650:R1650,2,FALSE)</f>
        <v>66</v>
      </c>
      <c r="C651">
        <f>VLOOKUP(A651,'Subbu- Mini Project EXcel Clean'!A650:R1650,3,FALSE)</f>
        <v>65.7</v>
      </c>
      <c r="D651">
        <f>_xlfn.XLOOKUP(A651,'Subbu- Mini Project EXcel Clean'!A651:A1650,'Subbu- Mini Project EXcel Clean'!D651:D1650,"Entry Level",0)</f>
        <v>72.900000000000006</v>
      </c>
      <c r="E651">
        <f>_xlfn.XLOOKUP(A651,'Subbu- Mini Project EXcel Clean'!A651:A1650,'Subbu- Mini Project EXcel Clean'!F651:F1650,"Entry Level",0)</f>
        <v>72.599999999999994</v>
      </c>
      <c r="F651">
        <f>_xlfn.XLOOKUP(A651,'Subbu- Mini Project EXcel Clean'!A651:A1650,'Subbu- Mini Project EXcel Clean'!G651:G1650," ",0)</f>
        <v>70</v>
      </c>
      <c r="G651" t="str">
        <f>_xlfn.XLOOKUP(A651,'Subbu- Mini Project EXcel Clean'!A651:A1650,'Subbu- Mini Project EXcel Clean'!H651:H1650," ",0)</f>
        <v>Pass</v>
      </c>
      <c r="H651" t="str">
        <f>VLOOKUP(A651,'Subbu- Mini Project EXcel Clean'!A650:R1650,18,)</f>
        <v>Bachelor</v>
      </c>
    </row>
    <row r="652" spans="1:8" x14ac:dyDescent="0.25">
      <c r="A652" t="s">
        <v>680</v>
      </c>
      <c r="B652">
        <f>VLOOKUP(A652,'Subbu- Mini Project EXcel Clean'!A651:R1651,2,FALSE)</f>
        <v>46.3</v>
      </c>
      <c r="C652">
        <f>VLOOKUP(A652,'Subbu- Mini Project EXcel Clean'!A651:R1651,3,FALSE)</f>
        <v>47.6</v>
      </c>
      <c r="D652">
        <f>_xlfn.XLOOKUP(A652,'Subbu- Mini Project EXcel Clean'!A652:A1651,'Subbu- Mini Project EXcel Clean'!D652:D1651,"Entry Level",0)</f>
        <v>47.1</v>
      </c>
      <c r="E652">
        <f>_xlfn.XLOOKUP(A652,'Subbu- Mini Project EXcel Clean'!A652:A1651,'Subbu- Mini Project EXcel Clean'!F652:F1651,"Entry Level",0)</f>
        <v>61.8</v>
      </c>
      <c r="F652">
        <f>_xlfn.XLOOKUP(A652,'Subbu- Mini Project EXcel Clean'!A652:A1651,'Subbu- Mini Project EXcel Clean'!G652:G1651," ",0)</f>
        <v>53.3</v>
      </c>
      <c r="G652" t="str">
        <f>_xlfn.XLOOKUP(A652,'Subbu- Mini Project EXcel Clean'!A652:A1651,'Subbu- Mini Project EXcel Clean'!H652:H1651," ",0)</f>
        <v>Pass</v>
      </c>
      <c r="H652" t="str">
        <f>VLOOKUP(A652,'Subbu- Mini Project EXcel Clean'!A651:R1651,18,)</f>
        <v>Master</v>
      </c>
    </row>
    <row r="653" spans="1:8" x14ac:dyDescent="0.25">
      <c r="A653" t="s">
        <v>681</v>
      </c>
      <c r="B653">
        <f>VLOOKUP(A653,'Subbu- Mini Project EXcel Clean'!A652:R1652,2,FALSE)</f>
        <v>73.599999999999994</v>
      </c>
      <c r="C653">
        <f>VLOOKUP(A653,'Subbu- Mini Project EXcel Clean'!A652:R1652,3,FALSE)</f>
        <v>64.400000000000006</v>
      </c>
      <c r="D653">
        <f>_xlfn.XLOOKUP(A653,'Subbu- Mini Project EXcel Clean'!A653:A1652,'Subbu- Mini Project EXcel Clean'!D653:D1652,"Entry Level",0)</f>
        <v>76.3</v>
      </c>
      <c r="E653">
        <f>_xlfn.XLOOKUP(A653,'Subbu- Mini Project EXcel Clean'!A653:A1652,'Subbu- Mini Project EXcel Clean'!F653:F1652,"Entry Level",0)</f>
        <v>71.599999999999994</v>
      </c>
      <c r="F653">
        <f>_xlfn.XLOOKUP(A653,'Subbu- Mini Project EXcel Clean'!A653:A1652,'Subbu- Mini Project EXcel Clean'!G653:G1652," ",0)</f>
        <v>70.55</v>
      </c>
      <c r="G653" t="str">
        <f>_xlfn.XLOOKUP(A653,'Subbu- Mini Project EXcel Clean'!A653:A1652,'Subbu- Mini Project EXcel Clean'!H653:H1652," ",0)</f>
        <v>Pass</v>
      </c>
      <c r="H653" t="str">
        <f>VLOOKUP(A653,'Subbu- Mini Project EXcel Clean'!A652:R1652,18,)</f>
        <v>Bachelor</v>
      </c>
    </row>
    <row r="654" spans="1:8" x14ac:dyDescent="0.25">
      <c r="A654" t="s">
        <v>682</v>
      </c>
      <c r="B654">
        <f>VLOOKUP(A654,'Subbu- Mini Project EXcel Clean'!A653:R1653,2,FALSE)</f>
        <v>76.599999999999994</v>
      </c>
      <c r="C654">
        <f>VLOOKUP(A654,'Subbu- Mini Project EXcel Clean'!A653:R1653,3,FALSE)</f>
        <v>72.2</v>
      </c>
      <c r="D654">
        <f>_xlfn.XLOOKUP(A654,'Subbu- Mini Project EXcel Clean'!A654:A1653,'Subbu- Mini Project EXcel Clean'!D654:D1653,"Entry Level",0)</f>
        <v>74.900000000000006</v>
      </c>
      <c r="E654">
        <f>_xlfn.XLOOKUP(A654,'Subbu- Mini Project EXcel Clean'!A654:A1653,'Subbu- Mini Project EXcel Clean'!F654:F1653,"Entry Level",0)</f>
        <v>61.2</v>
      </c>
      <c r="F654">
        <f>_xlfn.XLOOKUP(A654,'Subbu- Mini Project EXcel Clean'!A654:A1653,'Subbu- Mini Project EXcel Clean'!G654:G1653," ",0)</f>
        <v>66.75</v>
      </c>
      <c r="G654" t="str">
        <f>_xlfn.XLOOKUP(A654,'Subbu- Mini Project EXcel Clean'!A654:A1653,'Subbu- Mini Project EXcel Clean'!H654:H1653," ",0)</f>
        <v>Pass</v>
      </c>
      <c r="H654" t="str">
        <f>VLOOKUP(A654,'Subbu- Mini Project EXcel Clean'!A653:R1653,18,)</f>
        <v>High School</v>
      </c>
    </row>
    <row r="655" spans="1:8" x14ac:dyDescent="0.25">
      <c r="A655" t="s">
        <v>683</v>
      </c>
      <c r="B655">
        <f>VLOOKUP(A655,'Subbu- Mini Project EXcel Clean'!A654:R1654,2,FALSE)</f>
        <v>78.099999999999994</v>
      </c>
      <c r="C655">
        <f>VLOOKUP(A655,'Subbu- Mini Project EXcel Clean'!A654:R1654,3,FALSE)</f>
        <v>80.099999999999994</v>
      </c>
      <c r="D655">
        <f>_xlfn.XLOOKUP(A655,'Subbu- Mini Project EXcel Clean'!A655:A1654,'Subbu- Mini Project EXcel Clean'!D655:D1654,"Entry Level",0)</f>
        <v>80.5</v>
      </c>
      <c r="E655">
        <f>_xlfn.XLOOKUP(A655,'Subbu- Mini Project EXcel Clean'!A655:A1654,'Subbu- Mini Project EXcel Clean'!F655:F1654,"Entry Level",0)</f>
        <v>93</v>
      </c>
      <c r="F655">
        <f>_xlfn.XLOOKUP(A655,'Subbu- Mini Project EXcel Clean'!A655:A1654,'Subbu- Mini Project EXcel Clean'!G655:G1654," ",0)</f>
        <v>87</v>
      </c>
      <c r="G655" t="str">
        <f>_xlfn.XLOOKUP(A655,'Subbu- Mini Project EXcel Clean'!A655:A1654,'Subbu- Mini Project EXcel Clean'!H655:H1654," ",0)</f>
        <v>Pass</v>
      </c>
      <c r="H655" t="str">
        <f>VLOOKUP(A655,'Subbu- Mini Project EXcel Clean'!A654:R1654,18,)</f>
        <v>High School</v>
      </c>
    </row>
    <row r="656" spans="1:8" x14ac:dyDescent="0.25">
      <c r="A656" t="s">
        <v>684</v>
      </c>
      <c r="B656">
        <f>VLOOKUP(A656,'Subbu- Mini Project EXcel Clean'!A655:R1655,2,FALSE)</f>
        <v>62.9</v>
      </c>
      <c r="C656">
        <f>VLOOKUP(A656,'Subbu- Mini Project EXcel Clean'!A655:R1655,3,FALSE)</f>
        <v>64.900000000000006</v>
      </c>
      <c r="D656">
        <f>_xlfn.XLOOKUP(A656,'Subbu- Mini Project EXcel Clean'!A656:A1655,'Subbu- Mini Project EXcel Clean'!D656:D1655,"Entry Level",0)</f>
        <v>75.099999999999994</v>
      </c>
      <c r="E656">
        <f>_xlfn.XLOOKUP(A656,'Subbu- Mini Project EXcel Clean'!A656:A1655,'Subbu- Mini Project EXcel Clean'!F656:F1655,"Entry Level",0)</f>
        <v>65.7</v>
      </c>
      <c r="F656">
        <f>_xlfn.XLOOKUP(A656,'Subbu- Mini Project EXcel Clean'!A656:A1655,'Subbu- Mini Project EXcel Clean'!G656:G1655," ",0)</f>
        <v>64.7</v>
      </c>
      <c r="G656" t="str">
        <f>_xlfn.XLOOKUP(A656,'Subbu- Mini Project EXcel Clean'!A656:A1655,'Subbu- Mini Project EXcel Clean'!H656:H1655," ",0)</f>
        <v>Pass</v>
      </c>
      <c r="H656" t="str">
        <f>VLOOKUP(A656,'Subbu- Mini Project EXcel Clean'!A655:R1655,18,)</f>
        <v>Master</v>
      </c>
    </row>
    <row r="657" spans="1:8" x14ac:dyDescent="0.25">
      <c r="A657" t="s">
        <v>685</v>
      </c>
      <c r="B657">
        <f>VLOOKUP(A657,'Subbu- Mini Project EXcel Clean'!A656:R1656,2,FALSE)</f>
        <v>48.4</v>
      </c>
      <c r="C657">
        <f>VLOOKUP(A657,'Subbu- Mini Project EXcel Clean'!A656:R1656,3,FALSE)</f>
        <v>45.2</v>
      </c>
      <c r="D657">
        <f>_xlfn.XLOOKUP(A657,'Subbu- Mini Project EXcel Clean'!A657:A1656,'Subbu- Mini Project EXcel Clean'!D657:D1656,"Entry Level",0)</f>
        <v>51.5</v>
      </c>
      <c r="E657">
        <f>_xlfn.XLOOKUP(A657,'Subbu- Mini Project EXcel Clean'!A657:A1656,'Subbu- Mini Project EXcel Clean'!F657:F1656,"Entry Level",0)</f>
        <v>46.8</v>
      </c>
      <c r="F657">
        <f>_xlfn.XLOOKUP(A657,'Subbu- Mini Project EXcel Clean'!A657:A1656,'Subbu- Mini Project EXcel Clean'!G657:G1656," ",0)</f>
        <v>46.9</v>
      </c>
      <c r="G657" t="str">
        <f>_xlfn.XLOOKUP(A657,'Subbu- Mini Project EXcel Clean'!A657:A1656,'Subbu- Mini Project EXcel Clean'!H657:H1656," ",0)</f>
        <v>Fail</v>
      </c>
      <c r="H657" t="str">
        <f>VLOOKUP(A657,'Subbu- Mini Project EXcel Clean'!A656:R1656,18,)</f>
        <v>High School</v>
      </c>
    </row>
    <row r="658" spans="1:8" x14ac:dyDescent="0.25">
      <c r="A658" t="s">
        <v>686</v>
      </c>
      <c r="B658">
        <f>VLOOKUP(A658,'Subbu- Mini Project EXcel Clean'!A657:R1657,2,FALSE)</f>
        <v>54.4</v>
      </c>
      <c r="C658">
        <f>VLOOKUP(A658,'Subbu- Mini Project EXcel Clean'!A657:R1657,3,FALSE)</f>
        <v>55</v>
      </c>
      <c r="D658">
        <f>_xlfn.XLOOKUP(A658,'Subbu- Mini Project EXcel Clean'!A658:A1657,'Subbu- Mini Project EXcel Clean'!D658:D1657,"Entry Level",0)</f>
        <v>58.5</v>
      </c>
      <c r="E658">
        <f>_xlfn.XLOOKUP(A658,'Subbu- Mini Project EXcel Clean'!A658:A1657,'Subbu- Mini Project EXcel Clean'!F658:F1657,"Entry Level",0)</f>
        <v>66</v>
      </c>
      <c r="F658">
        <f>_xlfn.XLOOKUP(A658,'Subbu- Mini Project EXcel Clean'!A658:A1657,'Subbu- Mini Project EXcel Clean'!G658:G1657," ",0)</f>
        <v>60.8</v>
      </c>
      <c r="G658" t="str">
        <f>_xlfn.XLOOKUP(A658,'Subbu- Mini Project EXcel Clean'!A658:A1657,'Subbu- Mini Project EXcel Clean'!H658:H1657," ",0)</f>
        <v>Pass</v>
      </c>
      <c r="H658" t="str">
        <f>VLOOKUP(A658,'Subbu- Mini Project EXcel Clean'!A657:R1657,18,)</f>
        <v>Bachelor</v>
      </c>
    </row>
    <row r="659" spans="1:8" x14ac:dyDescent="0.25">
      <c r="A659" t="s">
        <v>687</v>
      </c>
      <c r="B659">
        <f>VLOOKUP(A659,'Subbu- Mini Project EXcel Clean'!A658:R1658,2,FALSE)</f>
        <v>68</v>
      </c>
      <c r="C659">
        <f>VLOOKUP(A659,'Subbu- Mini Project EXcel Clean'!A658:R1658,3,FALSE)</f>
        <v>64.099999999999994</v>
      </c>
      <c r="D659">
        <f>_xlfn.XLOOKUP(A659,'Subbu- Mini Project EXcel Clean'!A659:A1658,'Subbu- Mini Project EXcel Clean'!D659:D1658,"Entry Level",0)</f>
        <v>53.6</v>
      </c>
      <c r="E659">
        <f>_xlfn.XLOOKUP(A659,'Subbu- Mini Project EXcel Clean'!A659:A1658,'Subbu- Mini Project EXcel Clean'!F659:F1658,"Entry Level",0)</f>
        <v>61.7</v>
      </c>
      <c r="F659">
        <f>_xlfn.XLOOKUP(A659,'Subbu- Mini Project EXcel Clean'!A659:A1658,'Subbu- Mini Project EXcel Clean'!G659:G1658," ",0)</f>
        <v>60.85</v>
      </c>
      <c r="G659" t="str">
        <f>_xlfn.XLOOKUP(A659,'Subbu- Mini Project EXcel Clean'!A659:A1658,'Subbu- Mini Project EXcel Clean'!H659:H1658," ",0)</f>
        <v>Pass</v>
      </c>
      <c r="H659" t="str">
        <f>VLOOKUP(A659,'Subbu- Mini Project EXcel Clean'!A658:R1658,18,)</f>
        <v>Bachelor</v>
      </c>
    </row>
    <row r="660" spans="1:8" x14ac:dyDescent="0.25">
      <c r="A660" t="s">
        <v>688</v>
      </c>
      <c r="B660">
        <f>VLOOKUP(A660,'Subbu- Mini Project EXcel Clean'!A659:R1659,2,FALSE)</f>
        <v>78</v>
      </c>
      <c r="C660">
        <f>VLOOKUP(A660,'Subbu- Mini Project EXcel Clean'!A659:R1659,3,FALSE)</f>
        <v>73.3</v>
      </c>
      <c r="D660">
        <f>_xlfn.XLOOKUP(A660,'Subbu- Mini Project EXcel Clean'!A660:A1659,'Subbu- Mini Project EXcel Clean'!D660:D1659,"Entry Level",0)</f>
        <v>69.099999999999994</v>
      </c>
      <c r="E660">
        <f>_xlfn.XLOOKUP(A660,'Subbu- Mini Project EXcel Clean'!A660:A1659,'Subbu- Mini Project EXcel Clean'!F660:F1659,"Entry Level",0)</f>
        <v>83.1</v>
      </c>
      <c r="F660">
        <f>_xlfn.XLOOKUP(A660,'Subbu- Mini Project EXcel Clean'!A660:A1659,'Subbu- Mini Project EXcel Clean'!G660:G1659," ",0)</f>
        <v>79.3</v>
      </c>
      <c r="G660" t="str">
        <f>_xlfn.XLOOKUP(A660,'Subbu- Mini Project EXcel Clean'!A660:A1659,'Subbu- Mini Project EXcel Clean'!H660:H1659," ",0)</f>
        <v>Pass</v>
      </c>
      <c r="H660" t="str">
        <f>VLOOKUP(A660,'Subbu- Mini Project EXcel Clean'!A659:R1659,18,)</f>
        <v>High School</v>
      </c>
    </row>
    <row r="661" spans="1:8" x14ac:dyDescent="0.25">
      <c r="A661" t="s">
        <v>689</v>
      </c>
      <c r="B661">
        <f>VLOOKUP(A661,'Subbu- Mini Project EXcel Clean'!A660:R1660,2,FALSE)</f>
        <v>75.099999999999994</v>
      </c>
      <c r="C661">
        <f>VLOOKUP(A661,'Subbu- Mini Project EXcel Clean'!A660:R1660,3,FALSE)</f>
        <v>63.4</v>
      </c>
      <c r="D661">
        <f>_xlfn.XLOOKUP(A661,'Subbu- Mini Project EXcel Clean'!A661:A1660,'Subbu- Mini Project EXcel Clean'!D661:D1660,"Entry Level",0)</f>
        <v>72.900000000000006</v>
      </c>
      <c r="E661">
        <f>_xlfn.XLOOKUP(A661,'Subbu- Mini Project EXcel Clean'!A661:A1660,'Subbu- Mini Project EXcel Clean'!F661:F1660,"Entry Level",0)</f>
        <v>71.2</v>
      </c>
      <c r="F661">
        <f>_xlfn.XLOOKUP(A661,'Subbu- Mini Project EXcel Clean'!A661:A1660,'Subbu- Mini Project EXcel Clean'!G661:G1660," ",0)</f>
        <v>71.3</v>
      </c>
      <c r="G661" t="str">
        <f>_xlfn.XLOOKUP(A661,'Subbu- Mini Project EXcel Clean'!A661:A1660,'Subbu- Mini Project EXcel Clean'!H661:H1660," ",0)</f>
        <v>Pass</v>
      </c>
      <c r="H661" t="str">
        <f>VLOOKUP(A661,'Subbu- Mini Project EXcel Clean'!A660:R1660,18,)</f>
        <v>Master</v>
      </c>
    </row>
    <row r="662" spans="1:8" x14ac:dyDescent="0.25">
      <c r="A662" t="s">
        <v>690</v>
      </c>
      <c r="B662">
        <f>VLOOKUP(A662,'Subbu- Mini Project EXcel Clean'!A661:R1661,2,FALSE)</f>
        <v>62.9</v>
      </c>
      <c r="C662">
        <f>VLOOKUP(A662,'Subbu- Mini Project EXcel Clean'!A661:R1661,3,FALSE)</f>
        <v>68.3</v>
      </c>
      <c r="D662">
        <f>_xlfn.XLOOKUP(A662,'Subbu- Mini Project EXcel Clean'!A662:A1661,'Subbu- Mini Project EXcel Clean'!D662:D1661,"Entry Level",0)</f>
        <v>60.3</v>
      </c>
      <c r="E662">
        <f>_xlfn.XLOOKUP(A662,'Subbu- Mini Project EXcel Clean'!A662:A1661,'Subbu- Mini Project EXcel Clean'!F662:F1661,"Entry Level",0)</f>
        <v>61.8</v>
      </c>
      <c r="F662">
        <f>_xlfn.XLOOKUP(A662,'Subbu- Mini Project EXcel Clean'!A662:A1661,'Subbu- Mini Project EXcel Clean'!G662:G1661," ",0)</f>
        <v>60.7</v>
      </c>
      <c r="G662" t="str">
        <f>_xlfn.XLOOKUP(A662,'Subbu- Mini Project EXcel Clean'!A662:A1661,'Subbu- Mini Project EXcel Clean'!H662:H1661," ",0)</f>
        <v>Pass</v>
      </c>
      <c r="H662" t="str">
        <f>VLOOKUP(A662,'Subbu- Mini Project EXcel Clean'!A661:R1661,18,)</f>
        <v>Master</v>
      </c>
    </row>
    <row r="663" spans="1:8" x14ac:dyDescent="0.25">
      <c r="A663" t="s">
        <v>691</v>
      </c>
      <c r="B663">
        <f>VLOOKUP(A663,'Subbu- Mini Project EXcel Clean'!A662:R1662,2,FALSE)</f>
        <v>100.1</v>
      </c>
      <c r="C663">
        <f>VLOOKUP(A663,'Subbu- Mini Project EXcel Clean'!A662:R1662,3,FALSE)</f>
        <v>101.2</v>
      </c>
      <c r="D663">
        <f>_xlfn.XLOOKUP(A663,'Subbu- Mini Project EXcel Clean'!A663:A1662,'Subbu- Mini Project EXcel Clean'!D663:D1662,"Entry Level",0)</f>
        <v>91.2</v>
      </c>
      <c r="E663">
        <f>_xlfn.XLOOKUP(A663,'Subbu- Mini Project EXcel Clean'!A663:A1662,'Subbu- Mini Project EXcel Clean'!F663:F1662,"Entry Level",0)</f>
        <v>86</v>
      </c>
      <c r="F663">
        <f>_xlfn.XLOOKUP(A663,'Subbu- Mini Project EXcel Clean'!A663:A1662,'Subbu- Mini Project EXcel Clean'!G663:G1662," ",0)</f>
        <v>90.15</v>
      </c>
      <c r="G663" t="str">
        <f>_xlfn.XLOOKUP(A663,'Subbu- Mini Project EXcel Clean'!A663:A1662,'Subbu- Mini Project EXcel Clean'!H663:H1662," ",0)</f>
        <v>Pass</v>
      </c>
      <c r="H663" t="str">
        <f>VLOOKUP(A663,'Subbu- Mini Project EXcel Clean'!A662:R1662,18,)</f>
        <v>Bachelor</v>
      </c>
    </row>
    <row r="664" spans="1:8" x14ac:dyDescent="0.25">
      <c r="A664" t="s">
        <v>692</v>
      </c>
      <c r="B664">
        <f>VLOOKUP(A664,'Subbu- Mini Project EXcel Clean'!A663:R1663,2,FALSE)</f>
        <v>74.2</v>
      </c>
      <c r="C664">
        <f>VLOOKUP(A664,'Subbu- Mini Project EXcel Clean'!A663:R1663,3,FALSE)</f>
        <v>66.900000000000006</v>
      </c>
      <c r="D664">
        <f>_xlfn.XLOOKUP(A664,'Subbu- Mini Project EXcel Clean'!A664:A1663,'Subbu- Mini Project EXcel Clean'!D664:D1663,"Entry Level",0)</f>
        <v>74</v>
      </c>
      <c r="E664">
        <f>_xlfn.XLOOKUP(A664,'Subbu- Mini Project EXcel Clean'!A664:A1663,'Subbu- Mini Project EXcel Clean'!F664:F1663,"Entry Level",0)</f>
        <v>76.3</v>
      </c>
      <c r="F664">
        <f>_xlfn.XLOOKUP(A664,'Subbu- Mini Project EXcel Clean'!A664:A1663,'Subbu- Mini Project EXcel Clean'!G664:G1663," ",0)</f>
        <v>74.8</v>
      </c>
      <c r="G664" t="str">
        <f>_xlfn.XLOOKUP(A664,'Subbu- Mini Project EXcel Clean'!A664:A1663,'Subbu- Mini Project EXcel Clean'!H664:H1663," ",0)</f>
        <v>Pass</v>
      </c>
      <c r="H664" t="str">
        <f>VLOOKUP(A664,'Subbu- Mini Project EXcel Clean'!A663:R1663,18,)</f>
        <v>High School</v>
      </c>
    </row>
    <row r="665" spans="1:8" x14ac:dyDescent="0.25">
      <c r="A665" t="s">
        <v>693</v>
      </c>
      <c r="B665">
        <f>VLOOKUP(A665,'Subbu- Mini Project EXcel Clean'!A664:R1664,2,FALSE)</f>
        <v>46.6</v>
      </c>
      <c r="C665">
        <f>VLOOKUP(A665,'Subbu- Mini Project EXcel Clean'!A664:R1664,3,FALSE)</f>
        <v>56.5</v>
      </c>
      <c r="D665">
        <f>_xlfn.XLOOKUP(A665,'Subbu- Mini Project EXcel Clean'!A665:A1664,'Subbu- Mini Project EXcel Clean'!D665:D1664,"Entry Level",0)</f>
        <v>61</v>
      </c>
      <c r="E665">
        <f>_xlfn.XLOOKUP(A665,'Subbu- Mini Project EXcel Clean'!A665:A1664,'Subbu- Mini Project EXcel Clean'!F665:F1664,"Entry Level",0)</f>
        <v>61.5</v>
      </c>
      <c r="F665">
        <f>_xlfn.XLOOKUP(A665,'Subbu- Mini Project EXcel Clean'!A665:A1664,'Subbu- Mini Project EXcel Clean'!G665:G1664," ",0)</f>
        <v>57.25</v>
      </c>
      <c r="G665" t="str">
        <f>_xlfn.XLOOKUP(A665,'Subbu- Mini Project EXcel Clean'!A665:A1664,'Subbu- Mini Project EXcel Clean'!H665:H1664," ",0)</f>
        <v>Pass</v>
      </c>
      <c r="H665" t="str">
        <f>VLOOKUP(A665,'Subbu- Mini Project EXcel Clean'!A664:R1664,18,)</f>
        <v>Bachelor</v>
      </c>
    </row>
    <row r="666" spans="1:8" x14ac:dyDescent="0.25">
      <c r="A666" t="s">
        <v>694</v>
      </c>
      <c r="B666">
        <f>VLOOKUP(A666,'Subbu- Mini Project EXcel Clean'!A665:R1665,2,FALSE)</f>
        <v>47.6</v>
      </c>
      <c r="C666">
        <f>VLOOKUP(A666,'Subbu- Mini Project EXcel Clean'!A665:R1665,3,FALSE)</f>
        <v>43.1</v>
      </c>
      <c r="D666">
        <f>_xlfn.XLOOKUP(A666,'Subbu- Mini Project EXcel Clean'!A666:A1665,'Subbu- Mini Project EXcel Clean'!D666:D1665,"Entry Level",0)</f>
        <v>49.1</v>
      </c>
      <c r="E666">
        <f>_xlfn.XLOOKUP(A666,'Subbu- Mini Project EXcel Clean'!A666:A1665,'Subbu- Mini Project EXcel Clean'!F666:F1665,"Entry Level",0)</f>
        <v>57.8</v>
      </c>
      <c r="F666">
        <f>_xlfn.XLOOKUP(A666,'Subbu- Mini Project EXcel Clean'!A666:A1665,'Subbu- Mini Project EXcel Clean'!G666:G1665," ",0)</f>
        <v>51.7</v>
      </c>
      <c r="G666" t="str">
        <f>_xlfn.XLOOKUP(A666,'Subbu- Mini Project EXcel Clean'!A666:A1665,'Subbu- Mini Project EXcel Clean'!H666:H1665," ",0)</f>
        <v>Pass</v>
      </c>
      <c r="H666" t="str">
        <f>VLOOKUP(A666,'Subbu- Mini Project EXcel Clean'!A665:R1665,18,)</f>
        <v>Bachelor</v>
      </c>
    </row>
    <row r="667" spans="1:8" x14ac:dyDescent="0.25">
      <c r="A667" t="s">
        <v>695</v>
      </c>
      <c r="B667">
        <f>VLOOKUP(A667,'Subbu- Mini Project EXcel Clean'!A666:R1666,2,FALSE)</f>
        <v>45.2</v>
      </c>
      <c r="C667">
        <f>VLOOKUP(A667,'Subbu- Mini Project EXcel Clean'!A666:R1666,3,FALSE)</f>
        <v>49.7</v>
      </c>
      <c r="D667">
        <f>_xlfn.XLOOKUP(A667,'Subbu- Mini Project EXcel Clean'!A667:A1666,'Subbu- Mini Project EXcel Clean'!D667:D1666,"Entry Level",0)</f>
        <v>42.7</v>
      </c>
      <c r="E667">
        <f>_xlfn.XLOOKUP(A667,'Subbu- Mini Project EXcel Clean'!A667:A1666,'Subbu- Mini Project EXcel Clean'!F667:F1666,"Entry Level",0)</f>
        <v>49.5</v>
      </c>
      <c r="F667">
        <f>_xlfn.XLOOKUP(A667,'Subbu- Mini Project EXcel Clean'!A667:A1666,'Subbu- Mini Project EXcel Clean'!G667:G1666," ",0)</f>
        <v>48.95</v>
      </c>
      <c r="G667" t="str">
        <f>_xlfn.XLOOKUP(A667,'Subbu- Mini Project EXcel Clean'!A667:A1666,'Subbu- Mini Project EXcel Clean'!H667:H1666," ",0)</f>
        <v>Fail</v>
      </c>
      <c r="H667" t="str">
        <f>VLOOKUP(A667,'Subbu- Mini Project EXcel Clean'!A666:R1666,18,)</f>
        <v>Bachelor</v>
      </c>
    </row>
    <row r="668" spans="1:8" x14ac:dyDescent="0.25">
      <c r="A668" t="s">
        <v>696</v>
      </c>
      <c r="B668">
        <f>VLOOKUP(A668,'Subbu- Mini Project EXcel Clean'!A667:R1667,2,FALSE)</f>
        <v>50.9</v>
      </c>
      <c r="C668">
        <f>VLOOKUP(A668,'Subbu- Mini Project EXcel Clean'!A667:R1667,3,FALSE)</f>
        <v>55</v>
      </c>
      <c r="D668">
        <f>_xlfn.XLOOKUP(A668,'Subbu- Mini Project EXcel Clean'!A668:A1667,'Subbu- Mini Project EXcel Clean'!D668:D1667,"Entry Level",0)</f>
        <v>53</v>
      </c>
      <c r="E668">
        <f>_xlfn.XLOOKUP(A668,'Subbu- Mini Project EXcel Clean'!A668:A1667,'Subbu- Mini Project EXcel Clean'!F668:F1667,"Entry Level",0)</f>
        <v>58.7</v>
      </c>
      <c r="F668">
        <f>_xlfn.XLOOKUP(A668,'Subbu- Mini Project EXcel Clean'!A668:A1667,'Subbu- Mini Project EXcel Clean'!G668:G1667," ",0)</f>
        <v>56.1</v>
      </c>
      <c r="G668" t="str">
        <f>_xlfn.XLOOKUP(A668,'Subbu- Mini Project EXcel Clean'!A668:A1667,'Subbu- Mini Project EXcel Clean'!H668:H1667," ",0)</f>
        <v>Pass</v>
      </c>
      <c r="H668" t="str">
        <f>VLOOKUP(A668,'Subbu- Mini Project EXcel Clean'!A667:R1667,18,)</f>
        <v>Master</v>
      </c>
    </row>
    <row r="669" spans="1:8" x14ac:dyDescent="0.25">
      <c r="A669" t="s">
        <v>697</v>
      </c>
      <c r="B669">
        <f>VLOOKUP(A669,'Subbu- Mini Project EXcel Clean'!A668:R1668,2,FALSE)</f>
        <v>51.8</v>
      </c>
      <c r="C669">
        <f>VLOOKUP(A669,'Subbu- Mini Project EXcel Clean'!A668:R1668,3,FALSE)</f>
        <v>47.7</v>
      </c>
      <c r="D669">
        <f>_xlfn.XLOOKUP(A669,'Subbu- Mini Project EXcel Clean'!A669:A1668,'Subbu- Mini Project EXcel Clean'!D669:D1668,"Entry Level",0)</f>
        <v>44.8</v>
      </c>
      <c r="E669">
        <f>_xlfn.XLOOKUP(A669,'Subbu- Mini Project EXcel Clean'!A669:A1668,'Subbu- Mini Project EXcel Clean'!F669:F1668,"Entry Level",0)</f>
        <v>57.3</v>
      </c>
      <c r="F669">
        <f>_xlfn.XLOOKUP(A669,'Subbu- Mini Project EXcel Clean'!A669:A1668,'Subbu- Mini Project EXcel Clean'!G669:G1668," ",0)</f>
        <v>53.05</v>
      </c>
      <c r="G669" t="str">
        <f>_xlfn.XLOOKUP(A669,'Subbu- Mini Project EXcel Clean'!A669:A1668,'Subbu- Mini Project EXcel Clean'!H669:H1668," ",0)</f>
        <v>Pass</v>
      </c>
      <c r="H669" t="str">
        <f>VLOOKUP(A669,'Subbu- Mini Project EXcel Clean'!A668:R1668,18,)</f>
        <v>High School</v>
      </c>
    </row>
    <row r="670" spans="1:8" x14ac:dyDescent="0.25">
      <c r="A670" t="s">
        <v>698</v>
      </c>
      <c r="B670">
        <f>VLOOKUP(A670,'Subbu- Mini Project EXcel Clean'!A669:R1669,2,FALSE)</f>
        <v>56.5</v>
      </c>
      <c r="C670">
        <f>VLOOKUP(A670,'Subbu- Mini Project EXcel Clean'!A669:R1669,3,FALSE)</f>
        <v>46.3</v>
      </c>
      <c r="D670">
        <f>_xlfn.XLOOKUP(A670,'Subbu- Mini Project EXcel Clean'!A670:A1669,'Subbu- Mini Project EXcel Clean'!D670:D1669,"Entry Level",0)</f>
        <v>48.3</v>
      </c>
      <c r="E670">
        <f>_xlfn.XLOOKUP(A670,'Subbu- Mini Project EXcel Clean'!A670:A1669,'Subbu- Mini Project EXcel Clean'!F670:F1669,"Entry Level",0)</f>
        <v>57.7</v>
      </c>
      <c r="F670">
        <f>_xlfn.XLOOKUP(A670,'Subbu- Mini Project EXcel Clean'!A670:A1669,'Subbu- Mini Project EXcel Clean'!G670:G1669," ",0)</f>
        <v>54</v>
      </c>
      <c r="G670" t="str">
        <f>_xlfn.XLOOKUP(A670,'Subbu- Mini Project EXcel Clean'!A670:A1669,'Subbu- Mini Project EXcel Clean'!H670:H1669," ",0)</f>
        <v>Pass</v>
      </c>
      <c r="H670" t="str">
        <f>VLOOKUP(A670,'Subbu- Mini Project EXcel Clean'!A669:R1669,18,)</f>
        <v>High School</v>
      </c>
    </row>
    <row r="671" spans="1:8" x14ac:dyDescent="0.25">
      <c r="A671" t="s">
        <v>699</v>
      </c>
      <c r="B671">
        <f>VLOOKUP(A671,'Subbu- Mini Project EXcel Clean'!A670:R1670,2,FALSE)</f>
        <v>55.8</v>
      </c>
      <c r="C671">
        <f>VLOOKUP(A671,'Subbu- Mini Project EXcel Clean'!A670:R1670,3,FALSE)</f>
        <v>52.2</v>
      </c>
      <c r="D671">
        <f>_xlfn.XLOOKUP(A671,'Subbu- Mini Project EXcel Clean'!A671:A1670,'Subbu- Mini Project EXcel Clean'!D671:D1670,"Entry Level",0)</f>
        <v>53.6</v>
      </c>
      <c r="E671">
        <f>_xlfn.XLOOKUP(A671,'Subbu- Mini Project EXcel Clean'!A671:A1670,'Subbu- Mini Project EXcel Clean'!F671:F1670,"Entry Level",0)</f>
        <v>63.2</v>
      </c>
      <c r="F671">
        <f>_xlfn.XLOOKUP(A671,'Subbu- Mini Project EXcel Clean'!A671:A1670,'Subbu- Mini Project EXcel Clean'!G671:G1670," ",0)</f>
        <v>59.45</v>
      </c>
      <c r="G671" t="str">
        <f>_xlfn.XLOOKUP(A671,'Subbu- Mini Project EXcel Clean'!A671:A1670,'Subbu- Mini Project EXcel Clean'!H671:H1670," ",0)</f>
        <v>Pass</v>
      </c>
      <c r="H671" t="str">
        <f>VLOOKUP(A671,'Subbu- Mini Project EXcel Clean'!A670:R1670,18,)</f>
        <v>Master</v>
      </c>
    </row>
    <row r="672" spans="1:8" x14ac:dyDescent="0.25">
      <c r="A672" t="s">
        <v>700</v>
      </c>
      <c r="B672">
        <f>VLOOKUP(A672,'Subbu- Mini Project EXcel Clean'!A671:R1671,2,FALSE)</f>
        <v>51.1</v>
      </c>
      <c r="C672">
        <f>VLOOKUP(A672,'Subbu- Mini Project EXcel Clean'!A671:R1671,3,FALSE)</f>
        <v>45</v>
      </c>
      <c r="D672">
        <f>_xlfn.XLOOKUP(A672,'Subbu- Mini Project EXcel Clean'!A672:A1671,'Subbu- Mini Project EXcel Clean'!D672:D1671,"Entry Level",0)</f>
        <v>47.1</v>
      </c>
      <c r="E672">
        <f>_xlfn.XLOOKUP(A672,'Subbu- Mini Project EXcel Clean'!A672:A1671,'Subbu- Mini Project EXcel Clean'!F672:F1671,"Entry Level",0)</f>
        <v>57.9</v>
      </c>
      <c r="F672">
        <f>_xlfn.XLOOKUP(A672,'Subbu- Mini Project EXcel Clean'!A672:A1671,'Subbu- Mini Project EXcel Clean'!G672:G1671," ",0)</f>
        <v>53.7</v>
      </c>
      <c r="G672" t="str">
        <f>_xlfn.XLOOKUP(A672,'Subbu- Mini Project EXcel Clean'!A672:A1671,'Subbu- Mini Project EXcel Clean'!H672:H1671," ",0)</f>
        <v>Pass</v>
      </c>
      <c r="H672" t="str">
        <f>VLOOKUP(A672,'Subbu- Mini Project EXcel Clean'!A671:R1671,18,)</f>
        <v>Bachelor</v>
      </c>
    </row>
    <row r="673" spans="1:8" x14ac:dyDescent="0.25">
      <c r="A673" t="s">
        <v>701</v>
      </c>
      <c r="B673">
        <f>VLOOKUP(A673,'Subbu- Mini Project EXcel Clean'!A672:R1672,2,FALSE)</f>
        <v>97.8</v>
      </c>
      <c r="C673">
        <f>VLOOKUP(A673,'Subbu- Mini Project EXcel Clean'!A672:R1672,3,FALSE)</f>
        <v>85.2</v>
      </c>
      <c r="D673">
        <f>_xlfn.XLOOKUP(A673,'Subbu- Mini Project EXcel Clean'!A673:A1672,'Subbu- Mini Project EXcel Clean'!D673:D1672,"Entry Level",0)</f>
        <v>83</v>
      </c>
      <c r="E673">
        <f>_xlfn.XLOOKUP(A673,'Subbu- Mini Project EXcel Clean'!A673:A1672,'Subbu- Mini Project EXcel Clean'!F673:F1672,"Entry Level",0)</f>
        <v>95</v>
      </c>
      <c r="F673">
        <f>_xlfn.XLOOKUP(A673,'Subbu- Mini Project EXcel Clean'!A673:A1672,'Subbu- Mini Project EXcel Clean'!G673:G1672," ",0)</f>
        <v>92.15</v>
      </c>
      <c r="G673" t="str">
        <f>_xlfn.XLOOKUP(A673,'Subbu- Mini Project EXcel Clean'!A673:A1672,'Subbu- Mini Project EXcel Clean'!H673:H1672," ",0)</f>
        <v>Pass</v>
      </c>
      <c r="H673" t="str">
        <f>VLOOKUP(A673,'Subbu- Mini Project EXcel Clean'!A672:R1672,18,)</f>
        <v>Bachelor</v>
      </c>
    </row>
    <row r="674" spans="1:8" x14ac:dyDescent="0.25">
      <c r="A674" t="s">
        <v>702</v>
      </c>
      <c r="B674">
        <f>VLOOKUP(A674,'Subbu- Mini Project EXcel Clean'!A673:R1673,2,FALSE)</f>
        <v>45.6</v>
      </c>
      <c r="C674">
        <f>VLOOKUP(A674,'Subbu- Mini Project EXcel Clean'!A673:R1673,3,FALSE)</f>
        <v>44.1</v>
      </c>
      <c r="D674">
        <f>_xlfn.XLOOKUP(A674,'Subbu- Mini Project EXcel Clean'!A674:A1673,'Subbu- Mini Project EXcel Clean'!D674:D1673,"Entry Level",0)</f>
        <v>43.8</v>
      </c>
      <c r="E674">
        <f>_xlfn.XLOOKUP(A674,'Subbu- Mini Project EXcel Clean'!A674:A1673,'Subbu- Mini Project EXcel Clean'!F674:F1673,"Entry Level",0)</f>
        <v>52.2</v>
      </c>
      <c r="F674">
        <f>_xlfn.XLOOKUP(A674,'Subbu- Mini Project EXcel Clean'!A674:A1673,'Subbu- Mini Project EXcel Clean'!G674:G1673," ",0)</f>
        <v>48.3</v>
      </c>
      <c r="G674" t="str">
        <f>_xlfn.XLOOKUP(A674,'Subbu- Mini Project EXcel Clean'!A674:A1673,'Subbu- Mini Project EXcel Clean'!H674:H1673," ",0)</f>
        <v>Fail</v>
      </c>
      <c r="H674" t="str">
        <f>VLOOKUP(A674,'Subbu- Mini Project EXcel Clean'!A673:R1673,18,)</f>
        <v>Master</v>
      </c>
    </row>
    <row r="675" spans="1:8" x14ac:dyDescent="0.25">
      <c r="A675" t="s">
        <v>703</v>
      </c>
      <c r="B675">
        <f>VLOOKUP(A675,'Subbu- Mini Project EXcel Clean'!A674:R1674,2,FALSE)</f>
        <v>81.900000000000006</v>
      </c>
      <c r="C675">
        <f>VLOOKUP(A675,'Subbu- Mini Project EXcel Clean'!A674:R1674,3,FALSE)</f>
        <v>65.3</v>
      </c>
      <c r="D675">
        <f>_xlfn.XLOOKUP(A675,'Subbu- Mini Project EXcel Clean'!A675:A1674,'Subbu- Mini Project EXcel Clean'!D675:D1674,"Entry Level",0)</f>
        <v>66</v>
      </c>
      <c r="E675">
        <f>_xlfn.XLOOKUP(A675,'Subbu- Mini Project EXcel Clean'!A675:A1674,'Subbu- Mini Project EXcel Clean'!F675:F1674,"Entry Level",0)</f>
        <v>74.900000000000006</v>
      </c>
      <c r="F675">
        <f>_xlfn.XLOOKUP(A675,'Subbu- Mini Project EXcel Clean'!A675:A1674,'Subbu- Mini Project EXcel Clean'!G675:G1674," ",0)</f>
        <v>71.849999999999994</v>
      </c>
      <c r="G675" t="str">
        <f>_xlfn.XLOOKUP(A675,'Subbu- Mini Project EXcel Clean'!A675:A1674,'Subbu- Mini Project EXcel Clean'!H675:H1674," ",0)</f>
        <v>Pass</v>
      </c>
      <c r="H675" t="str">
        <f>VLOOKUP(A675,'Subbu- Mini Project EXcel Clean'!A674:R1674,18,)</f>
        <v>High School</v>
      </c>
    </row>
    <row r="676" spans="1:8" x14ac:dyDescent="0.25">
      <c r="A676" t="s">
        <v>704</v>
      </c>
      <c r="B676">
        <f>VLOOKUP(A676,'Subbu- Mini Project EXcel Clean'!A675:R1675,2,FALSE)</f>
        <v>65.400000000000006</v>
      </c>
      <c r="C676">
        <f>VLOOKUP(A676,'Subbu- Mini Project EXcel Clean'!A675:R1675,3,FALSE)</f>
        <v>66</v>
      </c>
      <c r="D676">
        <f>_xlfn.XLOOKUP(A676,'Subbu- Mini Project EXcel Clean'!A676:A1675,'Subbu- Mini Project EXcel Clean'!D676:D1675,"Entry Level",0)</f>
        <v>47.9</v>
      </c>
      <c r="E676">
        <f>_xlfn.XLOOKUP(A676,'Subbu- Mini Project EXcel Clean'!A676:A1675,'Subbu- Mini Project EXcel Clean'!F676:F1675,"Entry Level",0)</f>
        <v>57.9</v>
      </c>
      <c r="F676">
        <f>_xlfn.XLOOKUP(A676,'Subbu- Mini Project EXcel Clean'!A676:A1675,'Subbu- Mini Project EXcel Clean'!G676:G1675," ",0)</f>
        <v>60.25</v>
      </c>
      <c r="G676" t="str">
        <f>_xlfn.XLOOKUP(A676,'Subbu- Mini Project EXcel Clean'!A676:A1675,'Subbu- Mini Project EXcel Clean'!H676:H1675," ",0)</f>
        <v>Pass</v>
      </c>
      <c r="H676" t="str">
        <f>VLOOKUP(A676,'Subbu- Mini Project EXcel Clean'!A675:R1675,18,)</f>
        <v>Master</v>
      </c>
    </row>
    <row r="677" spans="1:8" x14ac:dyDescent="0.25">
      <c r="A677" t="s">
        <v>705</v>
      </c>
      <c r="B677">
        <f>VLOOKUP(A677,'Subbu- Mini Project EXcel Clean'!A676:R1676,2,FALSE)</f>
        <v>85.2</v>
      </c>
      <c r="C677">
        <f>VLOOKUP(A677,'Subbu- Mini Project EXcel Clean'!A676:R1676,3,FALSE)</f>
        <v>101.5</v>
      </c>
      <c r="D677">
        <f>_xlfn.XLOOKUP(A677,'Subbu- Mini Project EXcel Clean'!A677:A1676,'Subbu- Mini Project EXcel Clean'!D677:D1676,"Entry Level",0)</f>
        <v>104.3</v>
      </c>
      <c r="E677">
        <f>_xlfn.XLOOKUP(A677,'Subbu- Mini Project EXcel Clean'!A677:A1676,'Subbu- Mini Project EXcel Clean'!F677:F1676,"Entry Level",0)</f>
        <v>83.9</v>
      </c>
      <c r="F677">
        <f>_xlfn.XLOOKUP(A677,'Subbu- Mini Project EXcel Clean'!A677:A1676,'Subbu- Mini Project EXcel Clean'!G677:G1676," ",0)</f>
        <v>88.95</v>
      </c>
      <c r="G677" t="str">
        <f>_xlfn.XLOOKUP(A677,'Subbu- Mini Project EXcel Clean'!A677:A1676,'Subbu- Mini Project EXcel Clean'!H677:H1676," ",0)</f>
        <v>Pass</v>
      </c>
      <c r="H677" t="str">
        <f>VLOOKUP(A677,'Subbu- Mini Project EXcel Clean'!A676:R1676,18,)</f>
        <v>High School</v>
      </c>
    </row>
    <row r="678" spans="1:8" x14ac:dyDescent="0.25">
      <c r="A678" t="s">
        <v>706</v>
      </c>
      <c r="B678">
        <f>VLOOKUP(A678,'Subbu- Mini Project EXcel Clean'!A677:R1677,2,FALSE)</f>
        <v>49.9</v>
      </c>
      <c r="C678">
        <f>VLOOKUP(A678,'Subbu- Mini Project EXcel Clean'!A677:R1677,3,FALSE)</f>
        <v>43.3</v>
      </c>
      <c r="D678">
        <f>_xlfn.XLOOKUP(A678,'Subbu- Mini Project EXcel Clean'!A678:A1677,'Subbu- Mini Project EXcel Clean'!D678:D1677,"Entry Level",0)</f>
        <v>51.6</v>
      </c>
      <c r="E678">
        <f>_xlfn.XLOOKUP(A678,'Subbu- Mini Project EXcel Clean'!A678:A1677,'Subbu- Mini Project EXcel Clean'!F678:F1677,"Entry Level",0)</f>
        <v>68.3</v>
      </c>
      <c r="F678">
        <f>_xlfn.XLOOKUP(A678,'Subbu- Mini Project EXcel Clean'!A678:A1677,'Subbu- Mini Project EXcel Clean'!G678:G1677," ",0)</f>
        <v>57.25</v>
      </c>
      <c r="G678" t="str">
        <f>_xlfn.XLOOKUP(A678,'Subbu- Mini Project EXcel Clean'!A678:A1677,'Subbu- Mini Project EXcel Clean'!H678:H1677," ",0)</f>
        <v>Pass</v>
      </c>
      <c r="H678" t="str">
        <f>VLOOKUP(A678,'Subbu- Mini Project EXcel Clean'!A677:R1677,18,)</f>
        <v>High School</v>
      </c>
    </row>
    <row r="679" spans="1:8" x14ac:dyDescent="0.25">
      <c r="A679" t="s">
        <v>707</v>
      </c>
      <c r="B679">
        <f>VLOOKUP(A679,'Subbu- Mini Project EXcel Clean'!A678:R1678,2,FALSE)</f>
        <v>63.8</v>
      </c>
      <c r="C679">
        <f>VLOOKUP(A679,'Subbu- Mini Project EXcel Clean'!A678:R1678,3,FALSE)</f>
        <v>63.1</v>
      </c>
      <c r="D679">
        <f>_xlfn.XLOOKUP(A679,'Subbu- Mini Project EXcel Clean'!A679:A1678,'Subbu- Mini Project EXcel Clean'!D679:D1678,"Entry Level",0)</f>
        <v>60</v>
      </c>
      <c r="E679">
        <f>_xlfn.XLOOKUP(A679,'Subbu- Mini Project EXcel Clean'!A679:A1678,'Subbu- Mini Project EXcel Clean'!F679:F1678,"Entry Level",0)</f>
        <v>77.900000000000006</v>
      </c>
      <c r="F679">
        <f>_xlfn.XLOOKUP(A679,'Subbu- Mini Project EXcel Clean'!A679:A1678,'Subbu- Mini Project EXcel Clean'!G679:G1678," ",0)</f>
        <v>69.900000000000006</v>
      </c>
      <c r="G679" t="str">
        <f>_xlfn.XLOOKUP(A679,'Subbu- Mini Project EXcel Clean'!A679:A1678,'Subbu- Mini Project EXcel Clean'!H679:H1678," ",0)</f>
        <v>Pass</v>
      </c>
      <c r="H679" t="str">
        <f>VLOOKUP(A679,'Subbu- Mini Project EXcel Clean'!A678:R1678,18,)</f>
        <v>High School</v>
      </c>
    </row>
    <row r="680" spans="1:8" x14ac:dyDescent="0.25">
      <c r="A680" t="s">
        <v>708</v>
      </c>
      <c r="B680">
        <f>VLOOKUP(A680,'Subbu- Mini Project EXcel Clean'!A679:R1679,2,FALSE)</f>
        <v>99.8</v>
      </c>
      <c r="C680">
        <f>VLOOKUP(A680,'Subbu- Mini Project EXcel Clean'!A679:R1679,3,FALSE)</f>
        <v>95.8</v>
      </c>
      <c r="D680">
        <f>_xlfn.XLOOKUP(A680,'Subbu- Mini Project EXcel Clean'!A680:A1679,'Subbu- Mini Project EXcel Clean'!D680:D1679,"Entry Level",0)</f>
        <v>93.4</v>
      </c>
      <c r="E680">
        <f>_xlfn.XLOOKUP(A680,'Subbu- Mini Project EXcel Clean'!A680:A1679,'Subbu- Mini Project EXcel Clean'!F680:F1679,"Entry Level",0)</f>
        <v>100</v>
      </c>
      <c r="F680">
        <f>_xlfn.XLOOKUP(A680,'Subbu- Mini Project EXcel Clean'!A680:A1679,'Subbu- Mini Project EXcel Clean'!G680:G1679," ",0)</f>
        <v>96.65</v>
      </c>
      <c r="G680" t="str">
        <f>_xlfn.XLOOKUP(A680,'Subbu- Mini Project EXcel Clean'!A680:A1679,'Subbu- Mini Project EXcel Clean'!H680:H1679," ",0)</f>
        <v>Pass</v>
      </c>
      <c r="H680" t="str">
        <f>VLOOKUP(A680,'Subbu- Mini Project EXcel Clean'!A679:R1679,18,)</f>
        <v>Bachelor</v>
      </c>
    </row>
    <row r="681" spans="1:8" x14ac:dyDescent="0.25">
      <c r="A681" t="s">
        <v>709</v>
      </c>
      <c r="B681">
        <f>VLOOKUP(A681,'Subbu- Mini Project EXcel Clean'!A680:R1680,2,FALSE)</f>
        <v>91</v>
      </c>
      <c r="C681">
        <f>VLOOKUP(A681,'Subbu- Mini Project EXcel Clean'!A680:R1680,3,FALSE)</f>
        <v>90</v>
      </c>
      <c r="D681">
        <f>_xlfn.XLOOKUP(A681,'Subbu- Mini Project EXcel Clean'!A681:A1680,'Subbu- Mini Project EXcel Clean'!D681:D1680,"Entry Level",0)</f>
        <v>81.7</v>
      </c>
      <c r="E681">
        <f>_xlfn.XLOOKUP(A681,'Subbu- Mini Project EXcel Clean'!A681:A1680,'Subbu- Mini Project EXcel Clean'!F681:F1680,"Entry Level",0)</f>
        <v>84.9</v>
      </c>
      <c r="F681">
        <f>_xlfn.XLOOKUP(A681,'Subbu- Mini Project EXcel Clean'!A681:A1680,'Subbu- Mini Project EXcel Clean'!G681:G1680," ",0)</f>
        <v>86.25</v>
      </c>
      <c r="G681" t="str">
        <f>_xlfn.XLOOKUP(A681,'Subbu- Mini Project EXcel Clean'!A681:A1680,'Subbu- Mini Project EXcel Clean'!H681:H1680," ",0)</f>
        <v>Pass</v>
      </c>
      <c r="H681" t="str">
        <f>VLOOKUP(A681,'Subbu- Mini Project EXcel Clean'!A680:R1680,18,)</f>
        <v>Bachelor</v>
      </c>
    </row>
    <row r="682" spans="1:8" x14ac:dyDescent="0.25">
      <c r="A682" t="s">
        <v>710</v>
      </c>
      <c r="B682">
        <f>VLOOKUP(A682,'Subbu- Mini Project EXcel Clean'!A681:R1681,2,FALSE)</f>
        <v>84.2</v>
      </c>
      <c r="C682">
        <f>VLOOKUP(A682,'Subbu- Mini Project EXcel Clean'!A681:R1681,3,FALSE)</f>
        <v>85.3</v>
      </c>
      <c r="D682">
        <f>_xlfn.XLOOKUP(A682,'Subbu- Mini Project EXcel Clean'!A682:A1681,'Subbu- Mini Project EXcel Clean'!D682:D1681,"Entry Level",0)</f>
        <v>93.4</v>
      </c>
      <c r="E682">
        <f>_xlfn.XLOOKUP(A682,'Subbu- Mini Project EXcel Clean'!A682:A1681,'Subbu- Mini Project EXcel Clean'!F682:F1681,"Entry Level",0)</f>
        <v>85.7</v>
      </c>
      <c r="F682">
        <f>_xlfn.XLOOKUP(A682,'Subbu- Mini Project EXcel Clean'!A682:A1681,'Subbu- Mini Project EXcel Clean'!G682:G1681," ",0)</f>
        <v>85.3</v>
      </c>
      <c r="G682" t="str">
        <f>_xlfn.XLOOKUP(A682,'Subbu- Mini Project EXcel Clean'!A682:A1681,'Subbu- Mini Project EXcel Clean'!H682:H1681," ",0)</f>
        <v>Pass</v>
      </c>
      <c r="H682" t="str">
        <f>VLOOKUP(A682,'Subbu- Mini Project EXcel Clean'!A681:R1681,18,)</f>
        <v>Master</v>
      </c>
    </row>
    <row r="683" spans="1:8" x14ac:dyDescent="0.25">
      <c r="A683" t="s">
        <v>711</v>
      </c>
      <c r="B683">
        <f>VLOOKUP(A683,'Subbu- Mini Project EXcel Clean'!A682:R1682,2,FALSE)</f>
        <v>48.1</v>
      </c>
      <c r="C683">
        <f>VLOOKUP(A683,'Subbu- Mini Project EXcel Clean'!A682:R1682,3,FALSE)</f>
        <v>57.9</v>
      </c>
      <c r="D683">
        <f>_xlfn.XLOOKUP(A683,'Subbu- Mini Project EXcel Clean'!A683:A1682,'Subbu- Mini Project EXcel Clean'!D683:D1682,"Entry Level",0)</f>
        <v>63.7</v>
      </c>
      <c r="E683">
        <f>_xlfn.XLOOKUP(A683,'Subbu- Mini Project EXcel Clean'!A683:A1682,'Subbu- Mini Project EXcel Clean'!F683:F1682,"Entry Level",0)</f>
        <v>65.7</v>
      </c>
      <c r="F683">
        <f>_xlfn.XLOOKUP(A683,'Subbu- Mini Project EXcel Clean'!A683:A1682,'Subbu- Mini Project EXcel Clean'!G683:G1682," ",0)</f>
        <v>59.95</v>
      </c>
      <c r="G683" t="str">
        <f>_xlfn.XLOOKUP(A683,'Subbu- Mini Project EXcel Clean'!A683:A1682,'Subbu- Mini Project EXcel Clean'!H683:H1682," ",0)</f>
        <v>Pass</v>
      </c>
      <c r="H683" t="str">
        <f>VLOOKUP(A683,'Subbu- Mini Project EXcel Clean'!A682:R1682,18,)</f>
        <v>Master</v>
      </c>
    </row>
    <row r="684" spans="1:8" x14ac:dyDescent="0.25">
      <c r="A684" t="s">
        <v>712</v>
      </c>
      <c r="B684">
        <f>VLOOKUP(A684,'Subbu- Mini Project EXcel Clean'!A683:R1683,2,FALSE)</f>
        <v>48.4</v>
      </c>
      <c r="C684">
        <f>VLOOKUP(A684,'Subbu- Mini Project EXcel Clean'!A683:R1683,3,FALSE)</f>
        <v>51.8</v>
      </c>
      <c r="D684">
        <f>_xlfn.XLOOKUP(A684,'Subbu- Mini Project EXcel Clean'!A684:A1683,'Subbu- Mini Project EXcel Clean'!D684:D1683,"Entry Level",0)</f>
        <v>50.2</v>
      </c>
      <c r="E684">
        <f>_xlfn.XLOOKUP(A684,'Subbu- Mini Project EXcel Clean'!A684:A1683,'Subbu- Mini Project EXcel Clean'!F684:F1683,"Entry Level",0)</f>
        <v>50</v>
      </c>
      <c r="F684">
        <f>_xlfn.XLOOKUP(A684,'Subbu- Mini Project EXcel Clean'!A684:A1683,'Subbu- Mini Project EXcel Clean'!G684:G1683," ",0)</f>
        <v>49.7</v>
      </c>
      <c r="G684" t="str">
        <f>_xlfn.XLOOKUP(A684,'Subbu- Mini Project EXcel Clean'!A684:A1683,'Subbu- Mini Project EXcel Clean'!H684:H1683," ",0)</f>
        <v>Fail</v>
      </c>
      <c r="H684" t="str">
        <f>VLOOKUP(A684,'Subbu- Mini Project EXcel Clean'!A683:R1683,18,)</f>
        <v>Bachelor</v>
      </c>
    </row>
    <row r="685" spans="1:8" x14ac:dyDescent="0.25">
      <c r="A685" t="s">
        <v>713</v>
      </c>
      <c r="B685">
        <f>VLOOKUP(A685,'Subbu- Mini Project EXcel Clean'!A684:R1684,2,FALSE)</f>
        <v>72.5</v>
      </c>
      <c r="C685">
        <f>VLOOKUP(A685,'Subbu- Mini Project EXcel Clean'!A684:R1684,3,FALSE)</f>
        <v>70.599999999999994</v>
      </c>
      <c r="D685">
        <f>_xlfn.XLOOKUP(A685,'Subbu- Mini Project EXcel Clean'!A685:A1684,'Subbu- Mini Project EXcel Clean'!D685:D1684,"Entry Level",0)</f>
        <v>81.900000000000006</v>
      </c>
      <c r="E685">
        <f>_xlfn.XLOOKUP(A685,'Subbu- Mini Project EXcel Clean'!A685:A1684,'Subbu- Mini Project EXcel Clean'!F685:F1684,"Entry Level",0)</f>
        <v>71.099999999999994</v>
      </c>
      <c r="F685">
        <f>_xlfn.XLOOKUP(A685,'Subbu- Mini Project EXcel Clean'!A685:A1684,'Subbu- Mini Project EXcel Clean'!G685:G1684," ",0)</f>
        <v>73.95</v>
      </c>
      <c r="G685" t="str">
        <f>_xlfn.XLOOKUP(A685,'Subbu- Mini Project EXcel Clean'!A685:A1684,'Subbu- Mini Project EXcel Clean'!H685:H1684," ",0)</f>
        <v>Pass</v>
      </c>
      <c r="H685" t="str">
        <f>VLOOKUP(A685,'Subbu- Mini Project EXcel Clean'!A684:R1684,18,)</f>
        <v>Master</v>
      </c>
    </row>
    <row r="686" spans="1:8" x14ac:dyDescent="0.25">
      <c r="A686" t="s">
        <v>714</v>
      </c>
      <c r="B686">
        <f>VLOOKUP(A686,'Subbu- Mini Project EXcel Clean'!A685:R1685,2,FALSE)</f>
        <v>88.2</v>
      </c>
      <c r="C686">
        <f>VLOOKUP(A686,'Subbu- Mini Project EXcel Clean'!A685:R1685,3,FALSE)</f>
        <v>95.5</v>
      </c>
      <c r="D686">
        <f>_xlfn.XLOOKUP(A686,'Subbu- Mini Project EXcel Clean'!A686:A1685,'Subbu- Mini Project EXcel Clean'!D686:D1685,"Entry Level",0)</f>
        <v>92</v>
      </c>
      <c r="E686">
        <f>_xlfn.XLOOKUP(A686,'Subbu- Mini Project EXcel Clean'!A686:A1685,'Subbu- Mini Project EXcel Clean'!F686:F1685,"Entry Level",0)</f>
        <v>78.5</v>
      </c>
      <c r="F686">
        <f>_xlfn.XLOOKUP(A686,'Subbu- Mini Project EXcel Clean'!A686:A1685,'Subbu- Mini Project EXcel Clean'!G686:G1685," ",0)</f>
        <v>84.8</v>
      </c>
      <c r="G686" t="str">
        <f>_xlfn.XLOOKUP(A686,'Subbu- Mini Project EXcel Clean'!A686:A1685,'Subbu- Mini Project EXcel Clean'!H686:H1685," ",0)</f>
        <v>Pass</v>
      </c>
      <c r="H686" t="str">
        <f>VLOOKUP(A686,'Subbu- Mini Project EXcel Clean'!A685:R1685,18,)</f>
        <v>Bachelor</v>
      </c>
    </row>
    <row r="687" spans="1:8" x14ac:dyDescent="0.25">
      <c r="A687" t="s">
        <v>715</v>
      </c>
      <c r="B687">
        <f>VLOOKUP(A687,'Subbu- Mini Project EXcel Clean'!A686:R1686,2,FALSE)</f>
        <v>73.599999999999994</v>
      </c>
      <c r="C687">
        <f>VLOOKUP(A687,'Subbu- Mini Project EXcel Clean'!A686:R1686,3,FALSE)</f>
        <v>75.099999999999994</v>
      </c>
      <c r="D687">
        <f>_xlfn.XLOOKUP(A687,'Subbu- Mini Project EXcel Clean'!A687:A1686,'Subbu- Mini Project EXcel Clean'!D687:D1686,"Entry Level",0)</f>
        <v>63.9</v>
      </c>
      <c r="E687">
        <f>_xlfn.XLOOKUP(A687,'Subbu- Mini Project EXcel Clean'!A687:A1686,'Subbu- Mini Project EXcel Clean'!F687:F1686,"Entry Level",0)</f>
        <v>76.599999999999994</v>
      </c>
      <c r="F687">
        <f>_xlfn.XLOOKUP(A687,'Subbu- Mini Project EXcel Clean'!A687:A1686,'Subbu- Mini Project EXcel Clean'!G687:G1686," ",0)</f>
        <v>73.599999999999994</v>
      </c>
      <c r="G687" t="str">
        <f>_xlfn.XLOOKUP(A687,'Subbu- Mini Project EXcel Clean'!A687:A1686,'Subbu- Mini Project EXcel Clean'!H687:H1686," ",0)</f>
        <v>Pass</v>
      </c>
      <c r="H687" t="str">
        <f>VLOOKUP(A687,'Subbu- Mini Project EXcel Clean'!A686:R1686,18,)</f>
        <v>Bachelor</v>
      </c>
    </row>
    <row r="688" spans="1:8" x14ac:dyDescent="0.25">
      <c r="A688" t="s">
        <v>716</v>
      </c>
      <c r="B688">
        <f>VLOOKUP(A688,'Subbu- Mini Project EXcel Clean'!A687:R1687,2,FALSE)</f>
        <v>79.8</v>
      </c>
      <c r="C688">
        <f>VLOOKUP(A688,'Subbu- Mini Project EXcel Clean'!A687:R1687,3,FALSE)</f>
        <v>67.599999999999994</v>
      </c>
      <c r="D688">
        <f>_xlfn.XLOOKUP(A688,'Subbu- Mini Project EXcel Clean'!A688:A1687,'Subbu- Mini Project EXcel Clean'!D688:D1687,"Entry Level",0)</f>
        <v>69.400000000000006</v>
      </c>
      <c r="E688">
        <f>_xlfn.XLOOKUP(A688,'Subbu- Mini Project EXcel Clean'!A688:A1687,'Subbu- Mini Project EXcel Clean'!F688:F1687,"Entry Level",0)</f>
        <v>80</v>
      </c>
      <c r="F688">
        <f>_xlfn.XLOOKUP(A688,'Subbu- Mini Project EXcel Clean'!A688:A1687,'Subbu- Mini Project EXcel Clean'!G688:G1687," ",0)</f>
        <v>75.7</v>
      </c>
      <c r="G688" t="str">
        <f>_xlfn.XLOOKUP(A688,'Subbu- Mini Project EXcel Clean'!A688:A1687,'Subbu- Mini Project EXcel Clean'!H688:H1687," ",0)</f>
        <v>Pass</v>
      </c>
      <c r="H688" t="str">
        <f>VLOOKUP(A688,'Subbu- Mini Project EXcel Clean'!A687:R1687,18,)</f>
        <v>High School</v>
      </c>
    </row>
    <row r="689" spans="1:8" x14ac:dyDescent="0.25">
      <c r="A689" t="s">
        <v>717</v>
      </c>
      <c r="B689">
        <f>VLOOKUP(A689,'Subbu- Mini Project EXcel Clean'!A688:R1688,2,FALSE)</f>
        <v>57.4</v>
      </c>
      <c r="C689">
        <f>VLOOKUP(A689,'Subbu- Mini Project EXcel Clean'!A688:R1688,3,FALSE)</f>
        <v>55.6</v>
      </c>
      <c r="D689">
        <f>_xlfn.XLOOKUP(A689,'Subbu- Mini Project EXcel Clean'!A689:A1688,'Subbu- Mini Project EXcel Clean'!D689:D1688,"Entry Level",0)</f>
        <v>56.1</v>
      </c>
      <c r="E689">
        <f>_xlfn.XLOOKUP(A689,'Subbu- Mini Project EXcel Clean'!A689:A1688,'Subbu- Mini Project EXcel Clean'!F689:F1688,"Entry Level",0)</f>
        <v>65</v>
      </c>
      <c r="F689">
        <f>_xlfn.XLOOKUP(A689,'Subbu- Mini Project EXcel Clean'!A689:A1688,'Subbu- Mini Project EXcel Clean'!G689:G1688," ",0)</f>
        <v>60.2</v>
      </c>
      <c r="G689" t="str">
        <f>_xlfn.XLOOKUP(A689,'Subbu- Mini Project EXcel Clean'!A689:A1688,'Subbu- Mini Project EXcel Clean'!H689:H1688," ",0)</f>
        <v>Pass</v>
      </c>
      <c r="H689" t="str">
        <f>VLOOKUP(A689,'Subbu- Mini Project EXcel Clean'!A688:R1688,18,)</f>
        <v>High School</v>
      </c>
    </row>
    <row r="690" spans="1:8" x14ac:dyDescent="0.25">
      <c r="A690" t="s">
        <v>718</v>
      </c>
      <c r="B690">
        <f>VLOOKUP(A690,'Subbu- Mini Project EXcel Clean'!A689:R1689,2,FALSE)</f>
        <v>76.3</v>
      </c>
      <c r="C690">
        <f>VLOOKUP(A690,'Subbu- Mini Project EXcel Clean'!A689:R1689,3,FALSE)</f>
        <v>85.7</v>
      </c>
      <c r="D690">
        <f>_xlfn.XLOOKUP(A690,'Subbu- Mini Project EXcel Clean'!A690:A1689,'Subbu- Mini Project EXcel Clean'!D690:D1689,"Entry Level",0)</f>
        <v>80</v>
      </c>
      <c r="E690">
        <f>_xlfn.XLOOKUP(A690,'Subbu- Mini Project EXcel Clean'!A690:A1689,'Subbu- Mini Project EXcel Clean'!F690:F1689,"Entry Level",0)</f>
        <v>79.7</v>
      </c>
      <c r="F690">
        <f>_xlfn.XLOOKUP(A690,'Subbu- Mini Project EXcel Clean'!A690:A1689,'Subbu- Mini Project EXcel Clean'!G690:G1689," ",0)</f>
        <v>81</v>
      </c>
      <c r="G690" t="str">
        <f>_xlfn.XLOOKUP(A690,'Subbu- Mini Project EXcel Clean'!A690:A1689,'Subbu- Mini Project EXcel Clean'!H690:H1689," ",0)</f>
        <v>Pass</v>
      </c>
      <c r="H690" t="str">
        <f>VLOOKUP(A690,'Subbu- Mini Project EXcel Clean'!A689:R1689,18,)</f>
        <v>Bachelor</v>
      </c>
    </row>
    <row r="691" spans="1:8" x14ac:dyDescent="0.25">
      <c r="A691" t="s">
        <v>719</v>
      </c>
      <c r="B691">
        <f>VLOOKUP(A691,'Subbu- Mini Project EXcel Clean'!A690:R1690,2,FALSE)</f>
        <v>52.5</v>
      </c>
      <c r="C691">
        <f>VLOOKUP(A691,'Subbu- Mini Project EXcel Clean'!A690:R1690,3,FALSE)</f>
        <v>49.2</v>
      </c>
      <c r="D691">
        <f>_xlfn.XLOOKUP(A691,'Subbu- Mini Project EXcel Clean'!A691:A1690,'Subbu- Mini Project EXcel Clean'!D691:D1690,"Entry Level",0)</f>
        <v>49.2</v>
      </c>
      <c r="E691">
        <f>_xlfn.XLOOKUP(A691,'Subbu- Mini Project EXcel Clean'!A691:A1690,'Subbu- Mini Project EXcel Clean'!F691:F1690,"Entry Level",0)</f>
        <v>47.6</v>
      </c>
      <c r="F691">
        <f>_xlfn.XLOOKUP(A691,'Subbu- Mini Project EXcel Clean'!A691:A1690,'Subbu- Mini Project EXcel Clean'!G691:G1690," ",0)</f>
        <v>48.95</v>
      </c>
      <c r="G691" t="str">
        <f>_xlfn.XLOOKUP(A691,'Subbu- Mini Project EXcel Clean'!A691:A1690,'Subbu- Mini Project EXcel Clean'!H691:H1690," ",0)</f>
        <v>Fail</v>
      </c>
      <c r="H691" t="str">
        <f>VLOOKUP(A691,'Subbu- Mini Project EXcel Clean'!A690:R1690,18,)</f>
        <v>High School</v>
      </c>
    </row>
    <row r="692" spans="1:8" x14ac:dyDescent="0.25">
      <c r="A692" t="s">
        <v>720</v>
      </c>
      <c r="B692">
        <f>VLOOKUP(A692,'Subbu- Mini Project EXcel Clean'!A691:R1691,2,FALSE)</f>
        <v>63.8</v>
      </c>
      <c r="C692">
        <f>VLOOKUP(A692,'Subbu- Mini Project EXcel Clean'!A691:R1691,3,FALSE)</f>
        <v>63.2</v>
      </c>
      <c r="D692">
        <f>_xlfn.XLOOKUP(A692,'Subbu- Mini Project EXcel Clean'!A692:A1691,'Subbu- Mini Project EXcel Clean'!D692:D1691,"Entry Level",0)</f>
        <v>57.3</v>
      </c>
      <c r="E692">
        <f>_xlfn.XLOOKUP(A692,'Subbu- Mini Project EXcel Clean'!A692:A1691,'Subbu- Mini Project EXcel Clean'!F692:F1691,"Entry Level",0)</f>
        <v>74.900000000000006</v>
      </c>
      <c r="F692">
        <f>_xlfn.XLOOKUP(A692,'Subbu- Mini Project EXcel Clean'!A692:A1691,'Subbu- Mini Project EXcel Clean'!G692:G1691," ",0)</f>
        <v>66.349999999999994</v>
      </c>
      <c r="G692" t="str">
        <f>_xlfn.XLOOKUP(A692,'Subbu- Mini Project EXcel Clean'!A692:A1691,'Subbu- Mini Project EXcel Clean'!H692:H1691," ",0)</f>
        <v>Pass</v>
      </c>
      <c r="H692" t="str">
        <f>VLOOKUP(A692,'Subbu- Mini Project EXcel Clean'!A691:R1691,18,)</f>
        <v>Bachelor</v>
      </c>
    </row>
    <row r="693" spans="1:8" x14ac:dyDescent="0.25">
      <c r="A693" t="s">
        <v>721</v>
      </c>
      <c r="B693">
        <f>VLOOKUP(A693,'Subbu- Mini Project EXcel Clean'!A692:R1692,2,FALSE)</f>
        <v>60.4</v>
      </c>
      <c r="C693">
        <f>VLOOKUP(A693,'Subbu- Mini Project EXcel Clean'!A692:R1692,3,FALSE)</f>
        <v>75.2</v>
      </c>
      <c r="D693">
        <f>_xlfn.XLOOKUP(A693,'Subbu- Mini Project EXcel Clean'!A693:A1692,'Subbu- Mini Project EXcel Clean'!D693:D1692,"Entry Level",0)</f>
        <v>63</v>
      </c>
      <c r="E693">
        <f>_xlfn.XLOOKUP(A693,'Subbu- Mini Project EXcel Clean'!A693:A1692,'Subbu- Mini Project EXcel Clean'!F693:F1692,"Entry Level",0)</f>
        <v>56.6</v>
      </c>
      <c r="F693">
        <f>_xlfn.XLOOKUP(A693,'Subbu- Mini Project EXcel Clean'!A693:A1692,'Subbu- Mini Project EXcel Clean'!G693:G1692," ",0)</f>
        <v>60</v>
      </c>
      <c r="G693" t="str">
        <f>_xlfn.XLOOKUP(A693,'Subbu- Mini Project EXcel Clean'!A693:A1692,'Subbu- Mini Project EXcel Clean'!H693:H1692," ",0)</f>
        <v>Pass</v>
      </c>
      <c r="H693" t="str">
        <f>VLOOKUP(A693,'Subbu- Mini Project EXcel Clean'!A692:R1692,18,)</f>
        <v>High School</v>
      </c>
    </row>
    <row r="694" spans="1:8" x14ac:dyDescent="0.25">
      <c r="A694" t="s">
        <v>722</v>
      </c>
      <c r="B694">
        <f>VLOOKUP(A694,'Subbu- Mini Project EXcel Clean'!A693:R1693,2,FALSE)</f>
        <v>67.2</v>
      </c>
      <c r="C694">
        <f>VLOOKUP(A694,'Subbu- Mini Project EXcel Clean'!A693:R1693,3,FALSE)</f>
        <v>64</v>
      </c>
      <c r="D694">
        <f>_xlfn.XLOOKUP(A694,'Subbu- Mini Project EXcel Clean'!A694:A1693,'Subbu- Mini Project EXcel Clean'!D694:D1693,"Entry Level",0)</f>
        <v>68.2</v>
      </c>
      <c r="E694">
        <f>_xlfn.XLOOKUP(A694,'Subbu- Mini Project EXcel Clean'!A694:A1693,'Subbu- Mini Project EXcel Clean'!F694:F1693,"Entry Level",0)</f>
        <v>64</v>
      </c>
      <c r="F694">
        <f>_xlfn.XLOOKUP(A694,'Subbu- Mini Project EXcel Clean'!A694:A1693,'Subbu- Mini Project EXcel Clean'!G694:G1693," ",0)</f>
        <v>65.95</v>
      </c>
      <c r="G694" t="str">
        <f>_xlfn.XLOOKUP(A694,'Subbu- Mini Project EXcel Clean'!A694:A1693,'Subbu- Mini Project EXcel Clean'!H694:H1693," ",0)</f>
        <v>Pass</v>
      </c>
      <c r="H694" t="str">
        <f>VLOOKUP(A694,'Subbu- Mini Project EXcel Clean'!A693:R1693,18,)</f>
        <v>Master</v>
      </c>
    </row>
    <row r="695" spans="1:8" x14ac:dyDescent="0.25">
      <c r="A695" t="s">
        <v>723</v>
      </c>
      <c r="B695">
        <f>VLOOKUP(A695,'Subbu- Mini Project EXcel Clean'!A694:R1694,2,FALSE)</f>
        <v>53.4</v>
      </c>
      <c r="C695">
        <f>VLOOKUP(A695,'Subbu- Mini Project EXcel Clean'!A694:R1694,3,FALSE)</f>
        <v>46.4</v>
      </c>
      <c r="D695">
        <f>_xlfn.XLOOKUP(A695,'Subbu- Mini Project EXcel Clean'!A695:A1694,'Subbu- Mini Project EXcel Clean'!D695:D1694,"Entry Level",0)</f>
        <v>48</v>
      </c>
      <c r="E695">
        <f>_xlfn.XLOOKUP(A695,'Subbu- Mini Project EXcel Clean'!A695:A1694,'Subbu- Mini Project EXcel Clean'!F695:F1694,"Entry Level",0)</f>
        <v>63.5</v>
      </c>
      <c r="F695">
        <f>_xlfn.XLOOKUP(A695,'Subbu- Mini Project EXcel Clean'!A695:A1694,'Subbu- Mini Project EXcel Clean'!G695:G1694," ",0)</f>
        <v>58.4</v>
      </c>
      <c r="G695" t="str">
        <f>_xlfn.XLOOKUP(A695,'Subbu- Mini Project EXcel Clean'!A695:A1694,'Subbu- Mini Project EXcel Clean'!H695:H1694," ",0)</f>
        <v>Pass</v>
      </c>
      <c r="H695" t="str">
        <f>VLOOKUP(A695,'Subbu- Mini Project EXcel Clean'!A694:R1694,18,)</f>
        <v>Master</v>
      </c>
    </row>
    <row r="696" spans="1:8" x14ac:dyDescent="0.25">
      <c r="A696" t="s">
        <v>724</v>
      </c>
      <c r="B696">
        <f>VLOOKUP(A696,'Subbu- Mini Project EXcel Clean'!A695:R1695,2,FALSE)</f>
        <v>42.4</v>
      </c>
      <c r="C696">
        <f>VLOOKUP(A696,'Subbu- Mini Project EXcel Clean'!A695:R1695,3,FALSE)</f>
        <v>47.8</v>
      </c>
      <c r="D696">
        <f>_xlfn.XLOOKUP(A696,'Subbu- Mini Project EXcel Clean'!A696:A1695,'Subbu- Mini Project EXcel Clean'!D696:D1695,"Entry Level",0)</f>
        <v>42.7</v>
      </c>
      <c r="E696">
        <f>_xlfn.XLOOKUP(A696,'Subbu- Mini Project EXcel Clean'!A696:A1695,'Subbu- Mini Project EXcel Clean'!F696:F1695,"Entry Level",0)</f>
        <v>48.3</v>
      </c>
      <c r="F696">
        <f>_xlfn.XLOOKUP(A696,'Subbu- Mini Project EXcel Clean'!A696:A1695,'Subbu- Mini Project EXcel Clean'!G696:G1695," ",0)</f>
        <v>47.3</v>
      </c>
      <c r="G696" t="str">
        <f>_xlfn.XLOOKUP(A696,'Subbu- Mini Project EXcel Clean'!A696:A1695,'Subbu- Mini Project EXcel Clean'!H696:H1695," ",0)</f>
        <v>Fail</v>
      </c>
      <c r="H696" t="str">
        <f>VLOOKUP(A696,'Subbu- Mini Project EXcel Clean'!A695:R1695,18,)</f>
        <v>Bachelor</v>
      </c>
    </row>
    <row r="697" spans="1:8" x14ac:dyDescent="0.25">
      <c r="A697" t="s">
        <v>725</v>
      </c>
      <c r="B697">
        <f>VLOOKUP(A697,'Subbu- Mini Project EXcel Clean'!A696:R1696,2,FALSE)</f>
        <v>76.8</v>
      </c>
      <c r="C697">
        <f>VLOOKUP(A697,'Subbu- Mini Project EXcel Clean'!A696:R1696,3,FALSE)</f>
        <v>77.2</v>
      </c>
      <c r="D697">
        <f>_xlfn.XLOOKUP(A697,'Subbu- Mini Project EXcel Clean'!A697:A1696,'Subbu- Mini Project EXcel Clean'!D697:D1696,"Entry Level",0)</f>
        <v>67.2</v>
      </c>
      <c r="E697">
        <f>_xlfn.XLOOKUP(A697,'Subbu- Mini Project EXcel Clean'!A697:A1696,'Subbu- Mini Project EXcel Clean'!F697:F1696,"Entry Level",0)</f>
        <v>82.2</v>
      </c>
      <c r="F697">
        <f>_xlfn.XLOOKUP(A697,'Subbu- Mini Project EXcel Clean'!A697:A1696,'Subbu- Mini Project EXcel Clean'!G697:G1696," ",0)</f>
        <v>77.900000000000006</v>
      </c>
      <c r="G697" t="str">
        <f>_xlfn.XLOOKUP(A697,'Subbu- Mini Project EXcel Clean'!A697:A1696,'Subbu- Mini Project EXcel Clean'!H697:H1696," ",0)</f>
        <v>Pass</v>
      </c>
      <c r="H697" t="str">
        <f>VLOOKUP(A697,'Subbu- Mini Project EXcel Clean'!A696:R1696,18,)</f>
        <v>Bachelor</v>
      </c>
    </row>
    <row r="698" spans="1:8" x14ac:dyDescent="0.25">
      <c r="A698" t="s">
        <v>726</v>
      </c>
      <c r="B698">
        <f>VLOOKUP(A698,'Subbu- Mini Project EXcel Clean'!A697:R1697,2,FALSE)</f>
        <v>55.3</v>
      </c>
      <c r="C698">
        <f>VLOOKUP(A698,'Subbu- Mini Project EXcel Clean'!A697:R1697,3,FALSE)</f>
        <v>54.7</v>
      </c>
      <c r="D698">
        <f>_xlfn.XLOOKUP(A698,'Subbu- Mini Project EXcel Clean'!A698:A1697,'Subbu- Mini Project EXcel Clean'!D698:D1697,"Entry Level",0)</f>
        <v>60.8</v>
      </c>
      <c r="E698">
        <f>_xlfn.XLOOKUP(A698,'Subbu- Mini Project EXcel Clean'!A698:A1697,'Subbu- Mini Project EXcel Clean'!F698:F1697,"Entry Level",0)</f>
        <v>64.400000000000006</v>
      </c>
      <c r="F698">
        <f>_xlfn.XLOOKUP(A698,'Subbu- Mini Project EXcel Clean'!A698:A1697,'Subbu- Mini Project EXcel Clean'!G698:G1697," ",0)</f>
        <v>60.15</v>
      </c>
      <c r="G698" t="str">
        <f>_xlfn.XLOOKUP(A698,'Subbu- Mini Project EXcel Clean'!A698:A1697,'Subbu- Mini Project EXcel Clean'!H698:H1697," ",0)</f>
        <v>Pass</v>
      </c>
      <c r="H698" t="str">
        <f>VLOOKUP(A698,'Subbu- Mini Project EXcel Clean'!A697:R1697,18,)</f>
        <v>High School</v>
      </c>
    </row>
    <row r="699" spans="1:8" x14ac:dyDescent="0.25">
      <c r="A699" t="s">
        <v>727</v>
      </c>
      <c r="B699">
        <f>VLOOKUP(A699,'Subbu- Mini Project EXcel Clean'!A698:R1698,2,FALSE)</f>
        <v>74.099999999999994</v>
      </c>
      <c r="C699">
        <f>VLOOKUP(A699,'Subbu- Mini Project EXcel Clean'!A698:R1698,3,FALSE)</f>
        <v>79.2</v>
      </c>
      <c r="D699">
        <f>_xlfn.XLOOKUP(A699,'Subbu- Mini Project EXcel Clean'!A699:A1698,'Subbu- Mini Project EXcel Clean'!D699:D1698,"Entry Level",0)</f>
        <v>61.4</v>
      </c>
      <c r="E699">
        <f>_xlfn.XLOOKUP(A699,'Subbu- Mini Project EXcel Clean'!A699:A1698,'Subbu- Mini Project EXcel Clean'!F699:F1698,"Entry Level",0)</f>
        <v>77.7</v>
      </c>
      <c r="F699">
        <f>_xlfn.XLOOKUP(A699,'Subbu- Mini Project EXcel Clean'!A699:A1698,'Subbu- Mini Project EXcel Clean'!G699:G1698," ",0)</f>
        <v>74.849999999999994</v>
      </c>
      <c r="G699" t="str">
        <f>_xlfn.XLOOKUP(A699,'Subbu- Mini Project EXcel Clean'!A699:A1698,'Subbu- Mini Project EXcel Clean'!H699:H1698," ",0)</f>
        <v>Pass</v>
      </c>
      <c r="H699" t="str">
        <f>VLOOKUP(A699,'Subbu- Mini Project EXcel Clean'!A698:R1698,18,)</f>
        <v>High School</v>
      </c>
    </row>
    <row r="700" spans="1:8" x14ac:dyDescent="0.25">
      <c r="A700" t="s">
        <v>728</v>
      </c>
      <c r="B700">
        <f>VLOOKUP(A700,'Subbu- Mini Project EXcel Clean'!A699:R1699,2,FALSE)</f>
        <v>44.1</v>
      </c>
      <c r="C700">
        <f>VLOOKUP(A700,'Subbu- Mini Project EXcel Clean'!A699:R1699,3,FALSE)</f>
        <v>41.8</v>
      </c>
      <c r="D700">
        <f>_xlfn.XLOOKUP(A700,'Subbu- Mini Project EXcel Clean'!A700:A1699,'Subbu- Mini Project EXcel Clean'!D700:D1699,"Entry Level",0)</f>
        <v>54.3</v>
      </c>
      <c r="E700">
        <f>_xlfn.XLOOKUP(A700,'Subbu- Mini Project EXcel Clean'!A700:A1699,'Subbu- Mini Project EXcel Clean'!F700:F1699,"Entry Level",0)</f>
        <v>51.9</v>
      </c>
      <c r="F700">
        <f>_xlfn.XLOOKUP(A700,'Subbu- Mini Project EXcel Clean'!A700:A1699,'Subbu- Mini Project EXcel Clean'!G700:G1699," ",0)</f>
        <v>50.2</v>
      </c>
      <c r="G700" t="str">
        <f>_xlfn.XLOOKUP(A700,'Subbu- Mini Project EXcel Clean'!A700:A1699,'Subbu- Mini Project EXcel Clean'!H700:H1699," ",0)</f>
        <v>Pass</v>
      </c>
      <c r="H700" t="str">
        <f>VLOOKUP(A700,'Subbu- Mini Project EXcel Clean'!A699:R1699,18,)</f>
        <v>Bachelor</v>
      </c>
    </row>
    <row r="701" spans="1:8" x14ac:dyDescent="0.25">
      <c r="A701" t="s">
        <v>729</v>
      </c>
      <c r="B701">
        <f>VLOOKUP(A701,'Subbu- Mini Project EXcel Clean'!A700:R1700,2,FALSE)</f>
        <v>64.3</v>
      </c>
      <c r="C701">
        <f>VLOOKUP(A701,'Subbu- Mini Project EXcel Clean'!A700:R1700,3,FALSE)</f>
        <v>69.900000000000006</v>
      </c>
      <c r="D701">
        <f>_xlfn.XLOOKUP(A701,'Subbu- Mini Project EXcel Clean'!A701:A1700,'Subbu- Mini Project EXcel Clean'!D701:D1700,"Entry Level",0)</f>
        <v>73.400000000000006</v>
      </c>
      <c r="E701">
        <f>_xlfn.XLOOKUP(A701,'Subbu- Mini Project EXcel Clean'!A701:A1700,'Subbu- Mini Project EXcel Clean'!F701:F1700,"Entry Level",0)</f>
        <v>79.2</v>
      </c>
      <c r="F701">
        <f>_xlfn.XLOOKUP(A701,'Subbu- Mini Project EXcel Clean'!A701:A1700,'Subbu- Mini Project EXcel Clean'!G701:G1700," ",0)</f>
        <v>72.849999999999994</v>
      </c>
      <c r="G701" t="str">
        <f>_xlfn.XLOOKUP(A701,'Subbu- Mini Project EXcel Clean'!A701:A1700,'Subbu- Mini Project EXcel Clean'!H701:H1700," ",0)</f>
        <v>Pass</v>
      </c>
      <c r="H701" t="str">
        <f>VLOOKUP(A701,'Subbu- Mini Project EXcel Clean'!A700:R1700,18,)</f>
        <v>Master</v>
      </c>
    </row>
    <row r="702" spans="1:8" x14ac:dyDescent="0.25">
      <c r="A702" t="s">
        <v>730</v>
      </c>
      <c r="B702">
        <f>VLOOKUP(A702,'Subbu- Mini Project EXcel Clean'!A701:R1701,2,FALSE)</f>
        <v>72.900000000000006</v>
      </c>
      <c r="C702">
        <f>VLOOKUP(A702,'Subbu- Mini Project EXcel Clean'!A701:R1701,3,FALSE)</f>
        <v>66.3</v>
      </c>
      <c r="D702">
        <f>_xlfn.XLOOKUP(A702,'Subbu- Mini Project EXcel Clean'!A702:A1701,'Subbu- Mini Project EXcel Clean'!D702:D1701,"Entry Level",0)</f>
        <v>67.8</v>
      </c>
      <c r="E702">
        <f>_xlfn.XLOOKUP(A702,'Subbu- Mini Project EXcel Clean'!A702:A1701,'Subbu- Mini Project EXcel Clean'!F702:F1701,"Entry Level",0)</f>
        <v>72.400000000000006</v>
      </c>
      <c r="F702">
        <f>_xlfn.XLOOKUP(A702,'Subbu- Mini Project EXcel Clean'!A702:A1701,'Subbu- Mini Project EXcel Clean'!G702:G1701," ",0)</f>
        <v>70.849999999999994</v>
      </c>
      <c r="G702" t="str">
        <f>_xlfn.XLOOKUP(A702,'Subbu- Mini Project EXcel Clean'!A702:A1701,'Subbu- Mini Project EXcel Clean'!H702:H1701," ",0)</f>
        <v>Pass</v>
      </c>
      <c r="H702" t="str">
        <f>VLOOKUP(A702,'Subbu- Mini Project EXcel Clean'!A701:R1701,18,)</f>
        <v>Master</v>
      </c>
    </row>
    <row r="703" spans="1:8" x14ac:dyDescent="0.25">
      <c r="A703" t="s">
        <v>731</v>
      </c>
      <c r="B703">
        <f>VLOOKUP(A703,'Subbu- Mini Project EXcel Clean'!A702:R1702,2,FALSE)</f>
        <v>41</v>
      </c>
      <c r="C703">
        <f>VLOOKUP(A703,'Subbu- Mini Project EXcel Clean'!A702:R1702,3,FALSE)</f>
        <v>51.4</v>
      </c>
      <c r="D703">
        <f>_xlfn.XLOOKUP(A703,'Subbu- Mini Project EXcel Clean'!A703:A1702,'Subbu- Mini Project EXcel Clean'!D703:D1702,"Entry Level",0)</f>
        <v>29.8</v>
      </c>
      <c r="E703">
        <f>_xlfn.XLOOKUP(A703,'Subbu- Mini Project EXcel Clean'!A703:A1702,'Subbu- Mini Project EXcel Clean'!F703:F1702,"Entry Level",0)</f>
        <v>39.700000000000003</v>
      </c>
      <c r="F703">
        <f>_xlfn.XLOOKUP(A703,'Subbu- Mini Project EXcel Clean'!A703:A1702,'Subbu- Mini Project EXcel Clean'!G703:G1702," ",0)</f>
        <v>41.3</v>
      </c>
      <c r="G703" t="str">
        <f>_xlfn.XLOOKUP(A703,'Subbu- Mini Project EXcel Clean'!A703:A1702,'Subbu- Mini Project EXcel Clean'!H703:H1702," ",0)</f>
        <v>Fail</v>
      </c>
      <c r="H703" t="str">
        <f>VLOOKUP(A703,'Subbu- Mini Project EXcel Clean'!A702:R1702,18,)</f>
        <v>Bachelor</v>
      </c>
    </row>
    <row r="704" spans="1:8" x14ac:dyDescent="0.25">
      <c r="A704" t="s">
        <v>732</v>
      </c>
      <c r="B704">
        <f>VLOOKUP(A704,'Subbu- Mini Project EXcel Clean'!A703:R1703,2,FALSE)</f>
        <v>67.099999999999994</v>
      </c>
      <c r="C704">
        <f>VLOOKUP(A704,'Subbu- Mini Project EXcel Clean'!A703:R1703,3,FALSE)</f>
        <v>68.5</v>
      </c>
      <c r="D704">
        <f>_xlfn.XLOOKUP(A704,'Subbu- Mini Project EXcel Clean'!A704:A1703,'Subbu- Mini Project EXcel Clean'!D704:D1703,"Entry Level",0)</f>
        <v>56.7</v>
      </c>
      <c r="E704">
        <f>_xlfn.XLOOKUP(A704,'Subbu- Mini Project EXcel Clean'!A704:A1703,'Subbu- Mini Project EXcel Clean'!F704:F1703,"Entry Level",0)</f>
        <v>72.2</v>
      </c>
      <c r="F704">
        <f>_xlfn.XLOOKUP(A704,'Subbu- Mini Project EXcel Clean'!A704:A1703,'Subbu- Mini Project EXcel Clean'!G704:G1703," ",0)</f>
        <v>65.349999999999994</v>
      </c>
      <c r="G704" t="str">
        <f>_xlfn.XLOOKUP(A704,'Subbu- Mini Project EXcel Clean'!A704:A1703,'Subbu- Mini Project EXcel Clean'!H704:H1703," ",0)</f>
        <v>Pass</v>
      </c>
      <c r="H704" t="str">
        <f>VLOOKUP(A704,'Subbu- Mini Project EXcel Clean'!A703:R1703,18,)</f>
        <v>Master</v>
      </c>
    </row>
    <row r="705" spans="1:8" x14ac:dyDescent="0.25">
      <c r="A705" t="s">
        <v>733</v>
      </c>
      <c r="B705">
        <f>VLOOKUP(A705,'Subbu- Mini Project EXcel Clean'!A704:R1704,2,FALSE)</f>
        <v>45.4</v>
      </c>
      <c r="C705">
        <f>VLOOKUP(A705,'Subbu- Mini Project EXcel Clean'!A704:R1704,3,FALSE)</f>
        <v>43.6</v>
      </c>
      <c r="D705">
        <f>_xlfn.XLOOKUP(A705,'Subbu- Mini Project EXcel Clean'!A705:A1704,'Subbu- Mini Project EXcel Clean'!D705:D1704,"Entry Level",0)</f>
        <v>47.1</v>
      </c>
      <c r="E705">
        <f>_xlfn.XLOOKUP(A705,'Subbu- Mini Project EXcel Clean'!A705:A1704,'Subbu- Mini Project EXcel Clean'!F705:F1704,"Entry Level",0)</f>
        <v>50.3</v>
      </c>
      <c r="F705">
        <f>_xlfn.XLOOKUP(A705,'Subbu- Mini Project EXcel Clean'!A705:A1704,'Subbu- Mini Project EXcel Clean'!G705:G1704," ",0)</f>
        <v>48.85</v>
      </c>
      <c r="G705" t="str">
        <f>_xlfn.XLOOKUP(A705,'Subbu- Mini Project EXcel Clean'!A705:A1704,'Subbu- Mini Project EXcel Clean'!H705:H1704," ",0)</f>
        <v>Fail</v>
      </c>
      <c r="H705" t="str">
        <f>VLOOKUP(A705,'Subbu- Mini Project EXcel Clean'!A704:R1704,18,)</f>
        <v>Bachelor</v>
      </c>
    </row>
    <row r="706" spans="1:8" x14ac:dyDescent="0.25">
      <c r="A706" t="s">
        <v>734</v>
      </c>
      <c r="B706">
        <f>VLOOKUP(A706,'Subbu- Mini Project EXcel Clean'!A705:R1705,2,FALSE)</f>
        <v>44.6</v>
      </c>
      <c r="C706">
        <f>VLOOKUP(A706,'Subbu- Mini Project EXcel Clean'!A705:R1705,3,FALSE)</f>
        <v>40.700000000000003</v>
      </c>
      <c r="D706">
        <f>_xlfn.XLOOKUP(A706,'Subbu- Mini Project EXcel Clean'!A706:A1705,'Subbu- Mini Project EXcel Clean'!D706:D1705,"Entry Level",0)</f>
        <v>38.4</v>
      </c>
      <c r="E706">
        <f>_xlfn.XLOOKUP(A706,'Subbu- Mini Project EXcel Clean'!A706:A1705,'Subbu- Mini Project EXcel Clean'!F706:F1705,"Entry Level",0)</f>
        <v>47.6</v>
      </c>
      <c r="F706">
        <f>_xlfn.XLOOKUP(A706,'Subbu- Mini Project EXcel Clean'!A706:A1705,'Subbu- Mini Project EXcel Clean'!G706:G1705," ",0)</f>
        <v>45.55</v>
      </c>
      <c r="G706" t="str">
        <f>_xlfn.XLOOKUP(A706,'Subbu- Mini Project EXcel Clean'!A706:A1705,'Subbu- Mini Project EXcel Clean'!H706:H1705," ",0)</f>
        <v>Fail</v>
      </c>
      <c r="H706" t="str">
        <f>VLOOKUP(A706,'Subbu- Mini Project EXcel Clean'!A705:R1705,18,)</f>
        <v>High School</v>
      </c>
    </row>
    <row r="707" spans="1:8" x14ac:dyDescent="0.25">
      <c r="A707" t="s">
        <v>735</v>
      </c>
      <c r="B707">
        <f>VLOOKUP(A707,'Subbu- Mini Project EXcel Clean'!A706:R1706,2,FALSE)</f>
        <v>99.1</v>
      </c>
      <c r="C707">
        <f>VLOOKUP(A707,'Subbu- Mini Project EXcel Clean'!A706:R1706,3,FALSE)</f>
        <v>98.7</v>
      </c>
      <c r="D707">
        <f>_xlfn.XLOOKUP(A707,'Subbu- Mini Project EXcel Clean'!A707:A1706,'Subbu- Mini Project EXcel Clean'!D707:D1706,"Entry Level",0)</f>
        <v>91.9</v>
      </c>
      <c r="E707">
        <f>_xlfn.XLOOKUP(A707,'Subbu- Mini Project EXcel Clean'!A707:A1706,'Subbu- Mini Project EXcel Clean'!F707:F1706,"Entry Level",0)</f>
        <v>97.8</v>
      </c>
      <c r="F707">
        <f>_xlfn.XLOOKUP(A707,'Subbu- Mini Project EXcel Clean'!A707:A1706,'Subbu- Mini Project EXcel Clean'!G707:G1706," ",0)</f>
        <v>96.1</v>
      </c>
      <c r="G707" t="str">
        <f>_xlfn.XLOOKUP(A707,'Subbu- Mini Project EXcel Clean'!A707:A1706,'Subbu- Mini Project EXcel Clean'!H707:H1706," ",0)</f>
        <v>Pass</v>
      </c>
      <c r="H707" t="str">
        <f>VLOOKUP(A707,'Subbu- Mini Project EXcel Clean'!A706:R1706,18,)</f>
        <v>Master</v>
      </c>
    </row>
    <row r="708" spans="1:8" x14ac:dyDescent="0.25">
      <c r="A708" t="s">
        <v>736</v>
      </c>
      <c r="B708">
        <f>VLOOKUP(A708,'Subbu- Mini Project EXcel Clean'!A707:R1707,2,FALSE)</f>
        <v>50.6</v>
      </c>
      <c r="C708">
        <f>VLOOKUP(A708,'Subbu- Mini Project EXcel Clean'!A707:R1707,3,FALSE)</f>
        <v>55.8</v>
      </c>
      <c r="D708">
        <f>_xlfn.XLOOKUP(A708,'Subbu- Mini Project EXcel Clean'!A708:A1707,'Subbu- Mini Project EXcel Clean'!D708:D1707,"Entry Level",0)</f>
        <v>65.400000000000006</v>
      </c>
      <c r="E708">
        <f>_xlfn.XLOOKUP(A708,'Subbu- Mini Project EXcel Clean'!A708:A1707,'Subbu- Mini Project EXcel Clean'!F708:F1707,"Entry Level",0)</f>
        <v>69.3</v>
      </c>
      <c r="F708">
        <f>_xlfn.XLOOKUP(A708,'Subbu- Mini Project EXcel Clean'!A708:A1707,'Subbu- Mini Project EXcel Clean'!G708:G1707," ",0)</f>
        <v>63.5</v>
      </c>
      <c r="G708" t="str">
        <f>_xlfn.XLOOKUP(A708,'Subbu- Mini Project EXcel Clean'!A708:A1707,'Subbu- Mini Project EXcel Clean'!H708:H1707," ",0)</f>
        <v>Pass</v>
      </c>
      <c r="H708" t="str">
        <f>VLOOKUP(A708,'Subbu- Mini Project EXcel Clean'!A707:R1707,18,)</f>
        <v>Master</v>
      </c>
    </row>
    <row r="709" spans="1:8" x14ac:dyDescent="0.25">
      <c r="A709" t="s">
        <v>737</v>
      </c>
      <c r="B709">
        <f>VLOOKUP(A709,'Subbu- Mini Project EXcel Clean'!A708:R1708,2,FALSE)</f>
        <v>75.7</v>
      </c>
      <c r="C709">
        <f>VLOOKUP(A709,'Subbu- Mini Project EXcel Clean'!A708:R1708,3,FALSE)</f>
        <v>84.3</v>
      </c>
      <c r="D709">
        <f>_xlfn.XLOOKUP(A709,'Subbu- Mini Project EXcel Clean'!A709:A1708,'Subbu- Mini Project EXcel Clean'!D709:D1708,"Entry Level",0)</f>
        <v>87.9</v>
      </c>
      <c r="E709">
        <f>_xlfn.XLOOKUP(A709,'Subbu- Mini Project EXcel Clean'!A709:A1708,'Subbu- Mini Project EXcel Clean'!F709:F1708,"Entry Level",0)</f>
        <v>94.6</v>
      </c>
      <c r="F709">
        <f>_xlfn.XLOOKUP(A709,'Subbu- Mini Project EXcel Clean'!A709:A1708,'Subbu- Mini Project EXcel Clean'!G709:G1708," ",0)</f>
        <v>89.55</v>
      </c>
      <c r="G709" t="str">
        <f>_xlfn.XLOOKUP(A709,'Subbu- Mini Project EXcel Clean'!A709:A1708,'Subbu- Mini Project EXcel Clean'!H709:H1708," ",0)</f>
        <v>Pass</v>
      </c>
      <c r="H709" t="str">
        <f>VLOOKUP(A709,'Subbu- Mini Project EXcel Clean'!A708:R1708,18,)</f>
        <v>High School</v>
      </c>
    </row>
    <row r="710" spans="1:8" x14ac:dyDescent="0.25">
      <c r="A710" t="s">
        <v>738</v>
      </c>
      <c r="B710">
        <f>VLOOKUP(A710,'Subbu- Mini Project EXcel Clean'!A709:R1709,2,FALSE)</f>
        <v>46.4</v>
      </c>
      <c r="C710">
        <f>VLOOKUP(A710,'Subbu- Mini Project EXcel Clean'!A709:R1709,3,FALSE)</f>
        <v>54.1</v>
      </c>
      <c r="D710">
        <f>_xlfn.XLOOKUP(A710,'Subbu- Mini Project EXcel Clean'!A710:A1709,'Subbu- Mini Project EXcel Clean'!D710:D1709,"Entry Level",0)</f>
        <v>49.4</v>
      </c>
      <c r="E710">
        <f>_xlfn.XLOOKUP(A710,'Subbu- Mini Project EXcel Clean'!A710:A1709,'Subbu- Mini Project EXcel Clean'!F710:F1709,"Entry Level",0)</f>
        <v>40.9</v>
      </c>
      <c r="F710">
        <f>_xlfn.XLOOKUP(A710,'Subbu- Mini Project EXcel Clean'!A710:A1709,'Subbu- Mini Project EXcel Clean'!G710:G1709," ",0)</f>
        <v>47.45</v>
      </c>
      <c r="G710" t="str">
        <f>_xlfn.XLOOKUP(A710,'Subbu- Mini Project EXcel Clean'!A710:A1709,'Subbu- Mini Project EXcel Clean'!H710:H1709," ",0)</f>
        <v>Fail</v>
      </c>
      <c r="H710" t="str">
        <f>VLOOKUP(A710,'Subbu- Mini Project EXcel Clean'!A709:R1709,18,)</f>
        <v>High School</v>
      </c>
    </row>
    <row r="711" spans="1:8" x14ac:dyDescent="0.25">
      <c r="A711" t="s">
        <v>739</v>
      </c>
      <c r="B711">
        <f>VLOOKUP(A711,'Subbu- Mini Project EXcel Clean'!A710:R1710,2,FALSE)</f>
        <v>83.8</v>
      </c>
      <c r="C711">
        <f>VLOOKUP(A711,'Subbu- Mini Project EXcel Clean'!A710:R1710,3,FALSE)</f>
        <v>67.900000000000006</v>
      </c>
      <c r="D711">
        <f>_xlfn.XLOOKUP(A711,'Subbu- Mini Project EXcel Clean'!A711:A1710,'Subbu- Mini Project EXcel Clean'!D711:D1710,"Entry Level",0)</f>
        <v>69.5</v>
      </c>
      <c r="E711">
        <f>_xlfn.XLOOKUP(A711,'Subbu- Mini Project EXcel Clean'!A711:A1710,'Subbu- Mini Project EXcel Clean'!F711:F1710,"Entry Level",0)</f>
        <v>78.8</v>
      </c>
      <c r="F711">
        <f>_xlfn.XLOOKUP(A711,'Subbu- Mini Project EXcel Clean'!A711:A1710,'Subbu- Mini Project EXcel Clean'!G711:G1710," ",0)</f>
        <v>78.150000000000006</v>
      </c>
      <c r="G711" t="str">
        <f>_xlfn.XLOOKUP(A711,'Subbu- Mini Project EXcel Clean'!A711:A1710,'Subbu- Mini Project EXcel Clean'!H711:H1710," ",0)</f>
        <v>Pass</v>
      </c>
      <c r="H711" t="str">
        <f>VLOOKUP(A711,'Subbu- Mini Project EXcel Clean'!A710:R1710,18,)</f>
        <v>Master</v>
      </c>
    </row>
    <row r="712" spans="1:8" x14ac:dyDescent="0.25">
      <c r="A712" t="s">
        <v>740</v>
      </c>
      <c r="B712">
        <f>VLOOKUP(A712,'Subbu- Mini Project EXcel Clean'!A711:R1711,2,FALSE)</f>
        <v>79.099999999999994</v>
      </c>
      <c r="C712">
        <f>VLOOKUP(A712,'Subbu- Mini Project EXcel Clean'!A711:R1711,3,FALSE)</f>
        <v>81.7</v>
      </c>
      <c r="D712">
        <f>_xlfn.XLOOKUP(A712,'Subbu- Mini Project EXcel Clean'!A712:A1711,'Subbu- Mini Project EXcel Clean'!D712:D1711,"Entry Level",0)</f>
        <v>80.2</v>
      </c>
      <c r="E712">
        <f>_xlfn.XLOOKUP(A712,'Subbu- Mini Project EXcel Clean'!A712:A1711,'Subbu- Mini Project EXcel Clean'!F712:F1711,"Entry Level",0)</f>
        <v>77.900000000000006</v>
      </c>
      <c r="F712">
        <f>_xlfn.XLOOKUP(A712,'Subbu- Mini Project EXcel Clean'!A712:A1711,'Subbu- Mini Project EXcel Clean'!G712:G1711," ",0)</f>
        <v>79.849999999999994</v>
      </c>
      <c r="G712" t="str">
        <f>_xlfn.XLOOKUP(A712,'Subbu- Mini Project EXcel Clean'!A712:A1711,'Subbu- Mini Project EXcel Clean'!H712:H1711," ",0)</f>
        <v>Pass</v>
      </c>
      <c r="H712" t="str">
        <f>VLOOKUP(A712,'Subbu- Mini Project EXcel Clean'!A711:R1711,18,)</f>
        <v>Master</v>
      </c>
    </row>
    <row r="713" spans="1:8" x14ac:dyDescent="0.25">
      <c r="A713" t="s">
        <v>741</v>
      </c>
      <c r="B713">
        <f>VLOOKUP(A713,'Subbu- Mini Project EXcel Clean'!A712:R1712,2,FALSE)</f>
        <v>85.6</v>
      </c>
      <c r="C713">
        <f>VLOOKUP(A713,'Subbu- Mini Project EXcel Clean'!A712:R1712,3,FALSE)</f>
        <v>69.3</v>
      </c>
      <c r="D713">
        <f>_xlfn.XLOOKUP(A713,'Subbu- Mini Project EXcel Clean'!A713:A1712,'Subbu- Mini Project EXcel Clean'!D713:D1712,"Entry Level",0)</f>
        <v>71.7</v>
      </c>
      <c r="E713">
        <f>_xlfn.XLOOKUP(A713,'Subbu- Mini Project EXcel Clean'!A713:A1712,'Subbu- Mini Project EXcel Clean'!F713:F1712,"Entry Level",0)</f>
        <v>74.900000000000006</v>
      </c>
      <c r="F713">
        <f>_xlfn.XLOOKUP(A713,'Subbu- Mini Project EXcel Clean'!A713:A1712,'Subbu- Mini Project EXcel Clean'!G713:G1712," ",0)</f>
        <v>73.849999999999994</v>
      </c>
      <c r="G713" t="str">
        <f>_xlfn.XLOOKUP(A713,'Subbu- Mini Project EXcel Clean'!A713:A1712,'Subbu- Mini Project EXcel Clean'!H713:H1712," ",0)</f>
        <v>Pass</v>
      </c>
      <c r="H713" t="str">
        <f>VLOOKUP(A713,'Subbu- Mini Project EXcel Clean'!A712:R1712,18,)</f>
        <v>Bachelor</v>
      </c>
    </row>
    <row r="714" spans="1:8" x14ac:dyDescent="0.25">
      <c r="A714" t="s">
        <v>742</v>
      </c>
      <c r="B714">
        <f>VLOOKUP(A714,'Subbu- Mini Project EXcel Clean'!A713:R1713,2,FALSE)</f>
        <v>63.1</v>
      </c>
      <c r="C714">
        <f>VLOOKUP(A714,'Subbu- Mini Project EXcel Clean'!A713:R1713,3,FALSE)</f>
        <v>63.5</v>
      </c>
      <c r="D714">
        <f>_xlfn.XLOOKUP(A714,'Subbu- Mini Project EXcel Clean'!A714:A1713,'Subbu- Mini Project EXcel Clean'!D714:D1713,"Entry Level",0)</f>
        <v>68.400000000000006</v>
      </c>
      <c r="E714">
        <f>_xlfn.XLOOKUP(A714,'Subbu- Mini Project EXcel Clean'!A714:A1713,'Subbu- Mini Project EXcel Clean'!F714:F1713,"Entry Level",0)</f>
        <v>66.8</v>
      </c>
      <c r="F714">
        <f>_xlfn.XLOOKUP(A714,'Subbu- Mini Project EXcel Clean'!A714:A1713,'Subbu- Mini Project EXcel Clean'!G714:G1713," ",0)</f>
        <v>66.349999999999994</v>
      </c>
      <c r="G714" t="str">
        <f>_xlfn.XLOOKUP(A714,'Subbu- Mini Project EXcel Clean'!A714:A1713,'Subbu- Mini Project EXcel Clean'!H714:H1713," ",0)</f>
        <v>Pass</v>
      </c>
      <c r="H714" t="str">
        <f>VLOOKUP(A714,'Subbu- Mini Project EXcel Clean'!A713:R1713,18,)</f>
        <v>Bachelor</v>
      </c>
    </row>
    <row r="715" spans="1:8" x14ac:dyDescent="0.25">
      <c r="A715" t="s">
        <v>743</v>
      </c>
      <c r="B715">
        <f>VLOOKUP(A715,'Subbu- Mini Project EXcel Clean'!A714:R1714,2,FALSE)</f>
        <v>63.6</v>
      </c>
      <c r="C715">
        <f>VLOOKUP(A715,'Subbu- Mini Project EXcel Clean'!A714:R1714,3,FALSE)</f>
        <v>69.900000000000006</v>
      </c>
      <c r="D715">
        <f>_xlfn.XLOOKUP(A715,'Subbu- Mini Project EXcel Clean'!A715:A1714,'Subbu- Mini Project EXcel Clean'!D715:D1714,"Entry Level",0)</f>
        <v>60</v>
      </c>
      <c r="E715">
        <f>_xlfn.XLOOKUP(A715,'Subbu- Mini Project EXcel Clean'!A715:A1714,'Subbu- Mini Project EXcel Clean'!F715:F1714,"Entry Level",0)</f>
        <v>57</v>
      </c>
      <c r="F715">
        <f>_xlfn.XLOOKUP(A715,'Subbu- Mini Project EXcel Clean'!A715:A1714,'Subbu- Mini Project EXcel Clean'!G715:G1714," ",0)</f>
        <v>59.85</v>
      </c>
      <c r="G715" t="str">
        <f>_xlfn.XLOOKUP(A715,'Subbu- Mini Project EXcel Clean'!A715:A1714,'Subbu- Mini Project EXcel Clean'!H715:H1714," ",0)</f>
        <v>Pass</v>
      </c>
      <c r="H715" t="str">
        <f>VLOOKUP(A715,'Subbu- Mini Project EXcel Clean'!A714:R1714,18,)</f>
        <v>Master</v>
      </c>
    </row>
    <row r="716" spans="1:8" x14ac:dyDescent="0.25">
      <c r="A716" t="s">
        <v>744</v>
      </c>
      <c r="B716">
        <f>VLOOKUP(A716,'Subbu- Mini Project EXcel Clean'!A715:R1715,2,FALSE)</f>
        <v>66.900000000000006</v>
      </c>
      <c r="C716">
        <f>VLOOKUP(A716,'Subbu- Mini Project EXcel Clean'!A715:R1715,3,FALSE)</f>
        <v>52.9</v>
      </c>
      <c r="D716">
        <f>_xlfn.XLOOKUP(A716,'Subbu- Mini Project EXcel Clean'!A716:A1715,'Subbu- Mini Project EXcel Clean'!D716:D1715,"Entry Level",0)</f>
        <v>61.7</v>
      </c>
      <c r="E716">
        <f>_xlfn.XLOOKUP(A716,'Subbu- Mini Project EXcel Clean'!A716:A1715,'Subbu- Mini Project EXcel Clean'!F716:F1715,"Entry Level",0)</f>
        <v>70.400000000000006</v>
      </c>
      <c r="F716">
        <f>_xlfn.XLOOKUP(A716,'Subbu- Mini Project EXcel Clean'!A716:A1715,'Subbu- Mini Project EXcel Clean'!G716:G1715," ",0)</f>
        <v>64.8</v>
      </c>
      <c r="G716" t="str">
        <f>_xlfn.XLOOKUP(A716,'Subbu- Mini Project EXcel Clean'!A716:A1715,'Subbu- Mini Project EXcel Clean'!H716:H1715," ",0)</f>
        <v>Pass</v>
      </c>
      <c r="H716" t="str">
        <f>VLOOKUP(A716,'Subbu- Mini Project EXcel Clean'!A715:R1715,18,)</f>
        <v>Bachelor</v>
      </c>
    </row>
    <row r="717" spans="1:8" x14ac:dyDescent="0.25">
      <c r="A717" t="s">
        <v>745</v>
      </c>
      <c r="B717">
        <f>VLOOKUP(A717,'Subbu- Mini Project EXcel Clean'!A716:R1716,2,FALSE)</f>
        <v>101.2</v>
      </c>
      <c r="C717">
        <f>VLOOKUP(A717,'Subbu- Mini Project EXcel Clean'!A716:R1716,3,FALSE)</f>
        <v>95.2</v>
      </c>
      <c r="D717">
        <f>_xlfn.XLOOKUP(A717,'Subbu- Mini Project EXcel Clean'!A717:A1716,'Subbu- Mini Project EXcel Clean'!D717:D1716,"Entry Level",0)</f>
        <v>100.8</v>
      </c>
      <c r="E717">
        <f>_xlfn.XLOOKUP(A717,'Subbu- Mini Project EXcel Clean'!A717:A1716,'Subbu- Mini Project EXcel Clean'!F717:F1716,"Entry Level",0)</f>
        <v>85.6</v>
      </c>
      <c r="F717">
        <f>_xlfn.XLOOKUP(A717,'Subbu- Mini Project EXcel Clean'!A717:A1716,'Subbu- Mini Project EXcel Clean'!G717:G1716," ",0)</f>
        <v>88.35</v>
      </c>
      <c r="G717" t="str">
        <f>_xlfn.XLOOKUP(A717,'Subbu- Mini Project EXcel Clean'!A717:A1716,'Subbu- Mini Project EXcel Clean'!H717:H1716," ",0)</f>
        <v>Pass</v>
      </c>
      <c r="H717" t="str">
        <f>VLOOKUP(A717,'Subbu- Mini Project EXcel Clean'!A716:R1716,18,)</f>
        <v>High School</v>
      </c>
    </row>
    <row r="718" spans="1:8" x14ac:dyDescent="0.25">
      <c r="A718" t="s">
        <v>746</v>
      </c>
      <c r="B718">
        <f>VLOOKUP(A718,'Subbu- Mini Project EXcel Clean'!A717:R1717,2,FALSE)</f>
        <v>96</v>
      </c>
      <c r="C718">
        <f>VLOOKUP(A718,'Subbu- Mini Project EXcel Clean'!A717:R1717,3,FALSE)</f>
        <v>84.3</v>
      </c>
      <c r="D718">
        <f>_xlfn.XLOOKUP(A718,'Subbu- Mini Project EXcel Clean'!A718:A1717,'Subbu- Mini Project EXcel Clean'!D718:D1717,"Entry Level",0)</f>
        <v>89.8</v>
      </c>
      <c r="E718">
        <f>_xlfn.XLOOKUP(A718,'Subbu- Mini Project EXcel Clean'!A718:A1717,'Subbu- Mini Project EXcel Clean'!F718:F1717,"Entry Level",0)</f>
        <v>89</v>
      </c>
      <c r="F718">
        <f>_xlfn.XLOOKUP(A718,'Subbu- Mini Project EXcel Clean'!A718:A1717,'Subbu- Mini Project EXcel Clean'!G718:G1717," ",0)</f>
        <v>87.35</v>
      </c>
      <c r="G718" t="str">
        <f>_xlfn.XLOOKUP(A718,'Subbu- Mini Project EXcel Clean'!A718:A1717,'Subbu- Mini Project EXcel Clean'!H718:H1717," ",0)</f>
        <v>Pass</v>
      </c>
      <c r="H718" t="str">
        <f>VLOOKUP(A718,'Subbu- Mini Project EXcel Clean'!A717:R1717,18,)</f>
        <v>Bachelor</v>
      </c>
    </row>
    <row r="719" spans="1:8" x14ac:dyDescent="0.25">
      <c r="A719" t="s">
        <v>747</v>
      </c>
      <c r="B719">
        <f>VLOOKUP(A719,'Subbu- Mini Project EXcel Clean'!A718:R1718,2,FALSE)</f>
        <v>99.1</v>
      </c>
      <c r="C719">
        <f>VLOOKUP(A719,'Subbu- Mini Project EXcel Clean'!A718:R1718,3,FALSE)</f>
        <v>91.7</v>
      </c>
      <c r="D719">
        <f>_xlfn.XLOOKUP(A719,'Subbu- Mini Project EXcel Clean'!A719:A1718,'Subbu- Mini Project EXcel Clean'!D719:D1718,"Entry Level",0)</f>
        <v>92.8</v>
      </c>
      <c r="E719">
        <f>_xlfn.XLOOKUP(A719,'Subbu- Mini Project EXcel Clean'!A719:A1718,'Subbu- Mini Project EXcel Clean'!F719:F1718,"Entry Level",0)</f>
        <v>97.7</v>
      </c>
      <c r="F719">
        <f>_xlfn.XLOOKUP(A719,'Subbu- Mini Project EXcel Clean'!A719:A1718,'Subbu- Mini Project EXcel Clean'!G719:G1718," ",0)</f>
        <v>95.4</v>
      </c>
      <c r="G719" t="str">
        <f>_xlfn.XLOOKUP(A719,'Subbu- Mini Project EXcel Clean'!A719:A1718,'Subbu- Mini Project EXcel Clean'!H719:H1718," ",0)</f>
        <v>Pass</v>
      </c>
      <c r="H719" t="str">
        <f>VLOOKUP(A719,'Subbu- Mini Project EXcel Clean'!A718:R1718,18,)</f>
        <v>Bachelor</v>
      </c>
    </row>
    <row r="720" spans="1:8" x14ac:dyDescent="0.25">
      <c r="A720" t="s">
        <v>748</v>
      </c>
      <c r="B720">
        <f>VLOOKUP(A720,'Subbu- Mini Project EXcel Clean'!A719:R1719,2,FALSE)</f>
        <v>52</v>
      </c>
      <c r="C720">
        <f>VLOOKUP(A720,'Subbu- Mini Project EXcel Clean'!A719:R1719,3,FALSE)</f>
        <v>50.8</v>
      </c>
      <c r="D720">
        <f>_xlfn.XLOOKUP(A720,'Subbu- Mini Project EXcel Clean'!A720:A1719,'Subbu- Mini Project EXcel Clean'!D720:D1719,"Entry Level",0)</f>
        <v>45.9</v>
      </c>
      <c r="E720">
        <f>_xlfn.XLOOKUP(A720,'Subbu- Mini Project EXcel Clean'!A720:A1719,'Subbu- Mini Project EXcel Clean'!F720:F1719,"Entry Level",0)</f>
        <v>60</v>
      </c>
      <c r="F720">
        <f>_xlfn.XLOOKUP(A720,'Subbu- Mini Project EXcel Clean'!A720:A1719,'Subbu- Mini Project EXcel Clean'!G720:G1719," ",0)</f>
        <v>53.4</v>
      </c>
      <c r="G720" t="str">
        <f>_xlfn.XLOOKUP(A720,'Subbu- Mini Project EXcel Clean'!A720:A1719,'Subbu- Mini Project EXcel Clean'!H720:H1719," ",0)</f>
        <v>Pass</v>
      </c>
      <c r="H720" t="str">
        <f>VLOOKUP(A720,'Subbu- Mini Project EXcel Clean'!A719:R1719,18,)</f>
        <v>Master</v>
      </c>
    </row>
    <row r="721" spans="1:8" x14ac:dyDescent="0.25">
      <c r="A721" t="s">
        <v>749</v>
      </c>
      <c r="B721">
        <f>VLOOKUP(A721,'Subbu- Mini Project EXcel Clean'!A720:R1720,2,FALSE)</f>
        <v>83.2</v>
      </c>
      <c r="C721">
        <f>VLOOKUP(A721,'Subbu- Mini Project EXcel Clean'!A720:R1720,3,FALSE)</f>
        <v>81.900000000000006</v>
      </c>
      <c r="D721">
        <f>_xlfn.XLOOKUP(A721,'Subbu- Mini Project EXcel Clean'!A721:A1720,'Subbu- Mini Project EXcel Clean'!D721:D1720,"Entry Level",0)</f>
        <v>78.400000000000006</v>
      </c>
      <c r="E721">
        <f>_xlfn.XLOOKUP(A721,'Subbu- Mini Project EXcel Clean'!A721:A1720,'Subbu- Mini Project EXcel Clean'!F721:F1720,"Entry Level",0)</f>
        <v>86.7</v>
      </c>
      <c r="F721">
        <f>_xlfn.XLOOKUP(A721,'Subbu- Mini Project EXcel Clean'!A721:A1720,'Subbu- Mini Project EXcel Clean'!G721:G1720," ",0)</f>
        <v>83.45</v>
      </c>
      <c r="G721" t="str">
        <f>_xlfn.XLOOKUP(A721,'Subbu- Mini Project EXcel Clean'!A721:A1720,'Subbu- Mini Project EXcel Clean'!H721:H1720," ",0)</f>
        <v>Pass</v>
      </c>
      <c r="H721" t="str">
        <f>VLOOKUP(A721,'Subbu- Mini Project EXcel Clean'!A720:R1720,18,)</f>
        <v>Bachelor</v>
      </c>
    </row>
    <row r="722" spans="1:8" x14ac:dyDescent="0.25">
      <c r="A722" t="s">
        <v>750</v>
      </c>
      <c r="B722">
        <f>VLOOKUP(A722,'Subbu- Mini Project EXcel Clean'!A721:R1721,2,FALSE)</f>
        <v>95.5</v>
      </c>
      <c r="C722">
        <f>VLOOKUP(A722,'Subbu- Mini Project EXcel Clean'!A721:R1721,3,FALSE)</f>
        <v>94.5</v>
      </c>
      <c r="D722">
        <f>_xlfn.XLOOKUP(A722,'Subbu- Mini Project EXcel Clean'!A722:A1721,'Subbu- Mini Project EXcel Clean'!D722:D1721,"Entry Level",0)</f>
        <v>97.5</v>
      </c>
      <c r="E722">
        <f>_xlfn.XLOOKUP(A722,'Subbu- Mini Project EXcel Clean'!A722:A1721,'Subbu- Mini Project EXcel Clean'!F722:F1721,"Entry Level",0)</f>
        <v>80.400000000000006</v>
      </c>
      <c r="F722">
        <f>_xlfn.XLOOKUP(A722,'Subbu- Mini Project EXcel Clean'!A722:A1721,'Subbu- Mini Project EXcel Clean'!G722:G1721," ",0)</f>
        <v>86</v>
      </c>
      <c r="G722" t="str">
        <f>_xlfn.XLOOKUP(A722,'Subbu- Mini Project EXcel Clean'!A722:A1721,'Subbu- Mini Project EXcel Clean'!H722:H1721," ",0)</f>
        <v>Pass</v>
      </c>
      <c r="H722" t="str">
        <f>VLOOKUP(A722,'Subbu- Mini Project EXcel Clean'!A721:R1721,18,)</f>
        <v>Master</v>
      </c>
    </row>
    <row r="723" spans="1:8" x14ac:dyDescent="0.25">
      <c r="A723" t="s">
        <v>751</v>
      </c>
      <c r="B723">
        <f>VLOOKUP(A723,'Subbu- Mini Project EXcel Clean'!A722:R1722,2,FALSE)</f>
        <v>47.2</v>
      </c>
      <c r="C723">
        <f>VLOOKUP(A723,'Subbu- Mini Project EXcel Clean'!A722:R1722,3,FALSE)</f>
        <v>54.8</v>
      </c>
      <c r="D723">
        <f>_xlfn.XLOOKUP(A723,'Subbu- Mini Project EXcel Clean'!A723:A1722,'Subbu- Mini Project EXcel Clean'!D723:D1722,"Entry Level",0)</f>
        <v>46.8</v>
      </c>
      <c r="E723">
        <f>_xlfn.XLOOKUP(A723,'Subbu- Mini Project EXcel Clean'!A723:A1722,'Subbu- Mini Project EXcel Clean'!F723:F1722,"Entry Level",0)</f>
        <v>67.900000000000006</v>
      </c>
      <c r="F723">
        <f>_xlfn.XLOOKUP(A723,'Subbu- Mini Project EXcel Clean'!A723:A1722,'Subbu- Mini Project EXcel Clean'!G723:G1722," ",0)</f>
        <v>58.95</v>
      </c>
      <c r="G723" t="str">
        <f>_xlfn.XLOOKUP(A723,'Subbu- Mini Project EXcel Clean'!A723:A1722,'Subbu- Mini Project EXcel Clean'!H723:H1722," ",0)</f>
        <v>Pass</v>
      </c>
      <c r="H723" t="str">
        <f>VLOOKUP(A723,'Subbu- Mini Project EXcel Clean'!A722:R1722,18,)</f>
        <v>Master</v>
      </c>
    </row>
    <row r="724" spans="1:8" x14ac:dyDescent="0.25">
      <c r="A724" t="s">
        <v>752</v>
      </c>
      <c r="B724">
        <f>VLOOKUP(A724,'Subbu- Mini Project EXcel Clean'!A723:R1723,2,FALSE)</f>
        <v>39.6</v>
      </c>
      <c r="C724">
        <f>VLOOKUP(A724,'Subbu- Mini Project EXcel Clean'!A723:R1723,3,FALSE)</f>
        <v>42</v>
      </c>
      <c r="D724">
        <f>_xlfn.XLOOKUP(A724,'Subbu- Mini Project EXcel Clean'!A724:A1723,'Subbu- Mini Project EXcel Clean'!D724:D1723,"Entry Level",0)</f>
        <v>43.9</v>
      </c>
      <c r="E724">
        <f>_xlfn.XLOOKUP(A724,'Subbu- Mini Project EXcel Clean'!A724:A1723,'Subbu- Mini Project EXcel Clean'!F724:F1723,"Entry Level",0)</f>
        <v>61.1</v>
      </c>
      <c r="F724">
        <f>_xlfn.XLOOKUP(A724,'Subbu- Mini Project EXcel Clean'!A724:A1723,'Subbu- Mini Project EXcel Clean'!G724:G1723," ",0)</f>
        <v>52.4</v>
      </c>
      <c r="G724" t="str">
        <f>_xlfn.XLOOKUP(A724,'Subbu- Mini Project EXcel Clean'!A724:A1723,'Subbu- Mini Project EXcel Clean'!H724:H1723," ",0)</f>
        <v>Pass</v>
      </c>
      <c r="H724" t="str">
        <f>VLOOKUP(A724,'Subbu- Mini Project EXcel Clean'!A723:R1723,18,)</f>
        <v>Master</v>
      </c>
    </row>
    <row r="725" spans="1:8" x14ac:dyDescent="0.25">
      <c r="A725" t="s">
        <v>753</v>
      </c>
      <c r="B725">
        <f>VLOOKUP(A725,'Subbu- Mini Project EXcel Clean'!A724:R1724,2,FALSE)</f>
        <v>80.7</v>
      </c>
      <c r="C725">
        <f>VLOOKUP(A725,'Subbu- Mini Project EXcel Clean'!A724:R1724,3,FALSE)</f>
        <v>77.7</v>
      </c>
      <c r="D725">
        <f>_xlfn.XLOOKUP(A725,'Subbu- Mini Project EXcel Clean'!A725:A1724,'Subbu- Mini Project EXcel Clean'!D725:D1724,"Entry Level",0)</f>
        <v>81</v>
      </c>
      <c r="E725">
        <f>_xlfn.XLOOKUP(A725,'Subbu- Mini Project EXcel Clean'!A725:A1724,'Subbu- Mini Project EXcel Clean'!F725:F1724,"Entry Level",0)</f>
        <v>91.4</v>
      </c>
      <c r="F725">
        <f>_xlfn.XLOOKUP(A725,'Subbu- Mini Project EXcel Clean'!A725:A1724,'Subbu- Mini Project EXcel Clean'!G725:G1724," ",0)</f>
        <v>86.1</v>
      </c>
      <c r="G725" t="str">
        <f>_xlfn.XLOOKUP(A725,'Subbu- Mini Project EXcel Clean'!A725:A1724,'Subbu- Mini Project EXcel Clean'!H725:H1724," ",0)</f>
        <v>Pass</v>
      </c>
      <c r="H725" t="str">
        <f>VLOOKUP(A725,'Subbu- Mini Project EXcel Clean'!A724:R1724,18,)</f>
        <v>High School</v>
      </c>
    </row>
    <row r="726" spans="1:8" x14ac:dyDescent="0.25">
      <c r="A726" t="s">
        <v>754</v>
      </c>
      <c r="B726">
        <f>VLOOKUP(A726,'Subbu- Mini Project EXcel Clean'!A725:R1725,2,FALSE)</f>
        <v>70.7</v>
      </c>
      <c r="C726">
        <f>VLOOKUP(A726,'Subbu- Mini Project EXcel Clean'!A725:R1725,3,FALSE)</f>
        <v>66.2</v>
      </c>
      <c r="D726">
        <f>_xlfn.XLOOKUP(A726,'Subbu- Mini Project EXcel Clean'!A726:A1725,'Subbu- Mini Project EXcel Clean'!D726:D1725,"Entry Level",0)</f>
        <v>69.099999999999994</v>
      </c>
      <c r="E726">
        <f>_xlfn.XLOOKUP(A726,'Subbu- Mini Project EXcel Clean'!A726:A1725,'Subbu- Mini Project EXcel Clean'!F726:F1725,"Entry Level",0)</f>
        <v>75.2</v>
      </c>
      <c r="F726">
        <f>_xlfn.XLOOKUP(A726,'Subbu- Mini Project EXcel Clean'!A726:A1725,'Subbu- Mini Project EXcel Clean'!G726:G1725," ",0)</f>
        <v>73.400000000000006</v>
      </c>
      <c r="G726" t="str">
        <f>_xlfn.XLOOKUP(A726,'Subbu- Mini Project EXcel Clean'!A726:A1725,'Subbu- Mini Project EXcel Clean'!H726:H1725," ",0)</f>
        <v>Pass</v>
      </c>
      <c r="H726" t="str">
        <f>VLOOKUP(A726,'Subbu- Mini Project EXcel Clean'!A725:R1725,18,)</f>
        <v>Bachelor</v>
      </c>
    </row>
    <row r="727" spans="1:8" x14ac:dyDescent="0.25">
      <c r="A727" t="s">
        <v>755</v>
      </c>
      <c r="B727">
        <f>VLOOKUP(A727,'Subbu- Mini Project EXcel Clean'!A726:R1726,2,FALSE)</f>
        <v>84</v>
      </c>
      <c r="C727">
        <f>VLOOKUP(A727,'Subbu- Mini Project EXcel Clean'!A726:R1726,3,FALSE)</f>
        <v>82.2</v>
      </c>
      <c r="D727">
        <f>_xlfn.XLOOKUP(A727,'Subbu- Mini Project EXcel Clean'!A727:A1726,'Subbu- Mini Project EXcel Clean'!D727:D1726,"Entry Level",0)</f>
        <v>79.400000000000006</v>
      </c>
      <c r="E727">
        <f>_xlfn.XLOOKUP(A727,'Subbu- Mini Project EXcel Clean'!A727:A1726,'Subbu- Mini Project EXcel Clean'!F727:F1726,"Entry Level",0)</f>
        <v>74.400000000000006</v>
      </c>
      <c r="F727">
        <f>_xlfn.XLOOKUP(A727,'Subbu- Mini Project EXcel Clean'!A727:A1726,'Subbu- Mini Project EXcel Clean'!G727:G1726," ",0)</f>
        <v>80.349999999999994</v>
      </c>
      <c r="G727" t="str">
        <f>_xlfn.XLOOKUP(A727,'Subbu- Mini Project EXcel Clean'!A727:A1726,'Subbu- Mini Project EXcel Clean'!H727:H1726," ",0)</f>
        <v>Pass</v>
      </c>
      <c r="H727" t="str">
        <f>VLOOKUP(A727,'Subbu- Mini Project EXcel Clean'!A726:R1726,18,)</f>
        <v>Bachelor</v>
      </c>
    </row>
    <row r="728" spans="1:8" x14ac:dyDescent="0.25">
      <c r="A728" t="s">
        <v>756</v>
      </c>
      <c r="B728">
        <f>VLOOKUP(A728,'Subbu- Mini Project EXcel Clean'!A727:R1727,2,FALSE)</f>
        <v>51.2</v>
      </c>
      <c r="C728">
        <f>VLOOKUP(A728,'Subbu- Mini Project EXcel Clean'!A727:R1727,3,FALSE)</f>
        <v>62.4</v>
      </c>
      <c r="D728">
        <f>_xlfn.XLOOKUP(A728,'Subbu- Mini Project EXcel Clean'!A728:A1727,'Subbu- Mini Project EXcel Clean'!D728:D1727,"Entry Level",0)</f>
        <v>49.3</v>
      </c>
      <c r="E728">
        <f>_xlfn.XLOOKUP(A728,'Subbu- Mini Project EXcel Clean'!A728:A1727,'Subbu- Mini Project EXcel Clean'!F728:F1727,"Entry Level",0)</f>
        <v>58.4</v>
      </c>
      <c r="F728">
        <f>_xlfn.XLOOKUP(A728,'Subbu- Mini Project EXcel Clean'!A728:A1727,'Subbu- Mini Project EXcel Clean'!G728:G1727," ",0)</f>
        <v>53.05</v>
      </c>
      <c r="G728" t="str">
        <f>_xlfn.XLOOKUP(A728,'Subbu- Mini Project EXcel Clean'!A728:A1727,'Subbu- Mini Project EXcel Clean'!H728:H1727," ",0)</f>
        <v>Pass</v>
      </c>
      <c r="H728" t="str">
        <f>VLOOKUP(A728,'Subbu- Mini Project EXcel Clean'!A727:R1727,18,)</f>
        <v>Bachelor</v>
      </c>
    </row>
    <row r="729" spans="1:8" x14ac:dyDescent="0.25">
      <c r="A729" t="s">
        <v>757</v>
      </c>
      <c r="B729">
        <f>VLOOKUP(A729,'Subbu- Mini Project EXcel Clean'!A728:R1728,2,FALSE)</f>
        <v>88.5</v>
      </c>
      <c r="C729">
        <f>VLOOKUP(A729,'Subbu- Mini Project EXcel Clean'!A728:R1728,3,FALSE)</f>
        <v>90</v>
      </c>
      <c r="D729">
        <f>_xlfn.XLOOKUP(A729,'Subbu- Mini Project EXcel Clean'!A729:A1728,'Subbu- Mini Project EXcel Clean'!D729:D1728,"Entry Level",0)</f>
        <v>83.4</v>
      </c>
      <c r="E729">
        <f>_xlfn.XLOOKUP(A729,'Subbu- Mini Project EXcel Clean'!A729:A1728,'Subbu- Mini Project EXcel Clean'!F729:F1728,"Entry Level",0)</f>
        <v>83.9</v>
      </c>
      <c r="F729">
        <f>_xlfn.XLOOKUP(A729,'Subbu- Mini Project EXcel Clean'!A729:A1728,'Subbu- Mini Project EXcel Clean'!G729:G1728," ",0)</f>
        <v>83.8</v>
      </c>
      <c r="G729" t="str">
        <f>_xlfn.XLOOKUP(A729,'Subbu- Mini Project EXcel Clean'!A729:A1728,'Subbu- Mini Project EXcel Clean'!H729:H1728," ",0)</f>
        <v>Pass</v>
      </c>
      <c r="H729" t="str">
        <f>VLOOKUP(A729,'Subbu- Mini Project EXcel Clean'!A728:R1728,18,)</f>
        <v>Master</v>
      </c>
    </row>
    <row r="730" spans="1:8" x14ac:dyDescent="0.25">
      <c r="A730" t="s">
        <v>758</v>
      </c>
      <c r="B730">
        <f>VLOOKUP(A730,'Subbu- Mini Project EXcel Clean'!A729:R1729,2,FALSE)</f>
        <v>51.5</v>
      </c>
      <c r="C730">
        <f>VLOOKUP(A730,'Subbu- Mini Project EXcel Clean'!A729:R1729,3,FALSE)</f>
        <v>44.3</v>
      </c>
      <c r="D730">
        <f>_xlfn.XLOOKUP(A730,'Subbu- Mini Project EXcel Clean'!A730:A1729,'Subbu- Mini Project EXcel Clean'!D730:D1729,"Entry Level",0)</f>
        <v>53.6</v>
      </c>
      <c r="E730">
        <f>_xlfn.XLOOKUP(A730,'Subbu- Mini Project EXcel Clean'!A730:A1729,'Subbu- Mini Project EXcel Clean'!F730:F1729,"Entry Level",0)</f>
        <v>51.8</v>
      </c>
      <c r="F730">
        <f>_xlfn.XLOOKUP(A730,'Subbu- Mini Project EXcel Clean'!A730:A1729,'Subbu- Mini Project EXcel Clean'!G730:G1729," ",0)</f>
        <v>51.45</v>
      </c>
      <c r="G730" t="str">
        <f>_xlfn.XLOOKUP(A730,'Subbu- Mini Project EXcel Clean'!A730:A1729,'Subbu- Mini Project EXcel Clean'!H730:H1729," ",0)</f>
        <v>Pass</v>
      </c>
      <c r="H730" t="str">
        <f>VLOOKUP(A730,'Subbu- Mini Project EXcel Clean'!A729:R1729,18,)</f>
        <v>High School</v>
      </c>
    </row>
    <row r="731" spans="1:8" x14ac:dyDescent="0.25">
      <c r="A731" t="s">
        <v>759</v>
      </c>
      <c r="B731">
        <f>VLOOKUP(A731,'Subbu- Mini Project EXcel Clean'!A730:R1730,2,FALSE)</f>
        <v>56.4</v>
      </c>
      <c r="C731">
        <f>VLOOKUP(A731,'Subbu- Mini Project EXcel Clean'!A730:R1730,3,FALSE)</f>
        <v>42.4</v>
      </c>
      <c r="D731">
        <f>_xlfn.XLOOKUP(A731,'Subbu- Mini Project EXcel Clean'!A731:A1730,'Subbu- Mini Project EXcel Clean'!D731:D1730,"Entry Level",0)</f>
        <v>46.3</v>
      </c>
      <c r="E731">
        <f>_xlfn.XLOOKUP(A731,'Subbu- Mini Project EXcel Clean'!A731:A1730,'Subbu- Mini Project EXcel Clean'!F731:F1730,"Entry Level",0)</f>
        <v>61.6</v>
      </c>
      <c r="F731">
        <f>_xlfn.XLOOKUP(A731,'Subbu- Mini Project EXcel Clean'!A731:A1730,'Subbu- Mini Project EXcel Clean'!G731:G1730," ",0)</f>
        <v>55.3</v>
      </c>
      <c r="G731" t="str">
        <f>_xlfn.XLOOKUP(A731,'Subbu- Mini Project EXcel Clean'!A731:A1730,'Subbu- Mini Project EXcel Clean'!H731:H1730," ",0)</f>
        <v>Pass</v>
      </c>
      <c r="H731" t="str">
        <f>VLOOKUP(A731,'Subbu- Mini Project EXcel Clean'!A730:R1730,18,)</f>
        <v>Master</v>
      </c>
    </row>
    <row r="732" spans="1:8" x14ac:dyDescent="0.25">
      <c r="A732" t="s">
        <v>760</v>
      </c>
      <c r="B732">
        <f>VLOOKUP(A732,'Subbu- Mini Project EXcel Clean'!A731:R1731,2,FALSE)</f>
        <v>43.3</v>
      </c>
      <c r="C732">
        <f>VLOOKUP(A732,'Subbu- Mini Project EXcel Clean'!A731:R1731,3,FALSE)</f>
        <v>51.4</v>
      </c>
      <c r="D732">
        <f>_xlfn.XLOOKUP(A732,'Subbu- Mini Project EXcel Clean'!A732:A1731,'Subbu- Mini Project EXcel Clean'!D732:D1731,"Entry Level",0)</f>
        <v>55.1</v>
      </c>
      <c r="E732">
        <f>_xlfn.XLOOKUP(A732,'Subbu- Mini Project EXcel Clean'!A732:A1731,'Subbu- Mini Project EXcel Clean'!F732:F1731,"Entry Level",0)</f>
        <v>66.099999999999994</v>
      </c>
      <c r="F732">
        <f>_xlfn.XLOOKUP(A732,'Subbu- Mini Project EXcel Clean'!A732:A1731,'Subbu- Mini Project EXcel Clean'!G732:G1731," ",0)</f>
        <v>57.55</v>
      </c>
      <c r="G732" t="str">
        <f>_xlfn.XLOOKUP(A732,'Subbu- Mini Project EXcel Clean'!A732:A1731,'Subbu- Mini Project EXcel Clean'!H732:H1731," ",0)</f>
        <v>Pass</v>
      </c>
      <c r="H732" t="str">
        <f>VLOOKUP(A732,'Subbu- Mini Project EXcel Clean'!A731:R1731,18,)</f>
        <v>Bachelor</v>
      </c>
    </row>
    <row r="733" spans="1:8" x14ac:dyDescent="0.25">
      <c r="A733" t="s">
        <v>761</v>
      </c>
      <c r="B733">
        <f>VLOOKUP(A733,'Subbu- Mini Project EXcel Clean'!A732:R1732,2,FALSE)</f>
        <v>83.8</v>
      </c>
      <c r="C733">
        <f>VLOOKUP(A733,'Subbu- Mini Project EXcel Clean'!A732:R1732,3,FALSE)</f>
        <v>87.5</v>
      </c>
      <c r="D733">
        <f>_xlfn.XLOOKUP(A733,'Subbu- Mini Project EXcel Clean'!A733:A1732,'Subbu- Mini Project EXcel Clean'!D733:D1732,"Entry Level",0)</f>
        <v>80.400000000000006</v>
      </c>
      <c r="E733">
        <f>_xlfn.XLOOKUP(A733,'Subbu- Mini Project EXcel Clean'!A733:A1732,'Subbu- Mini Project EXcel Clean'!F733:F1732,"Entry Level",0)</f>
        <v>84.7</v>
      </c>
      <c r="F733">
        <f>_xlfn.XLOOKUP(A733,'Subbu- Mini Project EXcel Clean'!A733:A1732,'Subbu- Mini Project EXcel Clean'!G733:G1732," ",0)</f>
        <v>84.75</v>
      </c>
      <c r="G733" t="str">
        <f>_xlfn.XLOOKUP(A733,'Subbu- Mini Project EXcel Clean'!A733:A1732,'Subbu- Mini Project EXcel Clean'!H733:H1732," ",0)</f>
        <v>Pass</v>
      </c>
      <c r="H733" t="str">
        <f>VLOOKUP(A733,'Subbu- Mini Project EXcel Clean'!A732:R1732,18,)</f>
        <v>Master</v>
      </c>
    </row>
    <row r="734" spans="1:8" x14ac:dyDescent="0.25">
      <c r="A734" t="s">
        <v>762</v>
      </c>
      <c r="B734">
        <f>VLOOKUP(A734,'Subbu- Mini Project EXcel Clean'!A733:R1733,2,FALSE)</f>
        <v>73</v>
      </c>
      <c r="C734">
        <f>VLOOKUP(A734,'Subbu- Mini Project EXcel Clean'!A733:R1733,3,FALSE)</f>
        <v>79.3</v>
      </c>
      <c r="D734">
        <f>_xlfn.XLOOKUP(A734,'Subbu- Mini Project EXcel Clean'!A734:A1733,'Subbu- Mini Project EXcel Clean'!D734:D1733,"Entry Level",0)</f>
        <v>85.1</v>
      </c>
      <c r="E734">
        <f>_xlfn.XLOOKUP(A734,'Subbu- Mini Project EXcel Clean'!A734:A1733,'Subbu- Mini Project EXcel Clean'!F734:F1733,"Entry Level",0)</f>
        <v>85.4</v>
      </c>
      <c r="F734">
        <f>_xlfn.XLOOKUP(A734,'Subbu- Mini Project EXcel Clean'!A734:A1733,'Subbu- Mini Project EXcel Clean'!G734:G1733," ",0)</f>
        <v>81</v>
      </c>
      <c r="G734" t="str">
        <f>_xlfn.XLOOKUP(A734,'Subbu- Mini Project EXcel Clean'!A734:A1733,'Subbu- Mini Project EXcel Clean'!H734:H1733," ",0)</f>
        <v>Pass</v>
      </c>
      <c r="H734" t="str">
        <f>VLOOKUP(A734,'Subbu- Mini Project EXcel Clean'!A733:R1733,18,)</f>
        <v>Master</v>
      </c>
    </row>
    <row r="735" spans="1:8" x14ac:dyDescent="0.25">
      <c r="A735" t="s">
        <v>763</v>
      </c>
      <c r="B735">
        <f>VLOOKUP(A735,'Subbu- Mini Project EXcel Clean'!A734:R1734,2,FALSE)</f>
        <v>59.4</v>
      </c>
      <c r="C735">
        <f>VLOOKUP(A735,'Subbu- Mini Project EXcel Clean'!A734:R1734,3,FALSE)</f>
        <v>67.5</v>
      </c>
      <c r="D735">
        <f>_xlfn.XLOOKUP(A735,'Subbu- Mini Project EXcel Clean'!A735:A1734,'Subbu- Mini Project EXcel Clean'!D735:D1734,"Entry Level",0)</f>
        <v>60</v>
      </c>
      <c r="E735">
        <f>_xlfn.XLOOKUP(A735,'Subbu- Mini Project EXcel Clean'!A735:A1734,'Subbu- Mini Project EXcel Clean'!F735:F1734,"Entry Level",0)</f>
        <v>80.900000000000006</v>
      </c>
      <c r="F735">
        <f>_xlfn.XLOOKUP(A735,'Subbu- Mini Project EXcel Clean'!A735:A1734,'Subbu- Mini Project EXcel Clean'!G735:G1734," ",0)</f>
        <v>74.849999999999994</v>
      </c>
      <c r="G735" t="str">
        <f>_xlfn.XLOOKUP(A735,'Subbu- Mini Project EXcel Clean'!A735:A1734,'Subbu- Mini Project EXcel Clean'!H735:H1734," ",0)</f>
        <v>Pass</v>
      </c>
      <c r="H735" t="str">
        <f>VLOOKUP(A735,'Subbu- Mini Project EXcel Clean'!A734:R1734,18,)</f>
        <v>Bachelor</v>
      </c>
    </row>
    <row r="736" spans="1:8" x14ac:dyDescent="0.25">
      <c r="A736" t="s">
        <v>764</v>
      </c>
      <c r="B736">
        <f>VLOOKUP(A736,'Subbu- Mini Project EXcel Clean'!A735:R1735,2,FALSE)</f>
        <v>59.3</v>
      </c>
      <c r="C736">
        <f>VLOOKUP(A736,'Subbu- Mini Project EXcel Clean'!A735:R1735,3,FALSE)</f>
        <v>59.1</v>
      </c>
      <c r="D736">
        <f>_xlfn.XLOOKUP(A736,'Subbu- Mini Project EXcel Clean'!A736:A1735,'Subbu- Mini Project EXcel Clean'!D736:D1735,"Entry Level",0)</f>
        <v>61.9</v>
      </c>
      <c r="E736">
        <f>_xlfn.XLOOKUP(A736,'Subbu- Mini Project EXcel Clean'!A736:A1735,'Subbu- Mini Project EXcel Clean'!F736:F1735,"Entry Level",0)</f>
        <v>51.8</v>
      </c>
      <c r="F736">
        <f>_xlfn.XLOOKUP(A736,'Subbu- Mini Project EXcel Clean'!A736:A1735,'Subbu- Mini Project EXcel Clean'!G736:G1735," ",0)</f>
        <v>55.75</v>
      </c>
      <c r="G736" t="str">
        <f>_xlfn.XLOOKUP(A736,'Subbu- Mini Project EXcel Clean'!A736:A1735,'Subbu- Mini Project EXcel Clean'!H736:H1735," ",0)</f>
        <v>Pass</v>
      </c>
      <c r="H736" t="str">
        <f>VLOOKUP(A736,'Subbu- Mini Project EXcel Clean'!A735:R1735,18,)</f>
        <v>Master</v>
      </c>
    </row>
    <row r="737" spans="1:8" x14ac:dyDescent="0.25">
      <c r="A737" t="s">
        <v>765</v>
      </c>
      <c r="B737">
        <f>VLOOKUP(A737,'Subbu- Mini Project EXcel Clean'!A736:R1736,2,FALSE)</f>
        <v>87.6</v>
      </c>
      <c r="C737">
        <f>VLOOKUP(A737,'Subbu- Mini Project EXcel Clean'!A736:R1736,3,FALSE)</f>
        <v>89.9</v>
      </c>
      <c r="D737">
        <f>_xlfn.XLOOKUP(A737,'Subbu- Mini Project EXcel Clean'!A737:A1736,'Subbu- Mini Project EXcel Clean'!D737:D1736,"Entry Level",0)</f>
        <v>90.6</v>
      </c>
      <c r="E737">
        <f>_xlfn.XLOOKUP(A737,'Subbu- Mini Project EXcel Clean'!A737:A1736,'Subbu- Mini Project EXcel Clean'!F737:F1736,"Entry Level",0)</f>
        <v>66.7</v>
      </c>
      <c r="F737">
        <f>_xlfn.XLOOKUP(A737,'Subbu- Mini Project EXcel Clean'!A737:A1736,'Subbu- Mini Project EXcel Clean'!G737:G1736," ",0)</f>
        <v>77.45</v>
      </c>
      <c r="G737" t="str">
        <f>_xlfn.XLOOKUP(A737,'Subbu- Mini Project EXcel Clean'!A737:A1736,'Subbu- Mini Project EXcel Clean'!H737:H1736," ",0)</f>
        <v>Pass</v>
      </c>
      <c r="H737" t="str">
        <f>VLOOKUP(A737,'Subbu- Mini Project EXcel Clean'!A736:R1736,18,)</f>
        <v>Master</v>
      </c>
    </row>
    <row r="738" spans="1:8" x14ac:dyDescent="0.25">
      <c r="A738" t="s">
        <v>766</v>
      </c>
      <c r="B738">
        <f>VLOOKUP(A738,'Subbu- Mini Project EXcel Clean'!A737:R1737,2,FALSE)</f>
        <v>69.2</v>
      </c>
      <c r="C738">
        <f>VLOOKUP(A738,'Subbu- Mini Project EXcel Clean'!A737:R1737,3,FALSE)</f>
        <v>62</v>
      </c>
      <c r="D738">
        <f>_xlfn.XLOOKUP(A738,'Subbu- Mini Project EXcel Clean'!A738:A1737,'Subbu- Mini Project EXcel Clean'!D738:D1737,"Entry Level",0)</f>
        <v>57.6</v>
      </c>
      <c r="E738">
        <f>_xlfn.XLOOKUP(A738,'Subbu- Mini Project EXcel Clean'!A738:A1737,'Subbu- Mini Project EXcel Clean'!F738:F1737,"Entry Level",0)</f>
        <v>74.2</v>
      </c>
      <c r="F738">
        <f>_xlfn.XLOOKUP(A738,'Subbu- Mini Project EXcel Clean'!A738:A1737,'Subbu- Mini Project EXcel Clean'!G738:G1737," ",0)</f>
        <v>67.900000000000006</v>
      </c>
      <c r="G738" t="str">
        <f>_xlfn.XLOOKUP(A738,'Subbu- Mini Project EXcel Clean'!A738:A1737,'Subbu- Mini Project EXcel Clean'!H738:H1737," ",0)</f>
        <v>Pass</v>
      </c>
      <c r="H738" t="str">
        <f>VLOOKUP(A738,'Subbu- Mini Project EXcel Clean'!A737:R1737,18,)</f>
        <v>High School</v>
      </c>
    </row>
    <row r="739" spans="1:8" x14ac:dyDescent="0.25">
      <c r="A739" t="s">
        <v>767</v>
      </c>
      <c r="B739">
        <f>VLOOKUP(A739,'Subbu- Mini Project EXcel Clean'!A738:R1738,2,FALSE)</f>
        <v>88.1</v>
      </c>
      <c r="C739">
        <f>VLOOKUP(A739,'Subbu- Mini Project EXcel Clean'!A738:R1738,3,FALSE)</f>
        <v>73.8</v>
      </c>
      <c r="D739">
        <f>_xlfn.XLOOKUP(A739,'Subbu- Mini Project EXcel Clean'!A739:A1738,'Subbu- Mini Project EXcel Clean'!D739:D1738,"Entry Level",0)</f>
        <v>87</v>
      </c>
      <c r="E739">
        <f>_xlfn.XLOOKUP(A739,'Subbu- Mini Project EXcel Clean'!A739:A1738,'Subbu- Mini Project EXcel Clean'!F739:F1738,"Entry Level",0)</f>
        <v>88</v>
      </c>
      <c r="F739">
        <f>_xlfn.XLOOKUP(A739,'Subbu- Mini Project EXcel Clean'!A739:A1738,'Subbu- Mini Project EXcel Clean'!G739:G1738," ",0)</f>
        <v>86.45</v>
      </c>
      <c r="G739" t="str">
        <f>_xlfn.XLOOKUP(A739,'Subbu- Mini Project EXcel Clean'!A739:A1738,'Subbu- Mini Project EXcel Clean'!H739:H1738," ",0)</f>
        <v>Pass</v>
      </c>
      <c r="H739" t="str">
        <f>VLOOKUP(A739,'Subbu- Mini Project EXcel Clean'!A738:R1738,18,)</f>
        <v>Master</v>
      </c>
    </row>
    <row r="740" spans="1:8" x14ac:dyDescent="0.25">
      <c r="A740" t="s">
        <v>768</v>
      </c>
      <c r="B740">
        <f>VLOOKUP(A740,'Subbu- Mini Project EXcel Clean'!A739:R1739,2,FALSE)</f>
        <v>59</v>
      </c>
      <c r="C740">
        <f>VLOOKUP(A740,'Subbu- Mini Project EXcel Clean'!A739:R1739,3,FALSE)</f>
        <v>63</v>
      </c>
      <c r="D740">
        <f>_xlfn.XLOOKUP(A740,'Subbu- Mini Project EXcel Clean'!A740:A1739,'Subbu- Mini Project EXcel Clean'!D740:D1739,"Entry Level",0)</f>
        <v>70.599999999999994</v>
      </c>
      <c r="E740">
        <f>_xlfn.XLOOKUP(A740,'Subbu- Mini Project EXcel Clean'!A740:A1739,'Subbu- Mini Project EXcel Clean'!F740:F1739,"Entry Level",0)</f>
        <v>60.9</v>
      </c>
      <c r="F740">
        <f>_xlfn.XLOOKUP(A740,'Subbu- Mini Project EXcel Clean'!A740:A1739,'Subbu- Mini Project EXcel Clean'!G740:G1739," ",0)</f>
        <v>62.55</v>
      </c>
      <c r="G740" t="str">
        <f>_xlfn.XLOOKUP(A740,'Subbu- Mini Project EXcel Clean'!A740:A1739,'Subbu- Mini Project EXcel Clean'!H740:H1739," ",0)</f>
        <v>Pass</v>
      </c>
      <c r="H740" t="str">
        <f>VLOOKUP(A740,'Subbu- Mini Project EXcel Clean'!A739:R1739,18,)</f>
        <v>High School</v>
      </c>
    </row>
    <row r="741" spans="1:8" x14ac:dyDescent="0.25">
      <c r="A741" t="s">
        <v>769</v>
      </c>
      <c r="B741">
        <f>VLOOKUP(A741,'Subbu- Mini Project EXcel Clean'!A740:R1740,2,FALSE)</f>
        <v>70</v>
      </c>
      <c r="C741">
        <f>VLOOKUP(A741,'Subbu- Mini Project EXcel Clean'!A740:R1740,3,FALSE)</f>
        <v>56.5</v>
      </c>
      <c r="D741">
        <f>_xlfn.XLOOKUP(A741,'Subbu- Mini Project EXcel Clean'!A741:A1740,'Subbu- Mini Project EXcel Clean'!D741:D1740,"Entry Level",0)</f>
        <v>49.6</v>
      </c>
      <c r="E741">
        <f>_xlfn.XLOOKUP(A741,'Subbu- Mini Project EXcel Clean'!A741:A1740,'Subbu- Mini Project EXcel Clean'!F741:F1740,"Entry Level",0)</f>
        <v>63.3</v>
      </c>
      <c r="F741">
        <f>_xlfn.XLOOKUP(A741,'Subbu- Mini Project EXcel Clean'!A741:A1740,'Subbu- Mini Project EXcel Clean'!G741:G1740," ",0)</f>
        <v>62</v>
      </c>
      <c r="G741" t="str">
        <f>_xlfn.XLOOKUP(A741,'Subbu- Mini Project EXcel Clean'!A741:A1740,'Subbu- Mini Project EXcel Clean'!H741:H1740," ",0)</f>
        <v>Pass</v>
      </c>
      <c r="H741" t="str">
        <f>VLOOKUP(A741,'Subbu- Mini Project EXcel Clean'!A740:R1740,18,)</f>
        <v>Bachelor</v>
      </c>
    </row>
    <row r="742" spans="1:8" x14ac:dyDescent="0.25">
      <c r="A742" t="s">
        <v>770</v>
      </c>
      <c r="B742">
        <f>VLOOKUP(A742,'Subbu- Mini Project EXcel Clean'!A741:R1741,2,FALSE)</f>
        <v>71.599999999999994</v>
      </c>
      <c r="C742">
        <f>VLOOKUP(A742,'Subbu- Mini Project EXcel Clean'!A741:R1741,3,FALSE)</f>
        <v>66.3</v>
      </c>
      <c r="D742">
        <f>_xlfn.XLOOKUP(A742,'Subbu- Mini Project EXcel Clean'!A742:A1741,'Subbu- Mini Project EXcel Clean'!D742:D1741,"Entry Level",0)</f>
        <v>68</v>
      </c>
      <c r="E742">
        <f>_xlfn.XLOOKUP(A742,'Subbu- Mini Project EXcel Clean'!A742:A1741,'Subbu- Mini Project EXcel Clean'!F742:F1741,"Entry Level",0)</f>
        <v>69.3</v>
      </c>
      <c r="F742">
        <f>_xlfn.XLOOKUP(A742,'Subbu- Mini Project EXcel Clean'!A742:A1741,'Subbu- Mini Project EXcel Clean'!G742:G1741," ",0)</f>
        <v>67.349999999999994</v>
      </c>
      <c r="G742" t="str">
        <f>_xlfn.XLOOKUP(A742,'Subbu- Mini Project EXcel Clean'!A742:A1741,'Subbu- Mini Project EXcel Clean'!H742:H1741," ",0)</f>
        <v>Pass</v>
      </c>
      <c r="H742" t="str">
        <f>VLOOKUP(A742,'Subbu- Mini Project EXcel Clean'!A741:R1741,18,)</f>
        <v>High School</v>
      </c>
    </row>
    <row r="743" spans="1:8" x14ac:dyDescent="0.25">
      <c r="A743" t="s">
        <v>771</v>
      </c>
      <c r="B743">
        <f>VLOOKUP(A743,'Subbu- Mini Project EXcel Clean'!A742:R1742,2,FALSE)</f>
        <v>59.5</v>
      </c>
      <c r="C743">
        <f>VLOOKUP(A743,'Subbu- Mini Project EXcel Clean'!A742:R1742,3,FALSE)</f>
        <v>71.5</v>
      </c>
      <c r="D743">
        <f>_xlfn.XLOOKUP(A743,'Subbu- Mini Project EXcel Clean'!A743:A1742,'Subbu- Mini Project EXcel Clean'!D743:D1742,"Entry Level",0)</f>
        <v>44.1</v>
      </c>
      <c r="E743">
        <f>_xlfn.XLOOKUP(A743,'Subbu- Mini Project EXcel Clean'!A743:A1742,'Subbu- Mini Project EXcel Clean'!F743:F1742,"Entry Level",0)</f>
        <v>58.7</v>
      </c>
      <c r="F743">
        <f>_xlfn.XLOOKUP(A743,'Subbu- Mini Project EXcel Clean'!A743:A1742,'Subbu- Mini Project EXcel Clean'!G743:G1742," ",0)</f>
        <v>57.65</v>
      </c>
      <c r="G743" t="str">
        <f>_xlfn.XLOOKUP(A743,'Subbu- Mini Project EXcel Clean'!A743:A1742,'Subbu- Mini Project EXcel Clean'!H743:H1742," ",0)</f>
        <v>Pass</v>
      </c>
      <c r="H743" t="str">
        <f>VLOOKUP(A743,'Subbu- Mini Project EXcel Clean'!A742:R1742,18,)</f>
        <v>Master</v>
      </c>
    </row>
    <row r="744" spans="1:8" x14ac:dyDescent="0.25">
      <c r="A744" t="s">
        <v>772</v>
      </c>
      <c r="B744">
        <f>VLOOKUP(A744,'Subbu- Mini Project EXcel Clean'!A743:R1743,2,FALSE)</f>
        <v>80</v>
      </c>
      <c r="C744">
        <f>VLOOKUP(A744,'Subbu- Mini Project EXcel Clean'!A743:R1743,3,FALSE)</f>
        <v>83</v>
      </c>
      <c r="D744">
        <f>_xlfn.XLOOKUP(A744,'Subbu- Mini Project EXcel Clean'!A744:A1743,'Subbu- Mini Project EXcel Clean'!D744:D1743,"Entry Level",0)</f>
        <v>76.3</v>
      </c>
      <c r="E744">
        <f>_xlfn.XLOOKUP(A744,'Subbu- Mini Project EXcel Clean'!A744:A1743,'Subbu- Mini Project EXcel Clean'!F744:F1743,"Entry Level",0)</f>
        <v>92.4</v>
      </c>
      <c r="F744">
        <f>_xlfn.XLOOKUP(A744,'Subbu- Mini Project EXcel Clean'!A744:A1743,'Subbu- Mini Project EXcel Clean'!G744:G1743," ",0)</f>
        <v>86.75</v>
      </c>
      <c r="G744" t="str">
        <f>_xlfn.XLOOKUP(A744,'Subbu- Mini Project EXcel Clean'!A744:A1743,'Subbu- Mini Project EXcel Clean'!H744:H1743," ",0)</f>
        <v>Pass</v>
      </c>
      <c r="H744" t="str">
        <f>VLOOKUP(A744,'Subbu- Mini Project EXcel Clean'!A743:R1743,18,)</f>
        <v>Bachelor</v>
      </c>
    </row>
    <row r="745" spans="1:8" x14ac:dyDescent="0.25">
      <c r="A745" t="s">
        <v>773</v>
      </c>
      <c r="B745">
        <f>VLOOKUP(A745,'Subbu- Mini Project EXcel Clean'!A744:R1744,2,FALSE)</f>
        <v>62.9</v>
      </c>
      <c r="C745">
        <f>VLOOKUP(A745,'Subbu- Mini Project EXcel Clean'!A744:R1744,3,FALSE)</f>
        <v>66.099999999999994</v>
      </c>
      <c r="D745">
        <f>_xlfn.XLOOKUP(A745,'Subbu- Mini Project EXcel Clean'!A745:A1744,'Subbu- Mini Project EXcel Clean'!D745:D1744,"Entry Level",0)</f>
        <v>75.8</v>
      </c>
      <c r="E745">
        <f>_xlfn.XLOOKUP(A745,'Subbu- Mini Project EXcel Clean'!A745:A1744,'Subbu- Mini Project EXcel Clean'!F745:F1744,"Entry Level",0)</f>
        <v>79.2</v>
      </c>
      <c r="F745">
        <f>_xlfn.XLOOKUP(A745,'Subbu- Mini Project EXcel Clean'!A745:A1744,'Subbu- Mini Project EXcel Clean'!G745:G1744," ",0)</f>
        <v>73.400000000000006</v>
      </c>
      <c r="G745" t="str">
        <f>_xlfn.XLOOKUP(A745,'Subbu- Mini Project EXcel Clean'!A745:A1744,'Subbu- Mini Project EXcel Clean'!H745:H1744," ",0)</f>
        <v>Pass</v>
      </c>
      <c r="H745" t="str">
        <f>VLOOKUP(A745,'Subbu- Mini Project EXcel Clean'!A744:R1744,18,)</f>
        <v>Master</v>
      </c>
    </row>
    <row r="746" spans="1:8" x14ac:dyDescent="0.25">
      <c r="A746" t="s">
        <v>774</v>
      </c>
      <c r="B746">
        <f>VLOOKUP(A746,'Subbu- Mini Project EXcel Clean'!A745:R1745,2,FALSE)</f>
        <v>50.9</v>
      </c>
      <c r="C746">
        <f>VLOOKUP(A746,'Subbu- Mini Project EXcel Clean'!A745:R1745,3,FALSE)</f>
        <v>57.4</v>
      </c>
      <c r="D746">
        <f>_xlfn.XLOOKUP(A746,'Subbu- Mini Project EXcel Clean'!A746:A1745,'Subbu- Mini Project EXcel Clean'!D746:D1745,"Entry Level",0)</f>
        <v>49.9</v>
      </c>
      <c r="E746">
        <f>_xlfn.XLOOKUP(A746,'Subbu- Mini Project EXcel Clean'!A746:A1745,'Subbu- Mini Project EXcel Clean'!F746:F1745,"Entry Level",0)</f>
        <v>53.3</v>
      </c>
      <c r="F746">
        <f>_xlfn.XLOOKUP(A746,'Subbu- Mini Project EXcel Clean'!A746:A1745,'Subbu- Mini Project EXcel Clean'!G746:G1745," ",0)</f>
        <v>53.05</v>
      </c>
      <c r="G746" t="str">
        <f>_xlfn.XLOOKUP(A746,'Subbu- Mini Project EXcel Clean'!A746:A1745,'Subbu- Mini Project EXcel Clean'!H746:H1745," ",0)</f>
        <v>Pass</v>
      </c>
      <c r="H746" t="str">
        <f>VLOOKUP(A746,'Subbu- Mini Project EXcel Clean'!A745:R1745,18,)</f>
        <v>Master</v>
      </c>
    </row>
    <row r="747" spans="1:8" x14ac:dyDescent="0.25">
      <c r="A747" t="s">
        <v>775</v>
      </c>
      <c r="B747">
        <f>VLOOKUP(A747,'Subbu- Mini Project EXcel Clean'!A746:R1746,2,FALSE)</f>
        <v>94.9</v>
      </c>
      <c r="C747">
        <f>VLOOKUP(A747,'Subbu- Mini Project EXcel Clean'!A746:R1746,3,FALSE)</f>
        <v>91.9</v>
      </c>
      <c r="D747">
        <f>_xlfn.XLOOKUP(A747,'Subbu- Mini Project EXcel Clean'!A747:A1746,'Subbu- Mini Project EXcel Clean'!D747:D1746,"Entry Level",0)</f>
        <v>83.6</v>
      </c>
      <c r="E747">
        <f>_xlfn.XLOOKUP(A747,'Subbu- Mini Project EXcel Clean'!A747:A1746,'Subbu- Mini Project EXcel Clean'!F747:F1746,"Entry Level",0)</f>
        <v>77.3</v>
      </c>
      <c r="F747">
        <f>_xlfn.XLOOKUP(A747,'Subbu- Mini Project EXcel Clean'!A747:A1746,'Subbu- Mini Project EXcel Clean'!G747:G1746," ",0)</f>
        <v>83.4</v>
      </c>
      <c r="G747" t="str">
        <f>_xlfn.XLOOKUP(A747,'Subbu- Mini Project EXcel Clean'!A747:A1746,'Subbu- Mini Project EXcel Clean'!H747:H1746," ",0)</f>
        <v>Pass</v>
      </c>
      <c r="H747" t="str">
        <f>VLOOKUP(A747,'Subbu- Mini Project EXcel Clean'!A746:R1746,18,)</f>
        <v>High School</v>
      </c>
    </row>
    <row r="748" spans="1:8" x14ac:dyDescent="0.25">
      <c r="A748" t="s">
        <v>776</v>
      </c>
      <c r="B748">
        <f>VLOOKUP(A748,'Subbu- Mini Project EXcel Clean'!A747:R1747,2,FALSE)</f>
        <v>70.5</v>
      </c>
      <c r="C748">
        <f>VLOOKUP(A748,'Subbu- Mini Project EXcel Clean'!A747:R1747,3,FALSE)</f>
        <v>63.2</v>
      </c>
      <c r="D748">
        <f>_xlfn.XLOOKUP(A748,'Subbu- Mini Project EXcel Clean'!A748:A1747,'Subbu- Mini Project EXcel Clean'!D748:D1747,"Entry Level",0)</f>
        <v>60.1</v>
      </c>
      <c r="E748">
        <f>_xlfn.XLOOKUP(A748,'Subbu- Mini Project EXcel Clean'!A748:A1747,'Subbu- Mini Project EXcel Clean'!F748:F1747,"Entry Level",0)</f>
        <v>78.3</v>
      </c>
      <c r="F748">
        <f>_xlfn.XLOOKUP(A748,'Subbu- Mini Project EXcel Clean'!A748:A1747,'Subbu- Mini Project EXcel Clean'!G748:G1747," ",0)</f>
        <v>69.7</v>
      </c>
      <c r="G748" t="str">
        <f>_xlfn.XLOOKUP(A748,'Subbu- Mini Project EXcel Clean'!A748:A1747,'Subbu- Mini Project EXcel Clean'!H748:H1747," ",0)</f>
        <v>Pass</v>
      </c>
      <c r="H748" t="str">
        <f>VLOOKUP(A748,'Subbu- Mini Project EXcel Clean'!A747:R1747,18,)</f>
        <v>Master</v>
      </c>
    </row>
    <row r="749" spans="1:8" x14ac:dyDescent="0.25">
      <c r="A749" t="s">
        <v>777</v>
      </c>
      <c r="B749">
        <f>VLOOKUP(A749,'Subbu- Mini Project EXcel Clean'!A748:R1748,2,FALSE)</f>
        <v>77.599999999999994</v>
      </c>
      <c r="C749">
        <f>VLOOKUP(A749,'Subbu- Mini Project EXcel Clean'!A748:R1748,3,FALSE)</f>
        <v>72.900000000000006</v>
      </c>
      <c r="D749">
        <f>_xlfn.XLOOKUP(A749,'Subbu- Mini Project EXcel Clean'!A749:A1748,'Subbu- Mini Project EXcel Clean'!D749:D1748,"Entry Level",0)</f>
        <v>80.2</v>
      </c>
      <c r="E749">
        <f>_xlfn.XLOOKUP(A749,'Subbu- Mini Project EXcel Clean'!A749:A1748,'Subbu- Mini Project EXcel Clean'!F749:F1748,"Entry Level",0)</f>
        <v>72.099999999999994</v>
      </c>
      <c r="F749">
        <f>_xlfn.XLOOKUP(A749,'Subbu- Mini Project EXcel Clean'!A749:A1748,'Subbu- Mini Project EXcel Clean'!G749:G1748," ",0)</f>
        <v>71</v>
      </c>
      <c r="G749" t="str">
        <f>_xlfn.XLOOKUP(A749,'Subbu- Mini Project EXcel Clean'!A749:A1748,'Subbu- Mini Project EXcel Clean'!H749:H1748," ",0)</f>
        <v>Pass</v>
      </c>
      <c r="H749" t="str">
        <f>VLOOKUP(A749,'Subbu- Mini Project EXcel Clean'!A748:R1748,18,)</f>
        <v>High School</v>
      </c>
    </row>
    <row r="750" spans="1:8" x14ac:dyDescent="0.25">
      <c r="A750" t="s">
        <v>778</v>
      </c>
      <c r="B750">
        <f>VLOOKUP(A750,'Subbu- Mini Project EXcel Clean'!A749:R1749,2,FALSE)</f>
        <v>87.4</v>
      </c>
      <c r="C750">
        <f>VLOOKUP(A750,'Subbu- Mini Project EXcel Clean'!A749:R1749,3,FALSE)</f>
        <v>100.1</v>
      </c>
      <c r="D750">
        <f>_xlfn.XLOOKUP(A750,'Subbu- Mini Project EXcel Clean'!A750:A1749,'Subbu- Mini Project EXcel Clean'!D750:D1749,"Entry Level",0)</f>
        <v>80.7</v>
      </c>
      <c r="E750">
        <f>_xlfn.XLOOKUP(A750,'Subbu- Mini Project EXcel Clean'!A750:A1749,'Subbu- Mini Project EXcel Clean'!F750:F1749,"Entry Level",0)</f>
        <v>92.7</v>
      </c>
      <c r="F750">
        <f>_xlfn.XLOOKUP(A750,'Subbu- Mini Project EXcel Clean'!A750:A1749,'Subbu- Mini Project EXcel Clean'!G750:G1749," ",0)</f>
        <v>91.3</v>
      </c>
      <c r="G750" t="str">
        <f>_xlfn.XLOOKUP(A750,'Subbu- Mini Project EXcel Clean'!A750:A1749,'Subbu- Mini Project EXcel Clean'!H750:H1749," ",0)</f>
        <v>Pass</v>
      </c>
      <c r="H750" t="str">
        <f>VLOOKUP(A750,'Subbu- Mini Project EXcel Clean'!A749:R1749,18,)</f>
        <v>Bachelor</v>
      </c>
    </row>
    <row r="751" spans="1:8" x14ac:dyDescent="0.25">
      <c r="A751" t="s">
        <v>779</v>
      </c>
      <c r="B751">
        <f>VLOOKUP(A751,'Subbu- Mini Project EXcel Clean'!A750:R1750,2,FALSE)</f>
        <v>68.7</v>
      </c>
      <c r="C751">
        <f>VLOOKUP(A751,'Subbu- Mini Project EXcel Clean'!A750:R1750,3,FALSE)</f>
        <v>68.7</v>
      </c>
      <c r="D751">
        <f>_xlfn.XLOOKUP(A751,'Subbu- Mini Project EXcel Clean'!A751:A1750,'Subbu- Mini Project EXcel Clean'!D751:D1750,"Entry Level",0)</f>
        <v>69.099999999999994</v>
      </c>
      <c r="E751">
        <f>_xlfn.XLOOKUP(A751,'Subbu- Mini Project EXcel Clean'!A751:A1750,'Subbu- Mini Project EXcel Clean'!F751:F1750,"Entry Level",0)</f>
        <v>64.2</v>
      </c>
      <c r="F751">
        <f>_xlfn.XLOOKUP(A751,'Subbu- Mini Project EXcel Clean'!A751:A1750,'Subbu- Mini Project EXcel Clean'!G751:G1750," ",0)</f>
        <v>69.25</v>
      </c>
      <c r="G751" t="str">
        <f>_xlfn.XLOOKUP(A751,'Subbu- Mini Project EXcel Clean'!A751:A1750,'Subbu- Mini Project EXcel Clean'!H751:H1750," ",0)</f>
        <v>Pass</v>
      </c>
      <c r="H751" t="str">
        <f>VLOOKUP(A751,'Subbu- Mini Project EXcel Clean'!A750:R1750,18,)</f>
        <v>Bachelor</v>
      </c>
    </row>
    <row r="752" spans="1:8" x14ac:dyDescent="0.25">
      <c r="A752" t="s">
        <v>780</v>
      </c>
      <c r="B752">
        <f>VLOOKUP(A752,'Subbu- Mini Project EXcel Clean'!A751:R1751,2,FALSE)</f>
        <v>47.1</v>
      </c>
      <c r="C752">
        <f>VLOOKUP(A752,'Subbu- Mini Project EXcel Clean'!A751:R1751,3,FALSE)</f>
        <v>48.8</v>
      </c>
      <c r="D752">
        <f>_xlfn.XLOOKUP(A752,'Subbu- Mini Project EXcel Clean'!A752:A1751,'Subbu- Mini Project EXcel Clean'!D752:D1751,"Entry Level",0)</f>
        <v>53.9</v>
      </c>
      <c r="E752">
        <f>_xlfn.XLOOKUP(A752,'Subbu- Mini Project EXcel Clean'!A752:A1751,'Subbu- Mini Project EXcel Clean'!F752:F1751,"Entry Level",0)</f>
        <v>52.8</v>
      </c>
      <c r="F752">
        <f>_xlfn.XLOOKUP(A752,'Subbu- Mini Project EXcel Clean'!A752:A1751,'Subbu- Mini Project EXcel Clean'!G752:G1751," ",0)</f>
        <v>49.6</v>
      </c>
      <c r="G752" t="str">
        <f>_xlfn.XLOOKUP(A752,'Subbu- Mini Project EXcel Clean'!A752:A1751,'Subbu- Mini Project EXcel Clean'!H752:H1751," ",0)</f>
        <v>Fail</v>
      </c>
      <c r="H752" t="str">
        <f>VLOOKUP(A752,'Subbu- Mini Project EXcel Clean'!A751:R1751,18,)</f>
        <v>Master</v>
      </c>
    </row>
    <row r="753" spans="1:8" x14ac:dyDescent="0.25">
      <c r="A753" t="s">
        <v>781</v>
      </c>
      <c r="B753">
        <f>VLOOKUP(A753,'Subbu- Mini Project EXcel Clean'!A752:R1752,2,FALSE)</f>
        <v>82.8</v>
      </c>
      <c r="C753">
        <f>VLOOKUP(A753,'Subbu- Mini Project EXcel Clean'!A752:R1752,3,FALSE)</f>
        <v>87.1</v>
      </c>
      <c r="D753">
        <f>_xlfn.XLOOKUP(A753,'Subbu- Mini Project EXcel Clean'!A753:A1752,'Subbu- Mini Project EXcel Clean'!D753:D1752,"Entry Level",0)</f>
        <v>101</v>
      </c>
      <c r="E753">
        <f>_xlfn.XLOOKUP(A753,'Subbu- Mini Project EXcel Clean'!A753:A1752,'Subbu- Mini Project EXcel Clean'!F753:F1752,"Entry Level",0)</f>
        <v>89.7</v>
      </c>
      <c r="F753">
        <f>_xlfn.XLOOKUP(A753,'Subbu- Mini Project EXcel Clean'!A753:A1752,'Subbu- Mini Project EXcel Clean'!G753:G1752," ",0)</f>
        <v>90.7</v>
      </c>
      <c r="G753" t="str">
        <f>_xlfn.XLOOKUP(A753,'Subbu- Mini Project EXcel Clean'!A753:A1752,'Subbu- Mini Project EXcel Clean'!H753:H1752," ",0)</f>
        <v>Pass</v>
      </c>
      <c r="H753" t="str">
        <f>VLOOKUP(A753,'Subbu- Mini Project EXcel Clean'!A752:R1752,18,)</f>
        <v>High School</v>
      </c>
    </row>
    <row r="754" spans="1:8" x14ac:dyDescent="0.25">
      <c r="A754" t="s">
        <v>782</v>
      </c>
      <c r="B754">
        <f>VLOOKUP(A754,'Subbu- Mini Project EXcel Clean'!A753:R1753,2,FALSE)</f>
        <v>76.099999999999994</v>
      </c>
      <c r="C754">
        <f>VLOOKUP(A754,'Subbu- Mini Project EXcel Clean'!A753:R1753,3,FALSE)</f>
        <v>77.3</v>
      </c>
      <c r="D754">
        <f>_xlfn.XLOOKUP(A754,'Subbu- Mini Project EXcel Clean'!A754:A1753,'Subbu- Mini Project EXcel Clean'!D754:D1753,"Entry Level",0)</f>
        <v>74</v>
      </c>
      <c r="E754">
        <f>_xlfn.XLOOKUP(A754,'Subbu- Mini Project EXcel Clean'!A754:A1753,'Subbu- Mini Project EXcel Clean'!F754:F1753,"Entry Level",0)</f>
        <v>85.4</v>
      </c>
      <c r="F754">
        <f>_xlfn.XLOOKUP(A754,'Subbu- Mini Project EXcel Clean'!A754:A1753,'Subbu- Mini Project EXcel Clean'!G754:G1753," ",0)</f>
        <v>79.95</v>
      </c>
      <c r="G754" t="str">
        <f>_xlfn.XLOOKUP(A754,'Subbu- Mini Project EXcel Clean'!A754:A1753,'Subbu- Mini Project EXcel Clean'!H754:H1753," ",0)</f>
        <v>Pass</v>
      </c>
      <c r="H754" t="str">
        <f>VLOOKUP(A754,'Subbu- Mini Project EXcel Clean'!A753:R1753,18,)</f>
        <v>Master</v>
      </c>
    </row>
    <row r="755" spans="1:8" x14ac:dyDescent="0.25">
      <c r="A755" t="s">
        <v>783</v>
      </c>
      <c r="B755">
        <f>VLOOKUP(A755,'Subbu- Mini Project EXcel Clean'!A754:R1754,2,FALSE)</f>
        <v>57.7</v>
      </c>
      <c r="C755">
        <f>VLOOKUP(A755,'Subbu- Mini Project EXcel Clean'!A754:R1754,3,FALSE)</f>
        <v>53.8</v>
      </c>
      <c r="D755">
        <f>_xlfn.XLOOKUP(A755,'Subbu- Mini Project EXcel Clean'!A755:A1754,'Subbu- Mini Project EXcel Clean'!D755:D1754,"Entry Level",0)</f>
        <v>52.2</v>
      </c>
      <c r="E755">
        <f>_xlfn.XLOOKUP(A755,'Subbu- Mini Project EXcel Clean'!A755:A1754,'Subbu- Mini Project EXcel Clean'!F755:F1754,"Entry Level",0)</f>
        <v>66.5</v>
      </c>
      <c r="F755">
        <f>_xlfn.XLOOKUP(A755,'Subbu- Mini Project EXcel Clean'!A755:A1754,'Subbu- Mini Project EXcel Clean'!G755:G1754," ",0)</f>
        <v>62.45</v>
      </c>
      <c r="G755" t="str">
        <f>_xlfn.XLOOKUP(A755,'Subbu- Mini Project EXcel Clean'!A755:A1754,'Subbu- Mini Project EXcel Clean'!H755:H1754," ",0)</f>
        <v>Pass</v>
      </c>
      <c r="H755" t="str">
        <f>VLOOKUP(A755,'Subbu- Mini Project EXcel Clean'!A754:R1754,18,)</f>
        <v>Master</v>
      </c>
    </row>
    <row r="756" spans="1:8" x14ac:dyDescent="0.25">
      <c r="A756" t="s">
        <v>784</v>
      </c>
      <c r="B756">
        <f>VLOOKUP(A756,'Subbu- Mini Project EXcel Clean'!A755:R1755,2,FALSE)</f>
        <v>45.3</v>
      </c>
      <c r="C756">
        <f>VLOOKUP(A756,'Subbu- Mini Project EXcel Clean'!A755:R1755,3,FALSE)</f>
        <v>45.6</v>
      </c>
      <c r="D756">
        <f>_xlfn.XLOOKUP(A756,'Subbu- Mini Project EXcel Clean'!A756:A1755,'Subbu- Mini Project EXcel Clean'!D756:D1755,"Entry Level",0)</f>
        <v>58.1</v>
      </c>
      <c r="E756">
        <f>_xlfn.XLOOKUP(A756,'Subbu- Mini Project EXcel Clean'!A756:A1755,'Subbu- Mini Project EXcel Clean'!F756:F1755,"Entry Level",0)</f>
        <v>50.7</v>
      </c>
      <c r="F756">
        <f>_xlfn.XLOOKUP(A756,'Subbu- Mini Project EXcel Clean'!A756:A1755,'Subbu- Mini Project EXcel Clean'!G756:G1755," ",0)</f>
        <v>49.2</v>
      </c>
      <c r="G756" t="str">
        <f>_xlfn.XLOOKUP(A756,'Subbu- Mini Project EXcel Clean'!A756:A1755,'Subbu- Mini Project EXcel Clean'!H756:H1755," ",0)</f>
        <v>Fail</v>
      </c>
      <c r="H756" t="str">
        <f>VLOOKUP(A756,'Subbu- Mini Project EXcel Clean'!A755:R1755,18,)</f>
        <v>Master</v>
      </c>
    </row>
    <row r="757" spans="1:8" x14ac:dyDescent="0.25">
      <c r="A757" t="s">
        <v>785</v>
      </c>
      <c r="B757">
        <f>VLOOKUP(A757,'Subbu- Mini Project EXcel Clean'!A756:R1756,2,FALSE)</f>
        <v>75.7</v>
      </c>
      <c r="C757">
        <f>VLOOKUP(A757,'Subbu- Mini Project EXcel Clean'!A756:R1756,3,FALSE)</f>
        <v>82.2</v>
      </c>
      <c r="D757">
        <f>_xlfn.XLOOKUP(A757,'Subbu- Mini Project EXcel Clean'!A757:A1756,'Subbu- Mini Project EXcel Clean'!D757:D1756,"Entry Level",0)</f>
        <v>91.6</v>
      </c>
      <c r="E757">
        <f>_xlfn.XLOOKUP(A757,'Subbu- Mini Project EXcel Clean'!A757:A1756,'Subbu- Mini Project EXcel Clean'!F757:F1756,"Entry Level",0)</f>
        <v>85.9</v>
      </c>
      <c r="F757">
        <f>_xlfn.XLOOKUP(A757,'Subbu- Mini Project EXcel Clean'!A757:A1756,'Subbu- Mini Project EXcel Clean'!G757:G1756," ",0)</f>
        <v>84.8</v>
      </c>
      <c r="G757" t="str">
        <f>_xlfn.XLOOKUP(A757,'Subbu- Mini Project EXcel Clean'!A757:A1756,'Subbu- Mini Project EXcel Clean'!H757:H1756," ",0)</f>
        <v>Pass</v>
      </c>
      <c r="H757" t="str">
        <f>VLOOKUP(A757,'Subbu- Mini Project EXcel Clean'!A756:R1756,18,)</f>
        <v>Master</v>
      </c>
    </row>
    <row r="758" spans="1:8" x14ac:dyDescent="0.25">
      <c r="A758" t="s">
        <v>786</v>
      </c>
      <c r="B758">
        <f>VLOOKUP(A758,'Subbu- Mini Project EXcel Clean'!A757:R1757,2,FALSE)</f>
        <v>76.7</v>
      </c>
      <c r="C758">
        <f>VLOOKUP(A758,'Subbu- Mini Project EXcel Clean'!A757:R1757,3,FALSE)</f>
        <v>79</v>
      </c>
      <c r="D758">
        <f>_xlfn.XLOOKUP(A758,'Subbu- Mini Project EXcel Clean'!A758:A1757,'Subbu- Mini Project EXcel Clean'!D758:D1757,"Entry Level",0)</f>
        <v>77.5</v>
      </c>
      <c r="E758">
        <f>_xlfn.XLOOKUP(A758,'Subbu- Mini Project EXcel Clean'!A758:A1757,'Subbu- Mini Project EXcel Clean'!F758:F1757,"Entry Level",0)</f>
        <v>66.400000000000006</v>
      </c>
      <c r="F758">
        <f>_xlfn.XLOOKUP(A758,'Subbu- Mini Project EXcel Clean'!A758:A1757,'Subbu- Mini Project EXcel Clean'!G758:G1757," ",0)</f>
        <v>70.25</v>
      </c>
      <c r="G758" t="str">
        <f>_xlfn.XLOOKUP(A758,'Subbu- Mini Project EXcel Clean'!A758:A1757,'Subbu- Mini Project EXcel Clean'!H758:H1757," ",0)</f>
        <v>Pass</v>
      </c>
      <c r="H758" t="str">
        <f>VLOOKUP(A758,'Subbu- Mini Project EXcel Clean'!A757:R1757,18,)</f>
        <v>High School</v>
      </c>
    </row>
    <row r="759" spans="1:8" x14ac:dyDescent="0.25">
      <c r="A759" t="s">
        <v>787</v>
      </c>
      <c r="B759">
        <f>VLOOKUP(A759,'Subbu- Mini Project EXcel Clean'!A758:R1758,2,FALSE)</f>
        <v>66.7</v>
      </c>
      <c r="C759">
        <f>VLOOKUP(A759,'Subbu- Mini Project EXcel Clean'!A758:R1758,3,FALSE)</f>
        <v>73.900000000000006</v>
      </c>
      <c r="D759">
        <f>_xlfn.XLOOKUP(A759,'Subbu- Mini Project EXcel Clean'!A759:A1758,'Subbu- Mini Project EXcel Clean'!D759:D1758,"Entry Level",0)</f>
        <v>65.3</v>
      </c>
      <c r="E759">
        <f>_xlfn.XLOOKUP(A759,'Subbu- Mini Project EXcel Clean'!A759:A1758,'Subbu- Mini Project EXcel Clean'!F759:F1758,"Entry Level",0)</f>
        <v>65</v>
      </c>
      <c r="F759">
        <f>_xlfn.XLOOKUP(A759,'Subbu- Mini Project EXcel Clean'!A759:A1758,'Subbu- Mini Project EXcel Clean'!G759:G1758," ",0)</f>
        <v>67.150000000000006</v>
      </c>
      <c r="G759" t="str">
        <f>_xlfn.XLOOKUP(A759,'Subbu- Mini Project EXcel Clean'!A759:A1758,'Subbu- Mini Project EXcel Clean'!H759:H1758," ",0)</f>
        <v>Pass</v>
      </c>
      <c r="H759" t="str">
        <f>VLOOKUP(A759,'Subbu- Mini Project EXcel Clean'!A758:R1758,18,)</f>
        <v>Master</v>
      </c>
    </row>
    <row r="760" spans="1:8" x14ac:dyDescent="0.25">
      <c r="A760" t="s">
        <v>788</v>
      </c>
      <c r="B760">
        <f>VLOOKUP(A760,'Subbu- Mini Project EXcel Clean'!A759:R1759,2,FALSE)</f>
        <v>83.3</v>
      </c>
      <c r="C760">
        <f>VLOOKUP(A760,'Subbu- Mini Project EXcel Clean'!A759:R1759,3,FALSE)</f>
        <v>82.9</v>
      </c>
      <c r="D760">
        <f>_xlfn.XLOOKUP(A760,'Subbu- Mini Project EXcel Clean'!A760:A1759,'Subbu- Mini Project EXcel Clean'!D760:D1759,"Entry Level",0)</f>
        <v>88.9</v>
      </c>
      <c r="E760">
        <f>_xlfn.XLOOKUP(A760,'Subbu- Mini Project EXcel Clean'!A760:A1759,'Subbu- Mini Project EXcel Clean'!F760:F1759,"Entry Level",0)</f>
        <v>86.7</v>
      </c>
      <c r="F760">
        <f>_xlfn.XLOOKUP(A760,'Subbu- Mini Project EXcel Clean'!A760:A1759,'Subbu- Mini Project EXcel Clean'!G760:G1759," ",0)</f>
        <v>87.95</v>
      </c>
      <c r="G760" t="str">
        <f>_xlfn.XLOOKUP(A760,'Subbu- Mini Project EXcel Clean'!A760:A1759,'Subbu- Mini Project EXcel Clean'!H760:H1759," ",0)</f>
        <v>Pass</v>
      </c>
      <c r="H760" t="str">
        <f>VLOOKUP(A760,'Subbu- Mini Project EXcel Clean'!A759:R1759,18,)</f>
        <v>Bachelor</v>
      </c>
    </row>
    <row r="761" spans="1:8" x14ac:dyDescent="0.25">
      <c r="A761" t="s">
        <v>789</v>
      </c>
      <c r="B761">
        <f>VLOOKUP(A761,'Subbu- Mini Project EXcel Clean'!A760:R1760,2,FALSE)</f>
        <v>69</v>
      </c>
      <c r="C761">
        <f>VLOOKUP(A761,'Subbu- Mini Project EXcel Clean'!A760:R1760,3,FALSE)</f>
        <v>83.6</v>
      </c>
      <c r="D761">
        <f>_xlfn.XLOOKUP(A761,'Subbu- Mini Project EXcel Clean'!A761:A1760,'Subbu- Mini Project EXcel Clean'!D761:D1760,"Entry Level",0)</f>
        <v>82.6</v>
      </c>
      <c r="E761">
        <f>_xlfn.XLOOKUP(A761,'Subbu- Mini Project EXcel Clean'!A761:A1760,'Subbu- Mini Project EXcel Clean'!F761:F1760,"Entry Level",0)</f>
        <v>85.1</v>
      </c>
      <c r="F761">
        <f>_xlfn.XLOOKUP(A761,'Subbu- Mini Project EXcel Clean'!A761:A1760,'Subbu- Mini Project EXcel Clean'!G761:G1760," ",0)</f>
        <v>84.25</v>
      </c>
      <c r="G761" t="str">
        <f>_xlfn.XLOOKUP(A761,'Subbu- Mini Project EXcel Clean'!A761:A1760,'Subbu- Mini Project EXcel Clean'!H761:H1760," ",0)</f>
        <v>Pass</v>
      </c>
      <c r="H761" t="str">
        <f>VLOOKUP(A761,'Subbu- Mini Project EXcel Clean'!A760:R1760,18,)</f>
        <v>High School</v>
      </c>
    </row>
    <row r="762" spans="1:8" x14ac:dyDescent="0.25">
      <c r="A762" t="s">
        <v>790</v>
      </c>
      <c r="B762">
        <f>VLOOKUP(A762,'Subbu- Mini Project EXcel Clean'!A761:R1761,2,FALSE)</f>
        <v>48.2</v>
      </c>
      <c r="C762">
        <f>VLOOKUP(A762,'Subbu- Mini Project EXcel Clean'!A761:R1761,3,FALSE)</f>
        <v>44.8</v>
      </c>
      <c r="D762">
        <f>_xlfn.XLOOKUP(A762,'Subbu- Mini Project EXcel Clean'!A762:A1761,'Subbu- Mini Project EXcel Clean'!D762:D1761,"Entry Level",0)</f>
        <v>50</v>
      </c>
      <c r="E762">
        <f>_xlfn.XLOOKUP(A762,'Subbu- Mini Project EXcel Clean'!A762:A1761,'Subbu- Mini Project EXcel Clean'!F762:F1761,"Entry Level",0)</f>
        <v>66.099999999999994</v>
      </c>
      <c r="F762">
        <f>_xlfn.XLOOKUP(A762,'Subbu- Mini Project EXcel Clean'!A762:A1761,'Subbu- Mini Project EXcel Clean'!G762:G1761," ",0)</f>
        <v>57.2</v>
      </c>
      <c r="G762" t="str">
        <f>_xlfn.XLOOKUP(A762,'Subbu- Mini Project EXcel Clean'!A762:A1761,'Subbu- Mini Project EXcel Clean'!H762:H1761," ",0)</f>
        <v>Pass</v>
      </c>
      <c r="H762" t="str">
        <f>VLOOKUP(A762,'Subbu- Mini Project EXcel Clean'!A761:R1761,18,)</f>
        <v>Master</v>
      </c>
    </row>
    <row r="763" spans="1:8" x14ac:dyDescent="0.25">
      <c r="A763" t="s">
        <v>791</v>
      </c>
      <c r="B763">
        <f>VLOOKUP(A763,'Subbu- Mini Project EXcel Clean'!A762:R1762,2,FALSE)</f>
        <v>66</v>
      </c>
      <c r="C763">
        <f>VLOOKUP(A763,'Subbu- Mini Project EXcel Clean'!A762:R1762,3,FALSE)</f>
        <v>50.9</v>
      </c>
      <c r="D763">
        <f>_xlfn.XLOOKUP(A763,'Subbu- Mini Project EXcel Clean'!A763:A1762,'Subbu- Mini Project EXcel Clean'!D763:D1762,"Entry Level",0)</f>
        <v>64.400000000000006</v>
      </c>
      <c r="E763">
        <f>_xlfn.XLOOKUP(A763,'Subbu- Mini Project EXcel Clean'!A763:A1762,'Subbu- Mini Project EXcel Clean'!F763:F1762,"Entry Level",0)</f>
        <v>70.2</v>
      </c>
      <c r="F763">
        <f>_xlfn.XLOOKUP(A763,'Subbu- Mini Project EXcel Clean'!A763:A1762,'Subbu- Mini Project EXcel Clean'!G763:G1762," ",0)</f>
        <v>63.65</v>
      </c>
      <c r="G763" t="str">
        <f>_xlfn.XLOOKUP(A763,'Subbu- Mini Project EXcel Clean'!A763:A1762,'Subbu- Mini Project EXcel Clean'!H763:H1762," ",0)</f>
        <v>Pass</v>
      </c>
      <c r="H763" t="str">
        <f>VLOOKUP(A763,'Subbu- Mini Project EXcel Clean'!A762:R1762,18,)</f>
        <v>High School</v>
      </c>
    </row>
    <row r="764" spans="1:8" x14ac:dyDescent="0.25">
      <c r="A764" t="s">
        <v>792</v>
      </c>
      <c r="B764">
        <f>VLOOKUP(A764,'Subbu- Mini Project EXcel Clean'!A763:R1763,2,FALSE)</f>
        <v>62</v>
      </c>
      <c r="C764">
        <f>VLOOKUP(A764,'Subbu- Mini Project EXcel Clean'!A763:R1763,3,FALSE)</f>
        <v>52.6</v>
      </c>
      <c r="D764">
        <f>_xlfn.XLOOKUP(A764,'Subbu- Mini Project EXcel Clean'!A764:A1763,'Subbu- Mini Project EXcel Clean'!D764:D1763,"Entry Level",0)</f>
        <v>58.1</v>
      </c>
      <c r="E764">
        <f>_xlfn.XLOOKUP(A764,'Subbu- Mini Project EXcel Clean'!A764:A1763,'Subbu- Mini Project EXcel Clean'!F764:F1763,"Entry Level",0)</f>
        <v>64.599999999999994</v>
      </c>
      <c r="F764">
        <f>_xlfn.XLOOKUP(A764,'Subbu- Mini Project EXcel Clean'!A764:A1763,'Subbu- Mini Project EXcel Clean'!G764:G1763," ",0)</f>
        <v>59.15</v>
      </c>
      <c r="G764" t="str">
        <f>_xlfn.XLOOKUP(A764,'Subbu- Mini Project EXcel Clean'!A764:A1763,'Subbu- Mini Project EXcel Clean'!H764:H1763," ",0)</f>
        <v>Pass</v>
      </c>
      <c r="H764" t="str">
        <f>VLOOKUP(A764,'Subbu- Mini Project EXcel Clean'!A763:R1763,18,)</f>
        <v>Master</v>
      </c>
    </row>
    <row r="765" spans="1:8" x14ac:dyDescent="0.25">
      <c r="A765" t="s">
        <v>793</v>
      </c>
      <c r="B765">
        <f>VLOOKUP(A765,'Subbu- Mini Project EXcel Clean'!A764:R1764,2,FALSE)</f>
        <v>78.599999999999994</v>
      </c>
      <c r="C765">
        <f>VLOOKUP(A765,'Subbu- Mini Project EXcel Clean'!A764:R1764,3,FALSE)</f>
        <v>79.400000000000006</v>
      </c>
      <c r="D765">
        <f>_xlfn.XLOOKUP(A765,'Subbu- Mini Project EXcel Clean'!A765:A1764,'Subbu- Mini Project EXcel Clean'!D765:D1764,"Entry Level",0)</f>
        <v>75.5</v>
      </c>
      <c r="E765">
        <f>_xlfn.XLOOKUP(A765,'Subbu- Mini Project EXcel Clean'!A765:A1764,'Subbu- Mini Project EXcel Clean'!F765:F1764,"Entry Level",0)</f>
        <v>80.3</v>
      </c>
      <c r="F765">
        <f>_xlfn.XLOOKUP(A765,'Subbu- Mini Project EXcel Clean'!A765:A1764,'Subbu- Mini Project EXcel Clean'!G765:G1764," ",0)</f>
        <v>80.599999999999994</v>
      </c>
      <c r="G765" t="str">
        <f>_xlfn.XLOOKUP(A765,'Subbu- Mini Project EXcel Clean'!A765:A1764,'Subbu- Mini Project EXcel Clean'!H765:H1764," ",0)</f>
        <v>Pass</v>
      </c>
      <c r="H765" t="str">
        <f>VLOOKUP(A765,'Subbu- Mini Project EXcel Clean'!A764:R1764,18,)</f>
        <v>Bachelor</v>
      </c>
    </row>
    <row r="766" spans="1:8" x14ac:dyDescent="0.25">
      <c r="A766" t="s">
        <v>794</v>
      </c>
      <c r="B766">
        <f>VLOOKUP(A766,'Subbu- Mini Project EXcel Clean'!A765:R1765,2,FALSE)</f>
        <v>38.799999999999997</v>
      </c>
      <c r="C766">
        <f>VLOOKUP(A766,'Subbu- Mini Project EXcel Clean'!A765:R1765,3,FALSE)</f>
        <v>54</v>
      </c>
      <c r="D766">
        <f>_xlfn.XLOOKUP(A766,'Subbu- Mini Project EXcel Clean'!A766:A1765,'Subbu- Mini Project EXcel Clean'!D766:D1765,"Entry Level",0)</f>
        <v>48.7</v>
      </c>
      <c r="E766">
        <f>_xlfn.XLOOKUP(A766,'Subbu- Mini Project EXcel Clean'!A766:A1765,'Subbu- Mini Project EXcel Clean'!F766:F1765,"Entry Level",0)</f>
        <v>62.7</v>
      </c>
      <c r="F766">
        <f>_xlfn.XLOOKUP(A766,'Subbu- Mini Project EXcel Clean'!A766:A1765,'Subbu- Mini Project EXcel Clean'!G766:G1765," ",0)</f>
        <v>52.25</v>
      </c>
      <c r="G766" t="str">
        <f>_xlfn.XLOOKUP(A766,'Subbu- Mini Project EXcel Clean'!A766:A1765,'Subbu- Mini Project EXcel Clean'!H766:H1765," ",0)</f>
        <v>Pass</v>
      </c>
      <c r="H766" t="str">
        <f>VLOOKUP(A766,'Subbu- Mini Project EXcel Clean'!A765:R1765,18,)</f>
        <v>Bachelor</v>
      </c>
    </row>
    <row r="767" spans="1:8" x14ac:dyDescent="0.25">
      <c r="A767" t="s">
        <v>795</v>
      </c>
      <c r="B767">
        <f>VLOOKUP(A767,'Subbu- Mini Project EXcel Clean'!A766:R1766,2,FALSE)</f>
        <v>73.7</v>
      </c>
      <c r="C767">
        <f>VLOOKUP(A767,'Subbu- Mini Project EXcel Clean'!A766:R1766,3,FALSE)</f>
        <v>73.5</v>
      </c>
      <c r="D767">
        <f>_xlfn.XLOOKUP(A767,'Subbu- Mini Project EXcel Clean'!A767:A1766,'Subbu- Mini Project EXcel Clean'!D767:D1766,"Entry Level",0)</f>
        <v>72.900000000000006</v>
      </c>
      <c r="E767">
        <f>_xlfn.XLOOKUP(A767,'Subbu- Mini Project EXcel Clean'!A767:A1766,'Subbu- Mini Project EXcel Clean'!F767:F1766,"Entry Level",0)</f>
        <v>86.4</v>
      </c>
      <c r="F767">
        <f>_xlfn.XLOOKUP(A767,'Subbu- Mini Project EXcel Clean'!A767:A1766,'Subbu- Mini Project EXcel Clean'!G767:G1766," ",0)</f>
        <v>78.849999999999994</v>
      </c>
      <c r="G767" t="str">
        <f>_xlfn.XLOOKUP(A767,'Subbu- Mini Project EXcel Clean'!A767:A1766,'Subbu- Mini Project EXcel Clean'!H767:H1766," ",0)</f>
        <v>Pass</v>
      </c>
      <c r="H767" t="str">
        <f>VLOOKUP(A767,'Subbu- Mini Project EXcel Clean'!A766:R1766,18,)</f>
        <v>Bachelor</v>
      </c>
    </row>
    <row r="768" spans="1:8" x14ac:dyDescent="0.25">
      <c r="A768" t="s">
        <v>796</v>
      </c>
      <c r="B768">
        <f>VLOOKUP(A768,'Subbu- Mini Project EXcel Clean'!A767:R1767,2,FALSE)</f>
        <v>76.900000000000006</v>
      </c>
      <c r="C768">
        <f>VLOOKUP(A768,'Subbu- Mini Project EXcel Clean'!A767:R1767,3,FALSE)</f>
        <v>75</v>
      </c>
      <c r="D768">
        <f>_xlfn.XLOOKUP(A768,'Subbu- Mini Project EXcel Clean'!A768:A1767,'Subbu- Mini Project EXcel Clean'!D768:D1767,"Entry Level",0)</f>
        <v>85.4</v>
      </c>
      <c r="E768">
        <f>_xlfn.XLOOKUP(A768,'Subbu- Mini Project EXcel Clean'!A768:A1767,'Subbu- Mini Project EXcel Clean'!F768:F1767,"Entry Level",0)</f>
        <v>70.3</v>
      </c>
      <c r="F768">
        <f>_xlfn.XLOOKUP(A768,'Subbu- Mini Project EXcel Clean'!A768:A1767,'Subbu- Mini Project EXcel Clean'!G768:G1767," ",0)</f>
        <v>76.099999999999994</v>
      </c>
      <c r="G768" t="str">
        <f>_xlfn.XLOOKUP(A768,'Subbu- Mini Project EXcel Clean'!A768:A1767,'Subbu- Mini Project EXcel Clean'!H768:H1767," ",0)</f>
        <v>Pass</v>
      </c>
      <c r="H768" t="str">
        <f>VLOOKUP(A768,'Subbu- Mini Project EXcel Clean'!A767:R1767,18,)</f>
        <v>High School</v>
      </c>
    </row>
    <row r="769" spans="1:8" x14ac:dyDescent="0.25">
      <c r="A769" t="s">
        <v>797</v>
      </c>
      <c r="B769">
        <f>VLOOKUP(A769,'Subbu- Mini Project EXcel Clean'!A768:R1768,2,FALSE)</f>
        <v>89.7</v>
      </c>
      <c r="C769">
        <f>VLOOKUP(A769,'Subbu- Mini Project EXcel Clean'!A768:R1768,3,FALSE)</f>
        <v>85.4</v>
      </c>
      <c r="D769">
        <f>_xlfn.XLOOKUP(A769,'Subbu- Mini Project EXcel Clean'!A769:A1768,'Subbu- Mini Project EXcel Clean'!D769:D1768,"Entry Level",0)</f>
        <v>95.6</v>
      </c>
      <c r="E769">
        <f>_xlfn.XLOOKUP(A769,'Subbu- Mini Project EXcel Clean'!A769:A1768,'Subbu- Mini Project EXcel Clean'!F769:F1768,"Entry Level",0)</f>
        <v>99</v>
      </c>
      <c r="F769">
        <f>_xlfn.XLOOKUP(A769,'Subbu- Mini Project EXcel Clean'!A769:A1768,'Subbu- Mini Project EXcel Clean'!G769:G1768," ",0)</f>
        <v>93.6</v>
      </c>
      <c r="G769" t="str">
        <f>_xlfn.XLOOKUP(A769,'Subbu- Mini Project EXcel Clean'!A769:A1768,'Subbu- Mini Project EXcel Clean'!H769:H1768," ",0)</f>
        <v>Pass</v>
      </c>
      <c r="H769" t="str">
        <f>VLOOKUP(A769,'Subbu- Mini Project EXcel Clean'!A768:R1768,18,)</f>
        <v>Bachelor</v>
      </c>
    </row>
    <row r="770" spans="1:8" x14ac:dyDescent="0.25">
      <c r="A770" t="s">
        <v>798</v>
      </c>
      <c r="B770">
        <f>VLOOKUP(A770,'Subbu- Mini Project EXcel Clean'!A769:R1769,2,FALSE)</f>
        <v>62.6</v>
      </c>
      <c r="C770">
        <f>VLOOKUP(A770,'Subbu- Mini Project EXcel Clean'!A769:R1769,3,FALSE)</f>
        <v>63.9</v>
      </c>
      <c r="D770">
        <f>_xlfn.XLOOKUP(A770,'Subbu- Mini Project EXcel Clean'!A770:A1769,'Subbu- Mini Project EXcel Clean'!D770:D1769,"Entry Level",0)</f>
        <v>53.3</v>
      </c>
      <c r="E770">
        <f>_xlfn.XLOOKUP(A770,'Subbu- Mini Project EXcel Clean'!A770:A1769,'Subbu- Mini Project EXcel Clean'!F770:F1769,"Entry Level",0)</f>
        <v>68.599999999999994</v>
      </c>
      <c r="F770">
        <f>_xlfn.XLOOKUP(A770,'Subbu- Mini Project EXcel Clean'!A770:A1769,'Subbu- Mini Project EXcel Clean'!G770:G1769," ",0)</f>
        <v>63.7</v>
      </c>
      <c r="G770" t="str">
        <f>_xlfn.XLOOKUP(A770,'Subbu- Mini Project EXcel Clean'!A770:A1769,'Subbu- Mini Project EXcel Clean'!H770:H1769," ",0)</f>
        <v>Pass</v>
      </c>
      <c r="H770" t="str">
        <f>VLOOKUP(A770,'Subbu- Mini Project EXcel Clean'!A769:R1769,18,)</f>
        <v>Master</v>
      </c>
    </row>
    <row r="771" spans="1:8" x14ac:dyDescent="0.25">
      <c r="A771" t="s">
        <v>799</v>
      </c>
      <c r="B771">
        <f>VLOOKUP(A771,'Subbu- Mini Project EXcel Clean'!A770:R1770,2,FALSE)</f>
        <v>91.3</v>
      </c>
      <c r="C771">
        <f>VLOOKUP(A771,'Subbu- Mini Project EXcel Clean'!A770:R1770,3,FALSE)</f>
        <v>95.6</v>
      </c>
      <c r="D771">
        <f>_xlfn.XLOOKUP(A771,'Subbu- Mini Project EXcel Clean'!A771:A1770,'Subbu- Mini Project EXcel Clean'!D771:D1770,"Entry Level",0)</f>
        <v>85</v>
      </c>
      <c r="E771">
        <f>_xlfn.XLOOKUP(A771,'Subbu- Mini Project EXcel Clean'!A771:A1770,'Subbu- Mini Project EXcel Clean'!F771:F1770,"Entry Level",0)</f>
        <v>83.1</v>
      </c>
      <c r="F771">
        <f>_xlfn.XLOOKUP(A771,'Subbu- Mini Project EXcel Clean'!A771:A1770,'Subbu- Mini Project EXcel Clean'!G771:G1770," ",0)</f>
        <v>84.15</v>
      </c>
      <c r="G771" t="str">
        <f>_xlfn.XLOOKUP(A771,'Subbu- Mini Project EXcel Clean'!A771:A1770,'Subbu- Mini Project EXcel Clean'!H771:H1770," ",0)</f>
        <v>Pass</v>
      </c>
      <c r="H771" t="str">
        <f>VLOOKUP(A771,'Subbu- Mini Project EXcel Clean'!A770:R1770,18,)</f>
        <v>Master</v>
      </c>
    </row>
    <row r="772" spans="1:8" x14ac:dyDescent="0.25">
      <c r="A772" t="s">
        <v>800</v>
      </c>
      <c r="B772">
        <f>VLOOKUP(A772,'Subbu- Mini Project EXcel Clean'!A771:R1771,2,FALSE)</f>
        <v>45.6</v>
      </c>
      <c r="C772">
        <f>VLOOKUP(A772,'Subbu- Mini Project EXcel Clean'!A771:R1771,3,FALSE)</f>
        <v>38.200000000000003</v>
      </c>
      <c r="D772">
        <f>_xlfn.XLOOKUP(A772,'Subbu- Mini Project EXcel Clean'!A772:A1771,'Subbu- Mini Project EXcel Clean'!D772:D1771,"Entry Level",0)</f>
        <v>43.4</v>
      </c>
      <c r="E772">
        <f>_xlfn.XLOOKUP(A772,'Subbu- Mini Project EXcel Clean'!A772:A1771,'Subbu- Mini Project EXcel Clean'!F772:F1771,"Entry Level",0)</f>
        <v>52.4</v>
      </c>
      <c r="F772">
        <f>_xlfn.XLOOKUP(A772,'Subbu- Mini Project EXcel Clean'!A772:A1771,'Subbu- Mini Project EXcel Clean'!G772:G1771," ",0)</f>
        <v>49.25</v>
      </c>
      <c r="G772" t="str">
        <f>_xlfn.XLOOKUP(A772,'Subbu- Mini Project EXcel Clean'!A772:A1771,'Subbu- Mini Project EXcel Clean'!H772:H1771," ",0)</f>
        <v>Fail</v>
      </c>
      <c r="H772" t="str">
        <f>VLOOKUP(A772,'Subbu- Mini Project EXcel Clean'!A771:R1771,18,)</f>
        <v>Master</v>
      </c>
    </row>
    <row r="773" spans="1:8" x14ac:dyDescent="0.25">
      <c r="A773" t="s">
        <v>801</v>
      </c>
      <c r="B773">
        <f>VLOOKUP(A773,'Subbu- Mini Project EXcel Clean'!A772:R1772,2,FALSE)</f>
        <v>85.5</v>
      </c>
      <c r="C773">
        <f>VLOOKUP(A773,'Subbu- Mini Project EXcel Clean'!A772:R1772,3,FALSE)</f>
        <v>77.2</v>
      </c>
      <c r="D773">
        <f>_xlfn.XLOOKUP(A773,'Subbu- Mini Project EXcel Clean'!A773:A1772,'Subbu- Mini Project EXcel Clean'!D773:D1772,"Entry Level",0)</f>
        <v>78.7</v>
      </c>
      <c r="E773">
        <f>_xlfn.XLOOKUP(A773,'Subbu- Mini Project EXcel Clean'!A773:A1772,'Subbu- Mini Project EXcel Clean'!F773:F1772,"Entry Level",0)</f>
        <v>85.6</v>
      </c>
      <c r="F773">
        <f>_xlfn.XLOOKUP(A773,'Subbu- Mini Project EXcel Clean'!A773:A1772,'Subbu- Mini Project EXcel Clean'!G773:G1772," ",0)</f>
        <v>86.1</v>
      </c>
      <c r="G773" t="str">
        <f>_xlfn.XLOOKUP(A773,'Subbu- Mini Project EXcel Clean'!A773:A1772,'Subbu- Mini Project EXcel Clean'!H773:H1772," ",0)</f>
        <v>Pass</v>
      </c>
      <c r="H773" t="str">
        <f>VLOOKUP(A773,'Subbu- Mini Project EXcel Clean'!A772:R1772,18,)</f>
        <v>High School</v>
      </c>
    </row>
    <row r="774" spans="1:8" x14ac:dyDescent="0.25">
      <c r="A774" t="s">
        <v>802</v>
      </c>
      <c r="B774">
        <f>VLOOKUP(A774,'Subbu- Mini Project EXcel Clean'!A773:R1773,2,FALSE)</f>
        <v>42.6</v>
      </c>
      <c r="C774">
        <f>VLOOKUP(A774,'Subbu- Mini Project EXcel Clean'!A773:R1773,3,FALSE)</f>
        <v>56.4</v>
      </c>
      <c r="D774">
        <f>_xlfn.XLOOKUP(A774,'Subbu- Mini Project EXcel Clean'!A774:A1773,'Subbu- Mini Project EXcel Clean'!D774:D1773,"Entry Level",0)</f>
        <v>48.7</v>
      </c>
      <c r="E774">
        <f>_xlfn.XLOOKUP(A774,'Subbu- Mini Project EXcel Clean'!A774:A1773,'Subbu- Mini Project EXcel Clean'!F774:F1773,"Entry Level",0)</f>
        <v>56.1</v>
      </c>
      <c r="F774">
        <f>_xlfn.XLOOKUP(A774,'Subbu- Mini Project EXcel Clean'!A774:A1773,'Subbu- Mini Project EXcel Clean'!G774:G1773," ",0)</f>
        <v>51.55</v>
      </c>
      <c r="G774" t="str">
        <f>_xlfn.XLOOKUP(A774,'Subbu- Mini Project EXcel Clean'!A774:A1773,'Subbu- Mini Project EXcel Clean'!H774:H1773," ",0)</f>
        <v>Pass</v>
      </c>
      <c r="H774" t="str">
        <f>VLOOKUP(A774,'Subbu- Mini Project EXcel Clean'!A773:R1773,18,)</f>
        <v>High School</v>
      </c>
    </row>
    <row r="775" spans="1:8" x14ac:dyDescent="0.25">
      <c r="A775" t="s">
        <v>803</v>
      </c>
      <c r="B775">
        <f>VLOOKUP(A775,'Subbu- Mini Project EXcel Clean'!A774:R1774,2,FALSE)</f>
        <v>57.7</v>
      </c>
      <c r="C775">
        <f>VLOOKUP(A775,'Subbu- Mini Project EXcel Clean'!A774:R1774,3,FALSE)</f>
        <v>63.8</v>
      </c>
      <c r="D775">
        <f>_xlfn.XLOOKUP(A775,'Subbu- Mini Project EXcel Clean'!A775:A1774,'Subbu- Mini Project EXcel Clean'!D775:D1774,"Entry Level",0)</f>
        <v>74.400000000000006</v>
      </c>
      <c r="E775">
        <f>_xlfn.XLOOKUP(A775,'Subbu- Mini Project EXcel Clean'!A775:A1774,'Subbu- Mini Project EXcel Clean'!F775:F1774,"Entry Level",0)</f>
        <v>61.5</v>
      </c>
      <c r="F775">
        <f>_xlfn.XLOOKUP(A775,'Subbu- Mini Project EXcel Clean'!A775:A1774,'Subbu- Mini Project EXcel Clean'!G775:G1774," ",0)</f>
        <v>61.7</v>
      </c>
      <c r="G775" t="str">
        <f>_xlfn.XLOOKUP(A775,'Subbu- Mini Project EXcel Clean'!A775:A1774,'Subbu- Mini Project EXcel Clean'!H775:H1774," ",0)</f>
        <v>Pass</v>
      </c>
      <c r="H775" t="str">
        <f>VLOOKUP(A775,'Subbu- Mini Project EXcel Clean'!A774:R1774,18,)</f>
        <v>Bachelor</v>
      </c>
    </row>
    <row r="776" spans="1:8" x14ac:dyDescent="0.25">
      <c r="A776" t="s">
        <v>804</v>
      </c>
      <c r="B776">
        <f>VLOOKUP(A776,'Subbu- Mini Project EXcel Clean'!A775:R1775,2,FALSE)</f>
        <v>82.7</v>
      </c>
      <c r="C776">
        <f>VLOOKUP(A776,'Subbu- Mini Project EXcel Clean'!A775:R1775,3,FALSE)</f>
        <v>79.5</v>
      </c>
      <c r="D776">
        <f>_xlfn.XLOOKUP(A776,'Subbu- Mini Project EXcel Clean'!A776:A1775,'Subbu- Mini Project EXcel Clean'!D776:D1775,"Entry Level",0)</f>
        <v>74.7</v>
      </c>
      <c r="E776">
        <f>_xlfn.XLOOKUP(A776,'Subbu- Mini Project EXcel Clean'!A776:A1775,'Subbu- Mini Project EXcel Clean'!F776:F1775,"Entry Level",0)</f>
        <v>84.6</v>
      </c>
      <c r="F776">
        <f>_xlfn.XLOOKUP(A776,'Subbu- Mini Project EXcel Clean'!A776:A1775,'Subbu- Mini Project EXcel Clean'!G776:G1775," ",0)</f>
        <v>84.25</v>
      </c>
      <c r="G776" t="str">
        <f>_xlfn.XLOOKUP(A776,'Subbu- Mini Project EXcel Clean'!A776:A1775,'Subbu- Mini Project EXcel Clean'!H776:H1775," ",0)</f>
        <v>Pass</v>
      </c>
      <c r="H776" t="str">
        <f>VLOOKUP(A776,'Subbu- Mini Project EXcel Clean'!A775:R1775,18,)</f>
        <v>High School</v>
      </c>
    </row>
    <row r="777" spans="1:8" x14ac:dyDescent="0.25">
      <c r="A777" t="s">
        <v>805</v>
      </c>
      <c r="B777">
        <f>VLOOKUP(A777,'Subbu- Mini Project EXcel Clean'!A776:R1776,2,FALSE)</f>
        <v>50.1</v>
      </c>
      <c r="C777">
        <f>VLOOKUP(A777,'Subbu- Mini Project EXcel Clean'!A776:R1776,3,FALSE)</f>
        <v>50.9</v>
      </c>
      <c r="D777">
        <f>_xlfn.XLOOKUP(A777,'Subbu- Mini Project EXcel Clean'!A777:A1776,'Subbu- Mini Project EXcel Clean'!D777:D1776,"Entry Level",0)</f>
        <v>48.1</v>
      </c>
      <c r="E777">
        <f>_xlfn.XLOOKUP(A777,'Subbu- Mini Project EXcel Clean'!A777:A1776,'Subbu- Mini Project EXcel Clean'!F777:F1776,"Entry Level",0)</f>
        <v>45.2</v>
      </c>
      <c r="F777">
        <f>_xlfn.XLOOKUP(A777,'Subbu- Mini Project EXcel Clean'!A777:A1776,'Subbu- Mini Project EXcel Clean'!G777:G1776," ",0)</f>
        <v>46.7</v>
      </c>
      <c r="G777" t="str">
        <f>_xlfn.XLOOKUP(A777,'Subbu- Mini Project EXcel Clean'!A777:A1776,'Subbu- Mini Project EXcel Clean'!H777:H1776," ",0)</f>
        <v>Fail</v>
      </c>
      <c r="H777" t="str">
        <f>VLOOKUP(A777,'Subbu- Mini Project EXcel Clean'!A776:R1776,18,)</f>
        <v>Master</v>
      </c>
    </row>
    <row r="778" spans="1:8" x14ac:dyDescent="0.25">
      <c r="A778" t="s">
        <v>806</v>
      </c>
      <c r="B778">
        <f>VLOOKUP(A778,'Subbu- Mini Project EXcel Clean'!A777:R1777,2,FALSE)</f>
        <v>57.2</v>
      </c>
      <c r="C778">
        <f>VLOOKUP(A778,'Subbu- Mini Project EXcel Clean'!A777:R1777,3,FALSE)</f>
        <v>39.4</v>
      </c>
      <c r="D778">
        <f>_xlfn.XLOOKUP(A778,'Subbu- Mini Project EXcel Clean'!A778:A1777,'Subbu- Mini Project EXcel Clean'!D778:D1777,"Entry Level",0)</f>
        <v>55.8</v>
      </c>
      <c r="E778">
        <f>_xlfn.XLOOKUP(A778,'Subbu- Mini Project EXcel Clean'!A778:A1777,'Subbu- Mini Project EXcel Clean'!F778:F1777,"Entry Level",0)</f>
        <v>61.7</v>
      </c>
      <c r="F778">
        <f>_xlfn.XLOOKUP(A778,'Subbu- Mini Project EXcel Clean'!A778:A1777,'Subbu- Mini Project EXcel Clean'!G778:G1777," ",0)</f>
        <v>57.15</v>
      </c>
      <c r="G778" t="str">
        <f>_xlfn.XLOOKUP(A778,'Subbu- Mini Project EXcel Clean'!A778:A1777,'Subbu- Mini Project EXcel Clean'!H778:H1777," ",0)</f>
        <v>Pass</v>
      </c>
      <c r="H778" t="str">
        <f>VLOOKUP(A778,'Subbu- Mini Project EXcel Clean'!A777:R1777,18,)</f>
        <v>Master</v>
      </c>
    </row>
    <row r="779" spans="1:8" x14ac:dyDescent="0.25">
      <c r="A779" t="s">
        <v>807</v>
      </c>
      <c r="B779">
        <f>VLOOKUP(A779,'Subbu- Mini Project EXcel Clean'!A778:R1778,2,FALSE)</f>
        <v>75.7</v>
      </c>
      <c r="C779">
        <f>VLOOKUP(A779,'Subbu- Mini Project EXcel Clean'!A778:R1778,3,FALSE)</f>
        <v>79.7</v>
      </c>
      <c r="D779">
        <f>_xlfn.XLOOKUP(A779,'Subbu- Mini Project EXcel Clean'!A779:A1778,'Subbu- Mini Project EXcel Clean'!D779:D1778,"Entry Level",0)</f>
        <v>80.3</v>
      </c>
      <c r="E779">
        <f>_xlfn.XLOOKUP(A779,'Subbu- Mini Project EXcel Clean'!A779:A1778,'Subbu- Mini Project EXcel Clean'!F779:F1778,"Entry Level",0)</f>
        <v>91.1</v>
      </c>
      <c r="F779">
        <f>_xlfn.XLOOKUP(A779,'Subbu- Mini Project EXcel Clean'!A779:A1778,'Subbu- Mini Project EXcel Clean'!G779:G1778," ",0)</f>
        <v>85.4</v>
      </c>
      <c r="G779" t="str">
        <f>_xlfn.XLOOKUP(A779,'Subbu- Mini Project EXcel Clean'!A779:A1778,'Subbu- Mini Project EXcel Clean'!H779:H1778," ",0)</f>
        <v>Pass</v>
      </c>
      <c r="H779" t="str">
        <f>VLOOKUP(A779,'Subbu- Mini Project EXcel Clean'!A778:R1778,18,)</f>
        <v>Master</v>
      </c>
    </row>
    <row r="780" spans="1:8" x14ac:dyDescent="0.25">
      <c r="A780" t="s">
        <v>808</v>
      </c>
      <c r="B780">
        <f>VLOOKUP(A780,'Subbu- Mini Project EXcel Clean'!A779:R1779,2,FALSE)</f>
        <v>87.1</v>
      </c>
      <c r="C780">
        <f>VLOOKUP(A780,'Subbu- Mini Project EXcel Clean'!A779:R1779,3,FALSE)</f>
        <v>81.2</v>
      </c>
      <c r="D780">
        <f>_xlfn.XLOOKUP(A780,'Subbu- Mini Project EXcel Clean'!A780:A1779,'Subbu- Mini Project EXcel Clean'!D780:D1779,"Entry Level",0)</f>
        <v>79</v>
      </c>
      <c r="E780">
        <f>_xlfn.XLOOKUP(A780,'Subbu- Mini Project EXcel Clean'!A780:A1779,'Subbu- Mini Project EXcel Clean'!F780:F1779,"Entry Level",0)</f>
        <v>91.9</v>
      </c>
      <c r="F780">
        <f>_xlfn.XLOOKUP(A780,'Subbu- Mini Project EXcel Clean'!A780:A1779,'Subbu- Mini Project EXcel Clean'!G780:G1779," ",0)</f>
        <v>85.75</v>
      </c>
      <c r="G780" t="str">
        <f>_xlfn.XLOOKUP(A780,'Subbu- Mini Project EXcel Clean'!A780:A1779,'Subbu- Mini Project EXcel Clean'!H780:H1779," ",0)</f>
        <v>Pass</v>
      </c>
      <c r="H780" t="str">
        <f>VLOOKUP(A780,'Subbu- Mini Project EXcel Clean'!A779:R1779,18,)</f>
        <v>High School</v>
      </c>
    </row>
    <row r="781" spans="1:8" x14ac:dyDescent="0.25">
      <c r="A781" t="s">
        <v>809</v>
      </c>
      <c r="B781">
        <f>VLOOKUP(A781,'Subbu- Mini Project EXcel Clean'!A780:R1780,2,FALSE)</f>
        <v>73.900000000000006</v>
      </c>
      <c r="C781">
        <f>VLOOKUP(A781,'Subbu- Mini Project EXcel Clean'!A780:R1780,3,FALSE)</f>
        <v>79.900000000000006</v>
      </c>
      <c r="D781">
        <f>_xlfn.XLOOKUP(A781,'Subbu- Mini Project EXcel Clean'!A781:A1780,'Subbu- Mini Project EXcel Clean'!D781:D1780,"Entry Level",0)</f>
        <v>68.8</v>
      </c>
      <c r="E781">
        <f>_xlfn.XLOOKUP(A781,'Subbu- Mini Project EXcel Clean'!A781:A1780,'Subbu- Mini Project EXcel Clean'!F781:F1780,"Entry Level",0)</f>
        <v>91.4</v>
      </c>
      <c r="F781">
        <f>_xlfn.XLOOKUP(A781,'Subbu- Mini Project EXcel Clean'!A781:A1780,'Subbu- Mini Project EXcel Clean'!G781:G1780," ",0)</f>
        <v>83.35</v>
      </c>
      <c r="G781" t="str">
        <f>_xlfn.XLOOKUP(A781,'Subbu- Mini Project EXcel Clean'!A781:A1780,'Subbu- Mini Project EXcel Clean'!H781:H1780," ",0)</f>
        <v>Pass</v>
      </c>
      <c r="H781" t="str">
        <f>VLOOKUP(A781,'Subbu- Mini Project EXcel Clean'!A780:R1780,18,)</f>
        <v>Master</v>
      </c>
    </row>
    <row r="782" spans="1:8" x14ac:dyDescent="0.25">
      <c r="A782" t="s">
        <v>810</v>
      </c>
      <c r="B782">
        <f>VLOOKUP(A782,'Subbu- Mini Project EXcel Clean'!A781:R1781,2,FALSE)</f>
        <v>78.099999999999994</v>
      </c>
      <c r="C782">
        <f>VLOOKUP(A782,'Subbu- Mini Project EXcel Clean'!A781:R1781,3,FALSE)</f>
        <v>73.099999999999994</v>
      </c>
      <c r="D782">
        <f>_xlfn.XLOOKUP(A782,'Subbu- Mini Project EXcel Clean'!A782:A1781,'Subbu- Mini Project EXcel Clean'!D782:D1781,"Entry Level",0)</f>
        <v>79.3</v>
      </c>
      <c r="E782">
        <f>_xlfn.XLOOKUP(A782,'Subbu- Mini Project EXcel Clean'!A782:A1781,'Subbu- Mini Project EXcel Clean'!F782:F1781,"Entry Level",0)</f>
        <v>83.1</v>
      </c>
      <c r="F782">
        <f>_xlfn.XLOOKUP(A782,'Subbu- Mini Project EXcel Clean'!A782:A1781,'Subbu- Mini Project EXcel Clean'!G782:G1781," ",0)</f>
        <v>80.650000000000006</v>
      </c>
      <c r="G782" t="str">
        <f>_xlfn.XLOOKUP(A782,'Subbu- Mini Project EXcel Clean'!A782:A1781,'Subbu- Mini Project EXcel Clean'!H782:H1781," ",0)</f>
        <v>Pass</v>
      </c>
      <c r="H782" t="str">
        <f>VLOOKUP(A782,'Subbu- Mini Project EXcel Clean'!A781:R1781,18,)</f>
        <v>Bachelor</v>
      </c>
    </row>
    <row r="783" spans="1:8" x14ac:dyDescent="0.25">
      <c r="A783" t="s">
        <v>811</v>
      </c>
      <c r="B783">
        <f>VLOOKUP(A783,'Subbu- Mini Project EXcel Clean'!A782:R1782,2,FALSE)</f>
        <v>66.099999999999994</v>
      </c>
      <c r="C783">
        <f>VLOOKUP(A783,'Subbu- Mini Project EXcel Clean'!A782:R1782,3,FALSE)</f>
        <v>70.3</v>
      </c>
      <c r="D783">
        <f>_xlfn.XLOOKUP(A783,'Subbu- Mini Project EXcel Clean'!A783:A1782,'Subbu- Mini Project EXcel Clean'!D783:D1782,"Entry Level",0)</f>
        <v>66.099999999999994</v>
      </c>
      <c r="E783">
        <f>_xlfn.XLOOKUP(A783,'Subbu- Mini Project EXcel Clean'!A783:A1782,'Subbu- Mini Project EXcel Clean'!F783:F1782,"Entry Level",0)</f>
        <v>60.8</v>
      </c>
      <c r="F783">
        <f>_xlfn.XLOOKUP(A783,'Subbu- Mini Project EXcel Clean'!A783:A1782,'Subbu- Mini Project EXcel Clean'!G783:G1782," ",0)</f>
        <v>65.3</v>
      </c>
      <c r="G783" t="str">
        <f>_xlfn.XLOOKUP(A783,'Subbu- Mini Project EXcel Clean'!A783:A1782,'Subbu- Mini Project EXcel Clean'!H783:H1782," ",0)</f>
        <v>Pass</v>
      </c>
      <c r="H783" t="str">
        <f>VLOOKUP(A783,'Subbu- Mini Project EXcel Clean'!A782:R1782,18,)</f>
        <v>High School</v>
      </c>
    </row>
    <row r="784" spans="1:8" x14ac:dyDescent="0.25">
      <c r="A784" t="s">
        <v>812</v>
      </c>
      <c r="B784">
        <f>VLOOKUP(A784,'Subbu- Mini Project EXcel Clean'!A783:R1783,2,FALSE)</f>
        <v>41.7</v>
      </c>
      <c r="C784">
        <f>VLOOKUP(A784,'Subbu- Mini Project EXcel Clean'!A783:R1783,3,FALSE)</f>
        <v>49.2</v>
      </c>
      <c r="D784">
        <f>_xlfn.XLOOKUP(A784,'Subbu- Mini Project EXcel Clean'!A784:A1783,'Subbu- Mini Project EXcel Clean'!D784:D1783,"Entry Level",0)</f>
        <v>42.9</v>
      </c>
      <c r="E784">
        <f>_xlfn.XLOOKUP(A784,'Subbu- Mini Project EXcel Clean'!A784:A1783,'Subbu- Mini Project EXcel Clean'!F784:F1783,"Entry Level",0)</f>
        <v>55.8</v>
      </c>
      <c r="F784">
        <f>_xlfn.XLOOKUP(A784,'Subbu- Mini Project EXcel Clean'!A784:A1783,'Subbu- Mini Project EXcel Clean'!G784:G1783," ",0)</f>
        <v>54.8</v>
      </c>
      <c r="G784" t="str">
        <f>_xlfn.XLOOKUP(A784,'Subbu- Mini Project EXcel Clean'!A784:A1783,'Subbu- Mini Project EXcel Clean'!H784:H1783," ",0)</f>
        <v>Pass</v>
      </c>
      <c r="H784" t="str">
        <f>VLOOKUP(A784,'Subbu- Mini Project EXcel Clean'!A783:R1783,18,)</f>
        <v>Master</v>
      </c>
    </row>
    <row r="785" spans="1:8" x14ac:dyDescent="0.25">
      <c r="A785" t="s">
        <v>813</v>
      </c>
      <c r="B785">
        <f>VLOOKUP(A785,'Subbu- Mini Project EXcel Clean'!A784:R1784,2,FALSE)</f>
        <v>63.4</v>
      </c>
      <c r="C785">
        <f>VLOOKUP(A785,'Subbu- Mini Project EXcel Clean'!A784:R1784,3,FALSE)</f>
        <v>60.3</v>
      </c>
      <c r="D785">
        <f>_xlfn.XLOOKUP(A785,'Subbu- Mini Project EXcel Clean'!A785:A1784,'Subbu- Mini Project EXcel Clean'!D785:D1784,"Entry Level",0)</f>
        <v>65</v>
      </c>
      <c r="E785">
        <f>_xlfn.XLOOKUP(A785,'Subbu- Mini Project EXcel Clean'!A785:A1784,'Subbu- Mini Project EXcel Clean'!F785:F1784,"Entry Level",0)</f>
        <v>65</v>
      </c>
      <c r="F785">
        <f>_xlfn.XLOOKUP(A785,'Subbu- Mini Project EXcel Clean'!A785:A1784,'Subbu- Mini Project EXcel Clean'!G785:G1784," ",0)</f>
        <v>62</v>
      </c>
      <c r="G785" t="str">
        <f>_xlfn.XLOOKUP(A785,'Subbu- Mini Project EXcel Clean'!A785:A1784,'Subbu- Mini Project EXcel Clean'!H785:H1784," ",0)</f>
        <v>Pass</v>
      </c>
      <c r="H785" t="str">
        <f>VLOOKUP(A785,'Subbu- Mini Project EXcel Clean'!A784:R1784,18,)</f>
        <v>Master</v>
      </c>
    </row>
    <row r="786" spans="1:8" x14ac:dyDescent="0.25">
      <c r="A786" t="s">
        <v>814</v>
      </c>
      <c r="B786">
        <f>VLOOKUP(A786,'Subbu- Mini Project EXcel Clean'!A785:R1785,2,FALSE)</f>
        <v>53.7</v>
      </c>
      <c r="C786">
        <f>VLOOKUP(A786,'Subbu- Mini Project EXcel Clean'!A785:R1785,3,FALSE)</f>
        <v>45.5</v>
      </c>
      <c r="D786">
        <f>_xlfn.XLOOKUP(A786,'Subbu- Mini Project EXcel Clean'!A786:A1785,'Subbu- Mini Project EXcel Clean'!D786:D1785,"Entry Level",0)</f>
        <v>54.8</v>
      </c>
      <c r="E786">
        <f>_xlfn.XLOOKUP(A786,'Subbu- Mini Project EXcel Clean'!A786:A1785,'Subbu- Mini Project EXcel Clean'!F786:F1785,"Entry Level",0)</f>
        <v>61.9</v>
      </c>
      <c r="F786">
        <f>_xlfn.XLOOKUP(A786,'Subbu- Mini Project EXcel Clean'!A786:A1785,'Subbu- Mini Project EXcel Clean'!G786:G1785," ",0)</f>
        <v>55.95</v>
      </c>
      <c r="G786" t="str">
        <f>_xlfn.XLOOKUP(A786,'Subbu- Mini Project EXcel Clean'!A786:A1785,'Subbu- Mini Project EXcel Clean'!H786:H1785," ",0)</f>
        <v>Pass</v>
      </c>
      <c r="H786" t="str">
        <f>VLOOKUP(A786,'Subbu- Mini Project EXcel Clean'!A785:R1785,18,)</f>
        <v>High School</v>
      </c>
    </row>
    <row r="787" spans="1:8" x14ac:dyDescent="0.25">
      <c r="A787" t="s">
        <v>815</v>
      </c>
      <c r="B787">
        <f>VLOOKUP(A787,'Subbu- Mini Project EXcel Clean'!A786:R1786,2,FALSE)</f>
        <v>88.6</v>
      </c>
      <c r="C787">
        <f>VLOOKUP(A787,'Subbu- Mini Project EXcel Clean'!A786:R1786,3,FALSE)</f>
        <v>87.9</v>
      </c>
      <c r="D787">
        <f>_xlfn.XLOOKUP(A787,'Subbu- Mini Project EXcel Clean'!A787:A1786,'Subbu- Mini Project EXcel Clean'!D787:D1786,"Entry Level",0)</f>
        <v>90.2</v>
      </c>
      <c r="E787">
        <f>_xlfn.XLOOKUP(A787,'Subbu- Mini Project EXcel Clean'!A787:A1786,'Subbu- Mini Project EXcel Clean'!F787:F1786,"Entry Level",0)</f>
        <v>80.900000000000006</v>
      </c>
      <c r="F787">
        <f>_xlfn.XLOOKUP(A787,'Subbu- Mini Project EXcel Clean'!A787:A1786,'Subbu- Mini Project EXcel Clean'!G787:G1786," ",0)</f>
        <v>85.45</v>
      </c>
      <c r="G787" t="str">
        <f>_xlfn.XLOOKUP(A787,'Subbu- Mini Project EXcel Clean'!A787:A1786,'Subbu- Mini Project EXcel Clean'!H787:H1786," ",0)</f>
        <v>Pass</v>
      </c>
      <c r="H787" t="str">
        <f>VLOOKUP(A787,'Subbu- Mini Project EXcel Clean'!A786:R1786,18,)</f>
        <v>High School</v>
      </c>
    </row>
    <row r="788" spans="1:8" x14ac:dyDescent="0.25">
      <c r="A788" t="s">
        <v>816</v>
      </c>
      <c r="B788">
        <f>VLOOKUP(A788,'Subbu- Mini Project EXcel Clean'!A787:R1787,2,FALSE)</f>
        <v>72.400000000000006</v>
      </c>
      <c r="C788">
        <f>VLOOKUP(A788,'Subbu- Mini Project EXcel Clean'!A787:R1787,3,FALSE)</f>
        <v>67.099999999999994</v>
      </c>
      <c r="D788">
        <f>_xlfn.XLOOKUP(A788,'Subbu- Mini Project EXcel Clean'!A788:A1787,'Subbu- Mini Project EXcel Clean'!D788:D1787,"Entry Level",0)</f>
        <v>73.2</v>
      </c>
      <c r="E788">
        <f>_xlfn.XLOOKUP(A788,'Subbu- Mini Project EXcel Clean'!A788:A1787,'Subbu- Mini Project EXcel Clean'!F788:F1787,"Entry Level",0)</f>
        <v>83.9</v>
      </c>
      <c r="F788">
        <f>_xlfn.XLOOKUP(A788,'Subbu- Mini Project EXcel Clean'!A788:A1787,'Subbu- Mini Project EXcel Clean'!G788:G1787," ",0)</f>
        <v>78</v>
      </c>
      <c r="G788" t="str">
        <f>_xlfn.XLOOKUP(A788,'Subbu- Mini Project EXcel Clean'!A788:A1787,'Subbu- Mini Project EXcel Clean'!H788:H1787," ",0)</f>
        <v>Pass</v>
      </c>
      <c r="H788" t="str">
        <f>VLOOKUP(A788,'Subbu- Mini Project EXcel Clean'!A787:R1787,18,)</f>
        <v>Bachelor</v>
      </c>
    </row>
    <row r="789" spans="1:8" x14ac:dyDescent="0.25">
      <c r="A789" t="s">
        <v>817</v>
      </c>
      <c r="B789">
        <f>VLOOKUP(A789,'Subbu- Mini Project EXcel Clean'!A788:R1788,2,FALSE)</f>
        <v>64.599999999999994</v>
      </c>
      <c r="C789">
        <f>VLOOKUP(A789,'Subbu- Mini Project EXcel Clean'!A788:R1788,3,FALSE)</f>
        <v>65.3</v>
      </c>
      <c r="D789">
        <f>_xlfn.XLOOKUP(A789,'Subbu- Mini Project EXcel Clean'!A789:A1788,'Subbu- Mini Project EXcel Clean'!D789:D1788,"Entry Level",0)</f>
        <v>67.400000000000006</v>
      </c>
      <c r="E789">
        <f>_xlfn.XLOOKUP(A789,'Subbu- Mini Project EXcel Clean'!A789:A1788,'Subbu- Mini Project EXcel Clean'!F789:F1788,"Entry Level",0)</f>
        <v>71.5</v>
      </c>
      <c r="F789">
        <f>_xlfn.XLOOKUP(A789,'Subbu- Mini Project EXcel Clean'!A789:A1788,'Subbu- Mini Project EXcel Clean'!G789:G1788," ",0)</f>
        <v>66.75</v>
      </c>
      <c r="G789" t="str">
        <f>_xlfn.XLOOKUP(A789,'Subbu- Mini Project EXcel Clean'!A789:A1788,'Subbu- Mini Project EXcel Clean'!H789:H1788," ",0)</f>
        <v>Pass</v>
      </c>
      <c r="H789" t="str">
        <f>VLOOKUP(A789,'Subbu- Mini Project EXcel Clean'!A788:R1788,18,)</f>
        <v>High School</v>
      </c>
    </row>
    <row r="790" spans="1:8" x14ac:dyDescent="0.25">
      <c r="A790" t="s">
        <v>818</v>
      </c>
      <c r="B790">
        <f>VLOOKUP(A790,'Subbu- Mini Project EXcel Clean'!A789:R1789,2,FALSE)</f>
        <v>57.6</v>
      </c>
      <c r="C790">
        <f>VLOOKUP(A790,'Subbu- Mini Project EXcel Clean'!A789:R1789,3,FALSE)</f>
        <v>69.7</v>
      </c>
      <c r="D790">
        <f>_xlfn.XLOOKUP(A790,'Subbu- Mini Project EXcel Clean'!A790:A1789,'Subbu- Mini Project EXcel Clean'!D790:D1789,"Entry Level",0)</f>
        <v>66.5</v>
      </c>
      <c r="E790">
        <f>_xlfn.XLOOKUP(A790,'Subbu- Mini Project EXcel Clean'!A790:A1789,'Subbu- Mini Project EXcel Clean'!F790:F1789,"Entry Level",0)</f>
        <v>69.099999999999994</v>
      </c>
      <c r="F790">
        <f>_xlfn.XLOOKUP(A790,'Subbu- Mini Project EXcel Clean'!A790:A1789,'Subbu- Mini Project EXcel Clean'!G790:G1789," ",0)</f>
        <v>67.25</v>
      </c>
      <c r="G790" t="str">
        <f>_xlfn.XLOOKUP(A790,'Subbu- Mini Project EXcel Clean'!A790:A1789,'Subbu- Mini Project EXcel Clean'!H790:H1789," ",0)</f>
        <v>Pass</v>
      </c>
      <c r="H790" t="str">
        <f>VLOOKUP(A790,'Subbu- Mini Project EXcel Clean'!A789:R1789,18,)</f>
        <v>Master</v>
      </c>
    </row>
    <row r="791" spans="1:8" x14ac:dyDescent="0.25">
      <c r="A791" t="s">
        <v>819</v>
      </c>
      <c r="B791">
        <f>VLOOKUP(A791,'Subbu- Mini Project EXcel Clean'!A790:R1790,2,FALSE)</f>
        <v>89.5</v>
      </c>
      <c r="C791">
        <f>VLOOKUP(A791,'Subbu- Mini Project EXcel Clean'!A790:R1790,3,FALSE)</f>
        <v>90.9</v>
      </c>
      <c r="D791">
        <f>_xlfn.XLOOKUP(A791,'Subbu- Mini Project EXcel Clean'!A791:A1790,'Subbu- Mini Project EXcel Clean'!D791:D1790,"Entry Level",0)</f>
        <v>96.6</v>
      </c>
      <c r="E791">
        <f>_xlfn.XLOOKUP(A791,'Subbu- Mini Project EXcel Clean'!A791:A1790,'Subbu- Mini Project EXcel Clean'!F791:F1790,"Entry Level",0)</f>
        <v>86.6</v>
      </c>
      <c r="F791">
        <f>_xlfn.XLOOKUP(A791,'Subbu- Mini Project EXcel Clean'!A791:A1790,'Subbu- Mini Project EXcel Clean'!G791:G1790," ",0)</f>
        <v>89.35</v>
      </c>
      <c r="G791" t="str">
        <f>_xlfn.XLOOKUP(A791,'Subbu- Mini Project EXcel Clean'!A791:A1790,'Subbu- Mini Project EXcel Clean'!H791:H1790," ",0)</f>
        <v>Pass</v>
      </c>
      <c r="H791" t="str">
        <f>VLOOKUP(A791,'Subbu- Mini Project EXcel Clean'!A790:R1790,18,)</f>
        <v>Bachelor</v>
      </c>
    </row>
    <row r="792" spans="1:8" x14ac:dyDescent="0.25">
      <c r="A792" t="s">
        <v>820</v>
      </c>
      <c r="B792">
        <f>VLOOKUP(A792,'Subbu- Mini Project EXcel Clean'!A791:R1791,2,FALSE)</f>
        <v>52.4</v>
      </c>
      <c r="C792">
        <f>VLOOKUP(A792,'Subbu- Mini Project EXcel Clean'!A791:R1791,3,FALSE)</f>
        <v>48.6</v>
      </c>
      <c r="D792">
        <f>_xlfn.XLOOKUP(A792,'Subbu- Mini Project EXcel Clean'!A792:A1791,'Subbu- Mini Project EXcel Clean'!D792:D1791,"Entry Level",0)</f>
        <v>46.9</v>
      </c>
      <c r="E792">
        <f>_xlfn.XLOOKUP(A792,'Subbu- Mini Project EXcel Clean'!A792:A1791,'Subbu- Mini Project EXcel Clean'!F792:F1791,"Entry Level",0)</f>
        <v>55.3</v>
      </c>
      <c r="F792">
        <f>_xlfn.XLOOKUP(A792,'Subbu- Mini Project EXcel Clean'!A792:A1791,'Subbu- Mini Project EXcel Clean'!G792:G1791," ",0)</f>
        <v>51.85</v>
      </c>
      <c r="G792" t="str">
        <f>_xlfn.XLOOKUP(A792,'Subbu- Mini Project EXcel Clean'!A792:A1791,'Subbu- Mini Project EXcel Clean'!H792:H1791," ",0)</f>
        <v>Pass</v>
      </c>
      <c r="H792" t="str">
        <f>VLOOKUP(A792,'Subbu- Mini Project EXcel Clean'!A791:R1791,18,)</f>
        <v>Master</v>
      </c>
    </row>
    <row r="793" spans="1:8" x14ac:dyDescent="0.25">
      <c r="A793" t="s">
        <v>821</v>
      </c>
      <c r="B793">
        <f>VLOOKUP(A793,'Subbu- Mini Project EXcel Clean'!A792:R1792,2,FALSE)</f>
        <v>66</v>
      </c>
      <c r="C793">
        <f>VLOOKUP(A793,'Subbu- Mini Project EXcel Clean'!A792:R1792,3,FALSE)</f>
        <v>65</v>
      </c>
      <c r="D793">
        <f>_xlfn.XLOOKUP(A793,'Subbu- Mini Project EXcel Clean'!A793:A1792,'Subbu- Mini Project EXcel Clean'!D793:D1792,"Entry Level",0)</f>
        <v>78.8</v>
      </c>
      <c r="E793">
        <f>_xlfn.XLOOKUP(A793,'Subbu- Mini Project EXcel Clean'!A793:A1792,'Subbu- Mini Project EXcel Clean'!F793:F1792,"Entry Level",0)</f>
        <v>66.7</v>
      </c>
      <c r="F793">
        <f>_xlfn.XLOOKUP(A793,'Subbu- Mini Project EXcel Clean'!A793:A1792,'Subbu- Mini Project EXcel Clean'!G793:G1792," ",0)</f>
        <v>69.45</v>
      </c>
      <c r="G793" t="str">
        <f>_xlfn.XLOOKUP(A793,'Subbu- Mini Project EXcel Clean'!A793:A1792,'Subbu- Mini Project EXcel Clean'!H793:H1792," ",0)</f>
        <v>Pass</v>
      </c>
      <c r="H793" t="str">
        <f>VLOOKUP(A793,'Subbu- Mini Project EXcel Clean'!A792:R1792,18,)</f>
        <v>Master</v>
      </c>
    </row>
    <row r="794" spans="1:8" x14ac:dyDescent="0.25">
      <c r="A794" t="s">
        <v>822</v>
      </c>
      <c r="B794">
        <f>VLOOKUP(A794,'Subbu- Mini Project EXcel Clean'!A793:R1793,2,FALSE)</f>
        <v>69.3</v>
      </c>
      <c r="C794">
        <f>VLOOKUP(A794,'Subbu- Mini Project EXcel Clean'!A793:R1793,3,FALSE)</f>
        <v>66.3</v>
      </c>
      <c r="D794">
        <f>_xlfn.XLOOKUP(A794,'Subbu- Mini Project EXcel Clean'!A794:A1793,'Subbu- Mini Project EXcel Clean'!D794:D1793,"Entry Level",0)</f>
        <v>69.400000000000006</v>
      </c>
      <c r="E794">
        <f>_xlfn.XLOOKUP(A794,'Subbu- Mini Project EXcel Clean'!A794:A1793,'Subbu- Mini Project EXcel Clean'!F794:F1793,"Entry Level",0)</f>
        <v>69.2</v>
      </c>
      <c r="F794">
        <f>_xlfn.XLOOKUP(A794,'Subbu- Mini Project EXcel Clean'!A794:A1793,'Subbu- Mini Project EXcel Clean'!G794:G1793," ",0)</f>
        <v>68.5</v>
      </c>
      <c r="G794" t="str">
        <f>_xlfn.XLOOKUP(A794,'Subbu- Mini Project EXcel Clean'!A794:A1793,'Subbu- Mini Project EXcel Clean'!H794:H1793," ",0)</f>
        <v>Pass</v>
      </c>
      <c r="H794" t="str">
        <f>VLOOKUP(A794,'Subbu- Mini Project EXcel Clean'!A793:R1793,18,)</f>
        <v>Master</v>
      </c>
    </row>
    <row r="795" spans="1:8" x14ac:dyDescent="0.25">
      <c r="A795" t="s">
        <v>823</v>
      </c>
      <c r="B795">
        <f>VLOOKUP(A795,'Subbu- Mini Project EXcel Clean'!A794:R1794,2,FALSE)</f>
        <v>66.8</v>
      </c>
      <c r="C795">
        <f>VLOOKUP(A795,'Subbu- Mini Project EXcel Clean'!A794:R1794,3,FALSE)</f>
        <v>73.400000000000006</v>
      </c>
      <c r="D795">
        <f>_xlfn.XLOOKUP(A795,'Subbu- Mini Project EXcel Clean'!A795:A1794,'Subbu- Mini Project EXcel Clean'!D795:D1794,"Entry Level",0)</f>
        <v>74.599999999999994</v>
      </c>
      <c r="E795">
        <f>_xlfn.XLOOKUP(A795,'Subbu- Mini Project EXcel Clean'!A795:A1794,'Subbu- Mini Project EXcel Clean'!F795:F1794,"Entry Level",0)</f>
        <v>81.2</v>
      </c>
      <c r="F795">
        <f>_xlfn.XLOOKUP(A795,'Subbu- Mini Project EXcel Clean'!A795:A1794,'Subbu- Mini Project EXcel Clean'!G795:G1794," ",0)</f>
        <v>77.400000000000006</v>
      </c>
      <c r="G795" t="str">
        <f>_xlfn.XLOOKUP(A795,'Subbu- Mini Project EXcel Clean'!A795:A1794,'Subbu- Mini Project EXcel Clean'!H795:H1794," ",0)</f>
        <v>Pass</v>
      </c>
      <c r="H795" t="str">
        <f>VLOOKUP(A795,'Subbu- Mini Project EXcel Clean'!A794:R1794,18,)</f>
        <v>High School</v>
      </c>
    </row>
    <row r="796" spans="1:8" x14ac:dyDescent="0.25">
      <c r="A796" t="s">
        <v>824</v>
      </c>
      <c r="B796">
        <f>VLOOKUP(A796,'Subbu- Mini Project EXcel Clean'!A795:R1795,2,FALSE)</f>
        <v>43.3</v>
      </c>
      <c r="C796">
        <f>VLOOKUP(A796,'Subbu- Mini Project EXcel Clean'!A795:R1795,3,FALSE)</f>
        <v>54.1</v>
      </c>
      <c r="D796">
        <f>_xlfn.XLOOKUP(A796,'Subbu- Mini Project EXcel Clean'!A796:A1795,'Subbu- Mini Project EXcel Clean'!D796:D1795,"Entry Level",0)</f>
        <v>34.6</v>
      </c>
      <c r="E796">
        <f>_xlfn.XLOOKUP(A796,'Subbu- Mini Project EXcel Clean'!A796:A1795,'Subbu- Mini Project EXcel Clean'!F796:F1795,"Entry Level",0)</f>
        <v>51.1</v>
      </c>
      <c r="F796">
        <f>_xlfn.XLOOKUP(A796,'Subbu- Mini Project EXcel Clean'!A796:A1795,'Subbu- Mini Project EXcel Clean'!G796:G1795," ",0)</f>
        <v>46.05</v>
      </c>
      <c r="G796" t="str">
        <f>_xlfn.XLOOKUP(A796,'Subbu- Mini Project EXcel Clean'!A796:A1795,'Subbu- Mini Project EXcel Clean'!H796:H1795," ",0)</f>
        <v>Fail</v>
      </c>
      <c r="H796" t="str">
        <f>VLOOKUP(A796,'Subbu- Mini Project EXcel Clean'!A795:R1795,18,)</f>
        <v>High School</v>
      </c>
    </row>
    <row r="797" spans="1:8" x14ac:dyDescent="0.25">
      <c r="A797" t="s">
        <v>825</v>
      </c>
      <c r="B797">
        <f>VLOOKUP(A797,'Subbu- Mini Project EXcel Clean'!A796:R1796,2,FALSE)</f>
        <v>87.8</v>
      </c>
      <c r="C797">
        <f>VLOOKUP(A797,'Subbu- Mini Project EXcel Clean'!A796:R1796,3,FALSE)</f>
        <v>82.4</v>
      </c>
      <c r="D797">
        <f>_xlfn.XLOOKUP(A797,'Subbu- Mini Project EXcel Clean'!A797:A1796,'Subbu- Mini Project EXcel Clean'!D797:D1796,"Entry Level",0)</f>
        <v>89.4</v>
      </c>
      <c r="E797">
        <f>_xlfn.XLOOKUP(A797,'Subbu- Mini Project EXcel Clean'!A797:A1796,'Subbu- Mini Project EXcel Clean'!F797:F1796,"Entry Level",0)</f>
        <v>90.8</v>
      </c>
      <c r="F797">
        <f>_xlfn.XLOOKUP(A797,'Subbu- Mini Project EXcel Clean'!A797:A1796,'Subbu- Mini Project EXcel Clean'!G797:G1796," ",0)</f>
        <v>89.4</v>
      </c>
      <c r="G797" t="str">
        <f>_xlfn.XLOOKUP(A797,'Subbu- Mini Project EXcel Clean'!A797:A1796,'Subbu- Mini Project EXcel Clean'!H797:H1796," ",0)</f>
        <v>Pass</v>
      </c>
      <c r="H797" t="str">
        <f>VLOOKUP(A797,'Subbu- Mini Project EXcel Clean'!A796:R1796,18,)</f>
        <v>Master</v>
      </c>
    </row>
    <row r="798" spans="1:8" x14ac:dyDescent="0.25">
      <c r="A798" t="s">
        <v>826</v>
      </c>
      <c r="B798">
        <f>VLOOKUP(A798,'Subbu- Mini Project EXcel Clean'!A797:R1797,2,FALSE)</f>
        <v>83.2</v>
      </c>
      <c r="C798">
        <f>VLOOKUP(A798,'Subbu- Mini Project EXcel Clean'!A797:R1797,3,FALSE)</f>
        <v>98.6</v>
      </c>
      <c r="D798">
        <f>_xlfn.XLOOKUP(A798,'Subbu- Mini Project EXcel Clean'!A798:A1797,'Subbu- Mini Project EXcel Clean'!D798:D1797,"Entry Level",0)</f>
        <v>87.1</v>
      </c>
      <c r="E798">
        <f>_xlfn.XLOOKUP(A798,'Subbu- Mini Project EXcel Clean'!A798:A1797,'Subbu- Mini Project EXcel Clean'!F798:F1797,"Entry Level",0)</f>
        <v>89.6</v>
      </c>
      <c r="F798">
        <f>_xlfn.XLOOKUP(A798,'Subbu- Mini Project EXcel Clean'!A798:A1797,'Subbu- Mini Project EXcel Clean'!G798:G1797," ",0)</f>
        <v>90.45</v>
      </c>
      <c r="G798" t="str">
        <f>_xlfn.XLOOKUP(A798,'Subbu- Mini Project EXcel Clean'!A798:A1797,'Subbu- Mini Project EXcel Clean'!H798:H1797," ",0)</f>
        <v>Pass</v>
      </c>
      <c r="H798" t="str">
        <f>VLOOKUP(A798,'Subbu- Mini Project EXcel Clean'!A797:R1797,18,)</f>
        <v>High School</v>
      </c>
    </row>
    <row r="799" spans="1:8" x14ac:dyDescent="0.25">
      <c r="A799" t="s">
        <v>827</v>
      </c>
      <c r="B799">
        <f>VLOOKUP(A799,'Subbu- Mini Project EXcel Clean'!A798:R1798,2,FALSE)</f>
        <v>76.900000000000006</v>
      </c>
      <c r="C799">
        <f>VLOOKUP(A799,'Subbu- Mini Project EXcel Clean'!A798:R1798,3,FALSE)</f>
        <v>76.099999999999994</v>
      </c>
      <c r="D799">
        <f>_xlfn.XLOOKUP(A799,'Subbu- Mini Project EXcel Clean'!A799:A1798,'Subbu- Mini Project EXcel Clean'!D799:D1798,"Entry Level",0)</f>
        <v>67.900000000000006</v>
      </c>
      <c r="E799">
        <f>_xlfn.XLOOKUP(A799,'Subbu- Mini Project EXcel Clean'!A799:A1798,'Subbu- Mini Project EXcel Clean'!F799:F1798,"Entry Level",0)</f>
        <v>72.599999999999994</v>
      </c>
      <c r="F799">
        <f>_xlfn.XLOOKUP(A799,'Subbu- Mini Project EXcel Clean'!A799:A1798,'Subbu- Mini Project EXcel Clean'!G799:G1798," ",0)</f>
        <v>71.849999999999994</v>
      </c>
      <c r="G799" t="str">
        <f>_xlfn.XLOOKUP(A799,'Subbu- Mini Project EXcel Clean'!A799:A1798,'Subbu- Mini Project EXcel Clean'!H799:H1798," ",0)</f>
        <v>Pass</v>
      </c>
      <c r="H799" t="str">
        <f>VLOOKUP(A799,'Subbu- Mini Project EXcel Clean'!A798:R1798,18,)</f>
        <v>Master</v>
      </c>
    </row>
    <row r="800" spans="1:8" x14ac:dyDescent="0.25">
      <c r="A800" t="s">
        <v>828</v>
      </c>
      <c r="B800">
        <f>VLOOKUP(A800,'Subbu- Mini Project EXcel Clean'!A799:R1799,2,FALSE)</f>
        <v>74.599999999999994</v>
      </c>
      <c r="C800">
        <f>VLOOKUP(A800,'Subbu- Mini Project EXcel Clean'!A799:R1799,3,FALSE)</f>
        <v>79.7</v>
      </c>
      <c r="D800">
        <f>_xlfn.XLOOKUP(A800,'Subbu- Mini Project EXcel Clean'!A800:A1799,'Subbu- Mini Project EXcel Clean'!D800:D1799,"Entry Level",0)</f>
        <v>74.2</v>
      </c>
      <c r="E800">
        <f>_xlfn.XLOOKUP(A800,'Subbu- Mini Project EXcel Clean'!A800:A1799,'Subbu- Mini Project EXcel Clean'!F800:F1799,"Entry Level",0)</f>
        <v>73.3</v>
      </c>
      <c r="F800">
        <f>_xlfn.XLOOKUP(A800,'Subbu- Mini Project EXcel Clean'!A800:A1799,'Subbu- Mini Project EXcel Clean'!G800:G1799," ",0)</f>
        <v>75.8</v>
      </c>
      <c r="G800" t="str">
        <f>_xlfn.XLOOKUP(A800,'Subbu- Mini Project EXcel Clean'!A800:A1799,'Subbu- Mini Project EXcel Clean'!H800:H1799," ",0)</f>
        <v>Pass</v>
      </c>
      <c r="H800" t="str">
        <f>VLOOKUP(A800,'Subbu- Mini Project EXcel Clean'!A799:R1799,18,)</f>
        <v>High School</v>
      </c>
    </row>
    <row r="801" spans="1:8" x14ac:dyDescent="0.25">
      <c r="A801" t="s">
        <v>829</v>
      </c>
      <c r="B801">
        <f>VLOOKUP(A801,'Subbu- Mini Project EXcel Clean'!A800:R1800,2,FALSE)</f>
        <v>86.7</v>
      </c>
      <c r="C801">
        <f>VLOOKUP(A801,'Subbu- Mini Project EXcel Clean'!A800:R1800,3,FALSE)</f>
        <v>99.5</v>
      </c>
      <c r="D801">
        <f>_xlfn.XLOOKUP(A801,'Subbu- Mini Project EXcel Clean'!A801:A1800,'Subbu- Mini Project EXcel Clean'!D801:D1800,"Entry Level",0)</f>
        <v>85.4</v>
      </c>
      <c r="E801">
        <f>_xlfn.XLOOKUP(A801,'Subbu- Mini Project EXcel Clean'!A801:A1800,'Subbu- Mini Project EXcel Clean'!F801:F1800,"Entry Level",0)</f>
        <v>92.3</v>
      </c>
      <c r="F801">
        <f>_xlfn.XLOOKUP(A801,'Subbu- Mini Project EXcel Clean'!A801:A1800,'Subbu- Mini Project EXcel Clean'!G801:G1800," ",0)</f>
        <v>91.5</v>
      </c>
      <c r="G801" t="str">
        <f>_xlfn.XLOOKUP(A801,'Subbu- Mini Project EXcel Clean'!A801:A1800,'Subbu- Mini Project EXcel Clean'!H801:H1800," ",0)</f>
        <v>Pass</v>
      </c>
      <c r="H801" t="str">
        <f>VLOOKUP(A801,'Subbu- Mini Project EXcel Clean'!A800:R1800,18,)</f>
        <v>High School</v>
      </c>
    </row>
    <row r="802" spans="1:8" x14ac:dyDescent="0.25">
      <c r="A802" t="s">
        <v>830</v>
      </c>
      <c r="B802">
        <f>VLOOKUP(A802,'Subbu- Mini Project EXcel Clean'!A801:R1801,2,FALSE)</f>
        <v>79.900000000000006</v>
      </c>
      <c r="C802">
        <f>VLOOKUP(A802,'Subbu- Mini Project EXcel Clean'!A801:R1801,3,FALSE)</f>
        <v>80.8</v>
      </c>
      <c r="D802">
        <f>_xlfn.XLOOKUP(A802,'Subbu- Mini Project EXcel Clean'!A802:A1801,'Subbu- Mini Project EXcel Clean'!D802:D1801,"Entry Level",0)</f>
        <v>89.5</v>
      </c>
      <c r="E802">
        <f>_xlfn.XLOOKUP(A802,'Subbu- Mini Project EXcel Clean'!A802:A1801,'Subbu- Mini Project EXcel Clean'!F802:F1801,"Entry Level",0)</f>
        <v>81.099999999999994</v>
      </c>
      <c r="F802">
        <f>_xlfn.XLOOKUP(A802,'Subbu- Mini Project EXcel Clean'!A802:A1801,'Subbu- Mini Project EXcel Clean'!G802:G1801," ",0)</f>
        <v>80</v>
      </c>
      <c r="G802" t="str">
        <f>_xlfn.XLOOKUP(A802,'Subbu- Mini Project EXcel Clean'!A802:A1801,'Subbu- Mini Project EXcel Clean'!H802:H1801," ",0)</f>
        <v>Pass</v>
      </c>
      <c r="H802" t="str">
        <f>VLOOKUP(A802,'Subbu- Mini Project EXcel Clean'!A801:R1801,18,)</f>
        <v>High School</v>
      </c>
    </row>
    <row r="803" spans="1:8" x14ac:dyDescent="0.25">
      <c r="A803" t="s">
        <v>831</v>
      </c>
      <c r="B803">
        <f>VLOOKUP(A803,'Subbu- Mini Project EXcel Clean'!A802:R1802,2,FALSE)</f>
        <v>54.1</v>
      </c>
      <c r="C803">
        <f>VLOOKUP(A803,'Subbu- Mini Project EXcel Clean'!A802:R1802,3,FALSE)</f>
        <v>50.3</v>
      </c>
      <c r="D803">
        <f>_xlfn.XLOOKUP(A803,'Subbu- Mini Project EXcel Clean'!A803:A1802,'Subbu- Mini Project EXcel Clean'!D803:D1802,"Entry Level",0)</f>
        <v>55</v>
      </c>
      <c r="E803">
        <f>_xlfn.XLOOKUP(A803,'Subbu- Mini Project EXcel Clean'!A803:A1802,'Subbu- Mini Project EXcel Clean'!F803:F1802,"Entry Level",0)</f>
        <v>57.8</v>
      </c>
      <c r="F803">
        <f>_xlfn.XLOOKUP(A803,'Subbu- Mini Project EXcel Clean'!A803:A1802,'Subbu- Mini Project EXcel Clean'!G803:G1802," ",0)</f>
        <v>53.1</v>
      </c>
      <c r="G803" t="str">
        <f>_xlfn.XLOOKUP(A803,'Subbu- Mini Project EXcel Clean'!A803:A1802,'Subbu- Mini Project EXcel Clean'!H803:H1802," ",0)</f>
        <v>Pass</v>
      </c>
      <c r="H803" t="str">
        <f>VLOOKUP(A803,'Subbu- Mini Project EXcel Clean'!A802:R1802,18,)</f>
        <v>Bachelor</v>
      </c>
    </row>
    <row r="804" spans="1:8" x14ac:dyDescent="0.25">
      <c r="A804" t="s">
        <v>832</v>
      </c>
      <c r="B804">
        <f>VLOOKUP(A804,'Subbu- Mini Project EXcel Clean'!A803:R1803,2,FALSE)</f>
        <v>66.599999999999994</v>
      </c>
      <c r="C804">
        <f>VLOOKUP(A804,'Subbu- Mini Project EXcel Clean'!A803:R1803,3,FALSE)</f>
        <v>71.400000000000006</v>
      </c>
      <c r="D804">
        <f>_xlfn.XLOOKUP(A804,'Subbu- Mini Project EXcel Clean'!A804:A1803,'Subbu- Mini Project EXcel Clean'!D804:D1803,"Entry Level",0)</f>
        <v>81.3</v>
      </c>
      <c r="E804">
        <f>_xlfn.XLOOKUP(A804,'Subbu- Mini Project EXcel Clean'!A804:A1803,'Subbu- Mini Project EXcel Clean'!F804:F1803,"Entry Level",0)</f>
        <v>62.1</v>
      </c>
      <c r="F804">
        <f>_xlfn.XLOOKUP(A804,'Subbu- Mini Project EXcel Clean'!A804:A1803,'Subbu- Mini Project EXcel Clean'!G804:G1803," ",0)</f>
        <v>66.900000000000006</v>
      </c>
      <c r="G804" t="str">
        <f>_xlfn.XLOOKUP(A804,'Subbu- Mini Project EXcel Clean'!A804:A1803,'Subbu- Mini Project EXcel Clean'!H804:H1803," ",0)</f>
        <v>Pass</v>
      </c>
      <c r="H804" t="str">
        <f>VLOOKUP(A804,'Subbu- Mini Project EXcel Clean'!A803:R1803,18,)</f>
        <v>High School</v>
      </c>
    </row>
    <row r="805" spans="1:8" x14ac:dyDescent="0.25">
      <c r="A805" t="s">
        <v>833</v>
      </c>
      <c r="B805">
        <f>VLOOKUP(A805,'Subbu- Mini Project EXcel Clean'!A804:R1804,2,FALSE)</f>
        <v>73.7</v>
      </c>
      <c r="C805">
        <f>VLOOKUP(A805,'Subbu- Mini Project EXcel Clean'!A804:R1804,3,FALSE)</f>
        <v>79.5</v>
      </c>
      <c r="D805">
        <f>_xlfn.XLOOKUP(A805,'Subbu- Mini Project EXcel Clean'!A805:A1804,'Subbu- Mini Project EXcel Clean'!D805:D1804,"Entry Level",0)</f>
        <v>67.3</v>
      </c>
      <c r="E805">
        <f>_xlfn.XLOOKUP(A805,'Subbu- Mini Project EXcel Clean'!A805:A1804,'Subbu- Mini Project EXcel Clean'!F805:F1804,"Entry Level",0)</f>
        <v>84.4</v>
      </c>
      <c r="F805">
        <f>_xlfn.XLOOKUP(A805,'Subbu- Mini Project EXcel Clean'!A805:A1804,'Subbu- Mini Project EXcel Clean'!G805:G1804," ",0)</f>
        <v>78.900000000000006</v>
      </c>
      <c r="G805" t="str">
        <f>_xlfn.XLOOKUP(A805,'Subbu- Mini Project EXcel Clean'!A805:A1804,'Subbu- Mini Project EXcel Clean'!H805:H1804," ",0)</f>
        <v>Pass</v>
      </c>
      <c r="H805" t="str">
        <f>VLOOKUP(A805,'Subbu- Mini Project EXcel Clean'!A804:R1804,18,)</f>
        <v>Bachelor</v>
      </c>
    </row>
    <row r="806" spans="1:8" x14ac:dyDescent="0.25">
      <c r="A806" t="s">
        <v>834</v>
      </c>
      <c r="B806">
        <f>VLOOKUP(A806,'Subbu- Mini Project EXcel Clean'!A805:R1805,2,FALSE)</f>
        <v>65.5</v>
      </c>
      <c r="C806">
        <f>VLOOKUP(A806,'Subbu- Mini Project EXcel Clean'!A805:R1805,3,FALSE)</f>
        <v>68.8</v>
      </c>
      <c r="D806">
        <f>_xlfn.XLOOKUP(A806,'Subbu- Mini Project EXcel Clean'!A806:A1805,'Subbu- Mini Project EXcel Clean'!D806:D1805,"Entry Level",0)</f>
        <v>63.7</v>
      </c>
      <c r="E806">
        <f>_xlfn.XLOOKUP(A806,'Subbu- Mini Project EXcel Clean'!A806:A1805,'Subbu- Mini Project EXcel Clean'!F806:F1805,"Entry Level",0)</f>
        <v>64.7</v>
      </c>
      <c r="F806">
        <f>_xlfn.XLOOKUP(A806,'Subbu- Mini Project EXcel Clean'!A806:A1805,'Subbu- Mini Project EXcel Clean'!G806:G1805," ",0)</f>
        <v>64</v>
      </c>
      <c r="G806" t="str">
        <f>_xlfn.XLOOKUP(A806,'Subbu- Mini Project EXcel Clean'!A806:A1805,'Subbu- Mini Project EXcel Clean'!H806:H1805," ",0)</f>
        <v>Pass</v>
      </c>
      <c r="H806" t="str">
        <f>VLOOKUP(A806,'Subbu- Mini Project EXcel Clean'!A805:R1805,18,)</f>
        <v>Bachelor</v>
      </c>
    </row>
    <row r="807" spans="1:8" x14ac:dyDescent="0.25">
      <c r="A807" t="s">
        <v>835</v>
      </c>
      <c r="B807">
        <f>VLOOKUP(A807,'Subbu- Mini Project EXcel Clean'!A806:R1806,2,FALSE)</f>
        <v>84</v>
      </c>
      <c r="C807">
        <f>VLOOKUP(A807,'Subbu- Mini Project EXcel Clean'!A806:R1806,3,FALSE)</f>
        <v>77.400000000000006</v>
      </c>
      <c r="D807">
        <f>_xlfn.XLOOKUP(A807,'Subbu- Mini Project EXcel Clean'!A807:A1806,'Subbu- Mini Project EXcel Clean'!D807:D1806,"Entry Level",0)</f>
        <v>74</v>
      </c>
      <c r="E807">
        <f>_xlfn.XLOOKUP(A807,'Subbu- Mini Project EXcel Clean'!A807:A1806,'Subbu- Mini Project EXcel Clean'!F807:F1806,"Entry Level",0)</f>
        <v>77.900000000000006</v>
      </c>
      <c r="F807">
        <f>_xlfn.XLOOKUP(A807,'Subbu- Mini Project EXcel Clean'!A807:A1806,'Subbu- Mini Project EXcel Clean'!G807:G1806," ",0)</f>
        <v>79.2</v>
      </c>
      <c r="G807" t="str">
        <f>_xlfn.XLOOKUP(A807,'Subbu- Mini Project EXcel Clean'!A807:A1806,'Subbu- Mini Project EXcel Clean'!H807:H1806," ",0)</f>
        <v>Pass</v>
      </c>
      <c r="H807" t="str">
        <f>VLOOKUP(A807,'Subbu- Mini Project EXcel Clean'!A806:R1806,18,)</f>
        <v>Bachelor</v>
      </c>
    </row>
    <row r="808" spans="1:8" x14ac:dyDescent="0.25">
      <c r="A808" t="s">
        <v>836</v>
      </c>
      <c r="B808">
        <f>VLOOKUP(A808,'Subbu- Mini Project EXcel Clean'!A807:R1807,2,FALSE)</f>
        <v>92.3</v>
      </c>
      <c r="C808">
        <f>VLOOKUP(A808,'Subbu- Mini Project EXcel Clean'!A807:R1807,3,FALSE)</f>
        <v>84.8</v>
      </c>
      <c r="D808">
        <f>_xlfn.XLOOKUP(A808,'Subbu- Mini Project EXcel Clean'!A808:A1807,'Subbu- Mini Project EXcel Clean'!D808:D1807,"Entry Level",0)</f>
        <v>87.9</v>
      </c>
      <c r="E808">
        <f>_xlfn.XLOOKUP(A808,'Subbu- Mini Project EXcel Clean'!A808:A1807,'Subbu- Mini Project EXcel Clean'!F808:F1807,"Entry Level",0)</f>
        <v>89</v>
      </c>
      <c r="F808">
        <f>_xlfn.XLOOKUP(A808,'Subbu- Mini Project EXcel Clean'!A808:A1807,'Subbu- Mini Project EXcel Clean'!G808:G1807," ",0)</f>
        <v>90.2</v>
      </c>
      <c r="G808" t="str">
        <f>_xlfn.XLOOKUP(A808,'Subbu- Mini Project EXcel Clean'!A808:A1807,'Subbu- Mini Project EXcel Clean'!H808:H1807," ",0)</f>
        <v>Pass</v>
      </c>
      <c r="H808" t="str">
        <f>VLOOKUP(A808,'Subbu- Mini Project EXcel Clean'!A807:R1807,18,)</f>
        <v>Master</v>
      </c>
    </row>
    <row r="809" spans="1:8" x14ac:dyDescent="0.25">
      <c r="A809" t="s">
        <v>837</v>
      </c>
      <c r="B809">
        <f>VLOOKUP(A809,'Subbu- Mini Project EXcel Clean'!A808:R1808,2,FALSE)</f>
        <v>89.1</v>
      </c>
      <c r="C809">
        <f>VLOOKUP(A809,'Subbu- Mini Project EXcel Clean'!A808:R1808,3,FALSE)</f>
        <v>89.9</v>
      </c>
      <c r="D809">
        <f>_xlfn.XLOOKUP(A809,'Subbu- Mini Project EXcel Clean'!A809:A1808,'Subbu- Mini Project EXcel Clean'!D809:D1808,"Entry Level",0)</f>
        <v>86.3</v>
      </c>
      <c r="E809">
        <f>_xlfn.XLOOKUP(A809,'Subbu- Mini Project EXcel Clean'!A809:A1808,'Subbu- Mini Project EXcel Clean'!F809:F1808,"Entry Level",0)</f>
        <v>98.9</v>
      </c>
      <c r="F809">
        <f>_xlfn.XLOOKUP(A809,'Subbu- Mini Project EXcel Clean'!A809:A1808,'Subbu- Mini Project EXcel Clean'!G809:G1808," ",0)</f>
        <v>94.9</v>
      </c>
      <c r="G809" t="str">
        <f>_xlfn.XLOOKUP(A809,'Subbu- Mini Project EXcel Clean'!A809:A1808,'Subbu- Mini Project EXcel Clean'!H809:H1808," ",0)</f>
        <v>Pass</v>
      </c>
      <c r="H809" t="str">
        <f>VLOOKUP(A809,'Subbu- Mini Project EXcel Clean'!A808:R1808,18,)</f>
        <v>High School</v>
      </c>
    </row>
    <row r="810" spans="1:8" x14ac:dyDescent="0.25">
      <c r="A810" t="s">
        <v>838</v>
      </c>
      <c r="B810">
        <f>VLOOKUP(A810,'Subbu- Mini Project EXcel Clean'!A809:R1809,2,FALSE)</f>
        <v>60.7</v>
      </c>
      <c r="C810">
        <f>VLOOKUP(A810,'Subbu- Mini Project EXcel Clean'!A809:R1809,3,FALSE)</f>
        <v>60.8</v>
      </c>
      <c r="D810">
        <f>_xlfn.XLOOKUP(A810,'Subbu- Mini Project EXcel Clean'!A810:A1809,'Subbu- Mini Project EXcel Clean'!D810:D1809,"Entry Level",0)</f>
        <v>71</v>
      </c>
      <c r="E810">
        <f>_xlfn.XLOOKUP(A810,'Subbu- Mini Project EXcel Clean'!A810:A1809,'Subbu- Mini Project EXcel Clean'!F810:F1809,"Entry Level",0)</f>
        <v>61.1</v>
      </c>
      <c r="F810">
        <f>_xlfn.XLOOKUP(A810,'Subbu- Mini Project EXcel Clean'!A810:A1809,'Subbu- Mini Project EXcel Clean'!G810:G1809," ",0)</f>
        <v>62.95</v>
      </c>
      <c r="G810" t="str">
        <f>_xlfn.XLOOKUP(A810,'Subbu- Mini Project EXcel Clean'!A810:A1809,'Subbu- Mini Project EXcel Clean'!H810:H1809," ",0)</f>
        <v>Pass</v>
      </c>
      <c r="H810" t="str">
        <f>VLOOKUP(A810,'Subbu- Mini Project EXcel Clean'!A809:R1809,18,)</f>
        <v>Master</v>
      </c>
    </row>
    <row r="811" spans="1:8" x14ac:dyDescent="0.25">
      <c r="A811" t="s">
        <v>839</v>
      </c>
      <c r="B811">
        <f>VLOOKUP(A811,'Subbu- Mini Project EXcel Clean'!A810:R1810,2,FALSE)</f>
        <v>46.7</v>
      </c>
      <c r="C811">
        <f>VLOOKUP(A811,'Subbu- Mini Project EXcel Clean'!A810:R1810,3,FALSE)</f>
        <v>45.9</v>
      </c>
      <c r="D811">
        <f>_xlfn.XLOOKUP(A811,'Subbu- Mini Project EXcel Clean'!A811:A1810,'Subbu- Mini Project EXcel Clean'!D811:D1810,"Entry Level",0)</f>
        <v>44.2</v>
      </c>
      <c r="E811">
        <f>_xlfn.XLOOKUP(A811,'Subbu- Mini Project EXcel Clean'!A811:A1810,'Subbu- Mini Project EXcel Clean'!F811:F1810,"Entry Level",0)</f>
        <v>59.4</v>
      </c>
      <c r="F811">
        <f>_xlfn.XLOOKUP(A811,'Subbu- Mini Project EXcel Clean'!A811:A1810,'Subbu- Mini Project EXcel Clean'!G811:G1810," ",0)</f>
        <v>52.8</v>
      </c>
      <c r="G811" t="str">
        <f>_xlfn.XLOOKUP(A811,'Subbu- Mini Project EXcel Clean'!A811:A1810,'Subbu- Mini Project EXcel Clean'!H811:H1810," ",0)</f>
        <v>Pass</v>
      </c>
      <c r="H811" t="str">
        <f>VLOOKUP(A811,'Subbu- Mini Project EXcel Clean'!A810:R1810,18,)</f>
        <v>Bachelor</v>
      </c>
    </row>
    <row r="812" spans="1:8" x14ac:dyDescent="0.25">
      <c r="A812" t="s">
        <v>840</v>
      </c>
      <c r="B812">
        <f>VLOOKUP(A812,'Subbu- Mini Project EXcel Clean'!A811:R1811,2,FALSE)</f>
        <v>88.8</v>
      </c>
      <c r="C812">
        <f>VLOOKUP(A812,'Subbu- Mini Project EXcel Clean'!A811:R1811,3,FALSE)</f>
        <v>100.4</v>
      </c>
      <c r="D812">
        <f>_xlfn.XLOOKUP(A812,'Subbu- Mini Project EXcel Clean'!A812:A1811,'Subbu- Mini Project EXcel Clean'!D812:D1811,"Entry Level",0)</f>
        <v>99.5</v>
      </c>
      <c r="E812">
        <f>_xlfn.XLOOKUP(A812,'Subbu- Mini Project EXcel Clean'!A812:A1811,'Subbu- Mini Project EXcel Clean'!F812:F1811,"Entry Level",0)</f>
        <v>99.9</v>
      </c>
      <c r="F812">
        <f>_xlfn.XLOOKUP(A812,'Subbu- Mini Project EXcel Clean'!A812:A1811,'Subbu- Mini Project EXcel Clean'!G812:G1811," ",0)</f>
        <v>97.05</v>
      </c>
      <c r="G812" t="str">
        <f>_xlfn.XLOOKUP(A812,'Subbu- Mini Project EXcel Clean'!A812:A1811,'Subbu- Mini Project EXcel Clean'!H812:H1811," ",0)</f>
        <v>Pass</v>
      </c>
      <c r="H812" t="str">
        <f>VLOOKUP(A812,'Subbu- Mini Project EXcel Clean'!A811:R1811,18,)</f>
        <v>High School</v>
      </c>
    </row>
    <row r="813" spans="1:8" x14ac:dyDescent="0.25">
      <c r="A813" t="s">
        <v>841</v>
      </c>
      <c r="B813">
        <f>VLOOKUP(A813,'Subbu- Mini Project EXcel Clean'!A812:R1812,2,FALSE)</f>
        <v>71.5</v>
      </c>
      <c r="C813">
        <f>VLOOKUP(A813,'Subbu- Mini Project EXcel Clean'!A812:R1812,3,FALSE)</f>
        <v>83.9</v>
      </c>
      <c r="D813">
        <f>_xlfn.XLOOKUP(A813,'Subbu- Mini Project EXcel Clean'!A813:A1812,'Subbu- Mini Project EXcel Clean'!D813:D1812,"Entry Level",0)</f>
        <v>89.2</v>
      </c>
      <c r="E813">
        <f>_xlfn.XLOOKUP(A813,'Subbu- Mini Project EXcel Clean'!A813:A1812,'Subbu- Mini Project EXcel Clean'!F813:F1812,"Entry Level",0)</f>
        <v>86.3</v>
      </c>
      <c r="F813">
        <f>_xlfn.XLOOKUP(A813,'Subbu- Mini Project EXcel Clean'!A813:A1812,'Subbu- Mini Project EXcel Clean'!G813:G1812," ",0)</f>
        <v>86.2</v>
      </c>
      <c r="G813" t="str">
        <f>_xlfn.XLOOKUP(A813,'Subbu- Mini Project EXcel Clean'!A813:A1812,'Subbu- Mini Project EXcel Clean'!H813:H1812," ",0)</f>
        <v>Pass</v>
      </c>
      <c r="H813" t="str">
        <f>VLOOKUP(A813,'Subbu- Mini Project EXcel Clean'!A812:R1812,18,)</f>
        <v>Master</v>
      </c>
    </row>
    <row r="814" spans="1:8" x14ac:dyDescent="0.25">
      <c r="A814" t="s">
        <v>842</v>
      </c>
      <c r="B814">
        <f>VLOOKUP(A814,'Subbu- Mini Project EXcel Clean'!A813:R1813,2,FALSE)</f>
        <v>49</v>
      </c>
      <c r="C814">
        <f>VLOOKUP(A814,'Subbu- Mini Project EXcel Clean'!A813:R1813,3,FALSE)</f>
        <v>46.6</v>
      </c>
      <c r="D814">
        <f>_xlfn.XLOOKUP(A814,'Subbu- Mini Project EXcel Clean'!A814:A1813,'Subbu- Mini Project EXcel Clean'!D814:D1813,"Entry Level",0)</f>
        <v>58.4</v>
      </c>
      <c r="E814">
        <f>_xlfn.XLOOKUP(A814,'Subbu- Mini Project EXcel Clean'!A814:A1813,'Subbu- Mini Project EXcel Clean'!F814:F1813,"Entry Level",0)</f>
        <v>49.3</v>
      </c>
      <c r="F814">
        <f>_xlfn.XLOOKUP(A814,'Subbu- Mini Project EXcel Clean'!A814:A1813,'Subbu- Mini Project EXcel Clean'!G814:G1813," ",0)</f>
        <v>48.1</v>
      </c>
      <c r="G814" t="str">
        <f>_xlfn.XLOOKUP(A814,'Subbu- Mini Project EXcel Clean'!A814:A1813,'Subbu- Mini Project EXcel Clean'!H814:H1813," ",0)</f>
        <v>Fail</v>
      </c>
      <c r="H814" t="str">
        <f>VLOOKUP(A814,'Subbu- Mini Project EXcel Clean'!A813:R1813,18,)</f>
        <v>Bachelor</v>
      </c>
    </row>
    <row r="815" spans="1:8" x14ac:dyDescent="0.25">
      <c r="A815" t="s">
        <v>843</v>
      </c>
      <c r="B815">
        <f>VLOOKUP(A815,'Subbu- Mini Project EXcel Clean'!A814:R1814,2,FALSE)</f>
        <v>95.2</v>
      </c>
      <c r="C815">
        <f>VLOOKUP(A815,'Subbu- Mini Project EXcel Clean'!A814:R1814,3,FALSE)</f>
        <v>90.9</v>
      </c>
      <c r="D815">
        <f>_xlfn.XLOOKUP(A815,'Subbu- Mini Project EXcel Clean'!A815:A1814,'Subbu- Mini Project EXcel Clean'!D815:D1814,"Entry Level",0)</f>
        <v>83.2</v>
      </c>
      <c r="E815">
        <f>_xlfn.XLOOKUP(A815,'Subbu- Mini Project EXcel Clean'!A815:A1814,'Subbu- Mini Project EXcel Clean'!F815:F1814,"Entry Level",0)</f>
        <v>83.4</v>
      </c>
      <c r="F815">
        <f>_xlfn.XLOOKUP(A815,'Subbu- Mini Project EXcel Clean'!A815:A1814,'Subbu- Mini Project EXcel Clean'!G815:G1814," ",0)</f>
        <v>87</v>
      </c>
      <c r="G815" t="str">
        <f>_xlfn.XLOOKUP(A815,'Subbu- Mini Project EXcel Clean'!A815:A1814,'Subbu- Mini Project EXcel Clean'!H815:H1814," ",0)</f>
        <v>Pass</v>
      </c>
      <c r="H815" t="str">
        <f>VLOOKUP(A815,'Subbu- Mini Project EXcel Clean'!A814:R1814,18,)</f>
        <v>Master</v>
      </c>
    </row>
    <row r="816" spans="1:8" x14ac:dyDescent="0.25">
      <c r="A816" t="s">
        <v>844</v>
      </c>
      <c r="B816">
        <f>VLOOKUP(A816,'Subbu- Mini Project EXcel Clean'!A815:R1815,2,FALSE)</f>
        <v>76</v>
      </c>
      <c r="C816">
        <f>VLOOKUP(A816,'Subbu- Mini Project EXcel Clean'!A815:R1815,3,FALSE)</f>
        <v>92.1</v>
      </c>
      <c r="D816">
        <f>_xlfn.XLOOKUP(A816,'Subbu- Mini Project EXcel Clean'!A816:A1815,'Subbu- Mini Project EXcel Clean'!D816:D1815,"Entry Level",0)</f>
        <v>94.1</v>
      </c>
      <c r="E816">
        <f>_xlfn.XLOOKUP(A816,'Subbu- Mini Project EXcel Clean'!A816:A1815,'Subbu- Mini Project EXcel Clean'!F816:F1815,"Entry Level",0)</f>
        <v>78.099999999999994</v>
      </c>
      <c r="F816">
        <f>_xlfn.XLOOKUP(A816,'Subbu- Mini Project EXcel Clean'!A816:A1815,'Subbu- Mini Project EXcel Clean'!G816:G1815," ",0)</f>
        <v>82.95</v>
      </c>
      <c r="G816" t="str">
        <f>_xlfn.XLOOKUP(A816,'Subbu- Mini Project EXcel Clean'!A816:A1815,'Subbu- Mini Project EXcel Clean'!H816:H1815," ",0)</f>
        <v>Pass</v>
      </c>
      <c r="H816" t="str">
        <f>VLOOKUP(A816,'Subbu- Mini Project EXcel Clean'!A815:R1815,18,)</f>
        <v>Master</v>
      </c>
    </row>
    <row r="817" spans="1:8" x14ac:dyDescent="0.25">
      <c r="A817" t="s">
        <v>845</v>
      </c>
      <c r="B817">
        <f>VLOOKUP(A817,'Subbu- Mini Project EXcel Clean'!A816:R1816,2,FALSE)</f>
        <v>63.5</v>
      </c>
      <c r="C817">
        <f>VLOOKUP(A817,'Subbu- Mini Project EXcel Clean'!A816:R1816,3,FALSE)</f>
        <v>57.3</v>
      </c>
      <c r="D817">
        <f>_xlfn.XLOOKUP(A817,'Subbu- Mini Project EXcel Clean'!A817:A1816,'Subbu- Mini Project EXcel Clean'!D817:D1816,"Entry Level",0)</f>
        <v>74.3</v>
      </c>
      <c r="E817">
        <f>_xlfn.XLOOKUP(A817,'Subbu- Mini Project EXcel Clean'!A817:A1816,'Subbu- Mini Project EXcel Clean'!F817:F1816,"Entry Level",0)</f>
        <v>71.2</v>
      </c>
      <c r="F817">
        <f>_xlfn.XLOOKUP(A817,'Subbu- Mini Project EXcel Clean'!A817:A1816,'Subbu- Mini Project EXcel Clean'!G817:G1816," ",0)</f>
        <v>69.849999999999994</v>
      </c>
      <c r="G817" t="str">
        <f>_xlfn.XLOOKUP(A817,'Subbu- Mini Project EXcel Clean'!A817:A1816,'Subbu- Mini Project EXcel Clean'!H817:H1816," ",0)</f>
        <v>Pass</v>
      </c>
      <c r="H817" t="str">
        <f>VLOOKUP(A817,'Subbu- Mini Project EXcel Clean'!A816:R1816,18,)</f>
        <v>High School</v>
      </c>
    </row>
    <row r="818" spans="1:8" x14ac:dyDescent="0.25">
      <c r="A818" t="s">
        <v>846</v>
      </c>
      <c r="B818">
        <f>VLOOKUP(A818,'Subbu- Mini Project EXcel Clean'!A817:R1817,2,FALSE)</f>
        <v>75.599999999999994</v>
      </c>
      <c r="C818">
        <f>VLOOKUP(A818,'Subbu- Mini Project EXcel Clean'!A817:R1817,3,FALSE)</f>
        <v>69.5</v>
      </c>
      <c r="D818">
        <f>_xlfn.XLOOKUP(A818,'Subbu- Mini Project EXcel Clean'!A818:A1817,'Subbu- Mini Project EXcel Clean'!D818:D1817,"Entry Level",0)</f>
        <v>67.7</v>
      </c>
      <c r="E818">
        <f>_xlfn.XLOOKUP(A818,'Subbu- Mini Project EXcel Clean'!A818:A1817,'Subbu- Mini Project EXcel Clean'!F818:F1817,"Entry Level",0)</f>
        <v>93.3</v>
      </c>
      <c r="F818">
        <f>_xlfn.XLOOKUP(A818,'Subbu- Mini Project EXcel Clean'!A818:A1817,'Subbu- Mini Project EXcel Clean'!G818:G1817," ",0)</f>
        <v>82.9</v>
      </c>
      <c r="G818" t="str">
        <f>_xlfn.XLOOKUP(A818,'Subbu- Mini Project EXcel Clean'!A818:A1817,'Subbu- Mini Project EXcel Clean'!H818:H1817," ",0)</f>
        <v>Pass</v>
      </c>
      <c r="H818" t="str">
        <f>VLOOKUP(A818,'Subbu- Mini Project EXcel Clean'!A817:R1817,18,)</f>
        <v>High School</v>
      </c>
    </row>
    <row r="819" spans="1:8" x14ac:dyDescent="0.25">
      <c r="A819" t="s">
        <v>847</v>
      </c>
      <c r="B819">
        <f>VLOOKUP(A819,'Subbu- Mini Project EXcel Clean'!A818:R1818,2,FALSE)</f>
        <v>72.2</v>
      </c>
      <c r="C819">
        <f>VLOOKUP(A819,'Subbu- Mini Project EXcel Clean'!A818:R1818,3,FALSE)</f>
        <v>63</v>
      </c>
      <c r="D819">
        <f>_xlfn.XLOOKUP(A819,'Subbu- Mini Project EXcel Clean'!A819:A1818,'Subbu- Mini Project EXcel Clean'!D819:D1818,"Entry Level",0)</f>
        <v>67</v>
      </c>
      <c r="E819">
        <f>_xlfn.XLOOKUP(A819,'Subbu- Mini Project EXcel Clean'!A819:A1818,'Subbu- Mini Project EXcel Clean'!F819:F1818,"Entry Level",0)</f>
        <v>71.599999999999994</v>
      </c>
      <c r="F819">
        <f>_xlfn.XLOOKUP(A819,'Subbu- Mini Project EXcel Clean'!A819:A1818,'Subbu- Mini Project EXcel Clean'!G819:G1818," ",0)</f>
        <v>66.75</v>
      </c>
      <c r="G819" t="str">
        <f>_xlfn.XLOOKUP(A819,'Subbu- Mini Project EXcel Clean'!A819:A1818,'Subbu- Mini Project EXcel Clean'!H819:H1818," ",0)</f>
        <v>Pass</v>
      </c>
      <c r="H819" t="str">
        <f>VLOOKUP(A819,'Subbu- Mini Project EXcel Clean'!A818:R1818,18,)</f>
        <v>Master</v>
      </c>
    </row>
    <row r="820" spans="1:8" x14ac:dyDescent="0.25">
      <c r="A820" t="s">
        <v>848</v>
      </c>
      <c r="B820">
        <f>VLOOKUP(A820,'Subbu- Mini Project EXcel Clean'!A819:R1819,2,FALSE)</f>
        <v>43.1</v>
      </c>
      <c r="C820">
        <f>VLOOKUP(A820,'Subbu- Mini Project EXcel Clean'!A819:R1819,3,FALSE)</f>
        <v>49</v>
      </c>
      <c r="D820">
        <f>_xlfn.XLOOKUP(A820,'Subbu- Mini Project EXcel Clean'!A820:A1819,'Subbu- Mini Project EXcel Clean'!D820:D1819,"Entry Level",0)</f>
        <v>44.7</v>
      </c>
      <c r="E820">
        <f>_xlfn.XLOOKUP(A820,'Subbu- Mini Project EXcel Clean'!A820:A1819,'Subbu- Mini Project EXcel Clean'!F820:F1819,"Entry Level",0)</f>
        <v>55.3</v>
      </c>
      <c r="F820">
        <f>_xlfn.XLOOKUP(A820,'Subbu- Mini Project EXcel Clean'!A820:A1819,'Subbu- Mini Project EXcel Clean'!G820:G1819," ",0)</f>
        <v>49.15</v>
      </c>
      <c r="G820" t="str">
        <f>_xlfn.XLOOKUP(A820,'Subbu- Mini Project EXcel Clean'!A820:A1819,'Subbu- Mini Project EXcel Clean'!H820:H1819," ",0)</f>
        <v>Fail</v>
      </c>
      <c r="H820" t="str">
        <f>VLOOKUP(A820,'Subbu- Mini Project EXcel Clean'!A819:R1819,18,)</f>
        <v>High School</v>
      </c>
    </row>
    <row r="821" spans="1:8" x14ac:dyDescent="0.25">
      <c r="A821" t="s">
        <v>849</v>
      </c>
      <c r="B821">
        <f>VLOOKUP(A821,'Subbu- Mini Project EXcel Clean'!A820:R1820,2,FALSE)</f>
        <v>54.8</v>
      </c>
      <c r="C821">
        <f>VLOOKUP(A821,'Subbu- Mini Project EXcel Clean'!A820:R1820,3,FALSE)</f>
        <v>56</v>
      </c>
      <c r="D821">
        <f>_xlfn.XLOOKUP(A821,'Subbu- Mini Project EXcel Clean'!A821:A1820,'Subbu- Mini Project EXcel Clean'!D821:D1820,"Entry Level",0)</f>
        <v>57.3</v>
      </c>
      <c r="E821">
        <f>_xlfn.XLOOKUP(A821,'Subbu- Mini Project EXcel Clean'!A821:A1820,'Subbu- Mini Project EXcel Clean'!F821:F1820,"Entry Level",0)</f>
        <v>60.1</v>
      </c>
      <c r="F821">
        <f>_xlfn.XLOOKUP(A821,'Subbu- Mini Project EXcel Clean'!A821:A1820,'Subbu- Mini Project EXcel Clean'!G821:G1820," ",0)</f>
        <v>59.25</v>
      </c>
      <c r="G821" t="str">
        <f>_xlfn.XLOOKUP(A821,'Subbu- Mini Project EXcel Clean'!A821:A1820,'Subbu- Mini Project EXcel Clean'!H821:H1820," ",0)</f>
        <v>Pass</v>
      </c>
      <c r="H821" t="str">
        <f>VLOOKUP(A821,'Subbu- Mini Project EXcel Clean'!A820:R1820,18,)</f>
        <v>High School</v>
      </c>
    </row>
    <row r="822" spans="1:8" x14ac:dyDescent="0.25">
      <c r="A822" t="s">
        <v>850</v>
      </c>
      <c r="B822">
        <f>VLOOKUP(A822,'Subbu- Mini Project EXcel Clean'!A821:R1821,2,FALSE)</f>
        <v>83.2</v>
      </c>
      <c r="C822">
        <f>VLOOKUP(A822,'Subbu- Mini Project EXcel Clean'!A821:R1821,3,FALSE)</f>
        <v>74.8</v>
      </c>
      <c r="D822">
        <f>_xlfn.XLOOKUP(A822,'Subbu- Mini Project EXcel Clean'!A822:A1821,'Subbu- Mini Project EXcel Clean'!D822:D1821,"Entry Level",0)</f>
        <v>80</v>
      </c>
      <c r="E822">
        <f>_xlfn.XLOOKUP(A822,'Subbu- Mini Project EXcel Clean'!A822:A1821,'Subbu- Mini Project EXcel Clean'!F822:F1821,"Entry Level",0)</f>
        <v>63.8</v>
      </c>
      <c r="F822">
        <f>_xlfn.XLOOKUP(A822,'Subbu- Mini Project EXcel Clean'!A822:A1821,'Subbu- Mini Project EXcel Clean'!G822:G1821," ",0)</f>
        <v>74</v>
      </c>
      <c r="G822" t="str">
        <f>_xlfn.XLOOKUP(A822,'Subbu- Mini Project EXcel Clean'!A822:A1821,'Subbu- Mini Project EXcel Clean'!H822:H1821," ",0)</f>
        <v>Pass</v>
      </c>
      <c r="H822" t="str">
        <f>VLOOKUP(A822,'Subbu- Mini Project EXcel Clean'!A821:R1821,18,)</f>
        <v>Master</v>
      </c>
    </row>
    <row r="823" spans="1:8" x14ac:dyDescent="0.25">
      <c r="A823" t="s">
        <v>851</v>
      </c>
      <c r="B823">
        <f>VLOOKUP(A823,'Subbu- Mini Project EXcel Clean'!A822:R1822,2,FALSE)</f>
        <v>47.1</v>
      </c>
      <c r="C823">
        <f>VLOOKUP(A823,'Subbu- Mini Project EXcel Clean'!A822:R1822,3,FALSE)</f>
        <v>43.4</v>
      </c>
      <c r="D823">
        <f>_xlfn.XLOOKUP(A823,'Subbu- Mini Project EXcel Clean'!A823:A1822,'Subbu- Mini Project EXcel Clean'!D823:D1822,"Entry Level",0)</f>
        <v>36.700000000000003</v>
      </c>
      <c r="E823">
        <f>_xlfn.XLOOKUP(A823,'Subbu- Mini Project EXcel Clean'!A823:A1822,'Subbu- Mini Project EXcel Clean'!F823:F1822,"Entry Level",0)</f>
        <v>60.9</v>
      </c>
      <c r="F823">
        <f>_xlfn.XLOOKUP(A823,'Subbu- Mini Project EXcel Clean'!A823:A1822,'Subbu- Mini Project EXcel Clean'!G823:G1822," ",0)</f>
        <v>50.6</v>
      </c>
      <c r="G823" t="str">
        <f>_xlfn.XLOOKUP(A823,'Subbu- Mini Project EXcel Clean'!A823:A1822,'Subbu- Mini Project EXcel Clean'!H823:H1822," ",0)</f>
        <v>Pass</v>
      </c>
      <c r="H823" t="str">
        <f>VLOOKUP(A823,'Subbu- Mini Project EXcel Clean'!A822:R1822,18,)</f>
        <v>High School</v>
      </c>
    </row>
    <row r="824" spans="1:8" x14ac:dyDescent="0.25">
      <c r="A824" t="s">
        <v>852</v>
      </c>
      <c r="B824">
        <f>VLOOKUP(A824,'Subbu- Mini Project EXcel Clean'!A823:R1823,2,FALSE)</f>
        <v>55.1</v>
      </c>
      <c r="C824">
        <f>VLOOKUP(A824,'Subbu- Mini Project EXcel Clean'!A823:R1823,3,FALSE)</f>
        <v>55.2</v>
      </c>
      <c r="D824">
        <f>_xlfn.XLOOKUP(A824,'Subbu- Mini Project EXcel Clean'!A824:A1823,'Subbu- Mini Project EXcel Clean'!D824:D1823,"Entry Level",0)</f>
        <v>68.599999999999994</v>
      </c>
      <c r="E824">
        <f>_xlfn.XLOOKUP(A824,'Subbu- Mini Project EXcel Clean'!A824:A1823,'Subbu- Mini Project EXcel Clean'!F824:F1823,"Entry Level",0)</f>
        <v>62.7</v>
      </c>
      <c r="F824">
        <f>_xlfn.XLOOKUP(A824,'Subbu- Mini Project EXcel Clean'!A824:A1823,'Subbu- Mini Project EXcel Clean'!G824:G1823," ",0)</f>
        <v>60.5</v>
      </c>
      <c r="G824" t="str">
        <f>_xlfn.XLOOKUP(A824,'Subbu- Mini Project EXcel Clean'!A824:A1823,'Subbu- Mini Project EXcel Clean'!H824:H1823," ",0)</f>
        <v>Pass</v>
      </c>
      <c r="H824" t="str">
        <f>VLOOKUP(A824,'Subbu- Mini Project EXcel Clean'!A823:R1823,18,)</f>
        <v>High School</v>
      </c>
    </row>
    <row r="825" spans="1:8" x14ac:dyDescent="0.25">
      <c r="A825" t="s">
        <v>853</v>
      </c>
      <c r="B825">
        <f>VLOOKUP(A825,'Subbu- Mini Project EXcel Clean'!A824:R1824,2,FALSE)</f>
        <v>57.9</v>
      </c>
      <c r="C825">
        <f>VLOOKUP(A825,'Subbu- Mini Project EXcel Clean'!A824:R1824,3,FALSE)</f>
        <v>56</v>
      </c>
      <c r="D825">
        <f>_xlfn.XLOOKUP(A825,'Subbu- Mini Project EXcel Clean'!A825:A1824,'Subbu- Mini Project EXcel Clean'!D825:D1824,"Entry Level",0)</f>
        <v>61.9</v>
      </c>
      <c r="E825">
        <f>_xlfn.XLOOKUP(A825,'Subbu- Mini Project EXcel Clean'!A825:A1824,'Subbu- Mini Project EXcel Clean'!F825:F1824,"Entry Level",0)</f>
        <v>63.2</v>
      </c>
      <c r="F825">
        <f>_xlfn.XLOOKUP(A825,'Subbu- Mini Project EXcel Clean'!A825:A1824,'Subbu- Mini Project EXcel Clean'!G825:G1824," ",0)</f>
        <v>62.55</v>
      </c>
      <c r="G825" t="str">
        <f>_xlfn.XLOOKUP(A825,'Subbu- Mini Project EXcel Clean'!A825:A1824,'Subbu- Mini Project EXcel Clean'!H825:H1824," ",0)</f>
        <v>Pass</v>
      </c>
      <c r="H825" t="str">
        <f>VLOOKUP(A825,'Subbu- Mini Project EXcel Clean'!A824:R1824,18,)</f>
        <v>Bachelor</v>
      </c>
    </row>
    <row r="826" spans="1:8" x14ac:dyDescent="0.25">
      <c r="A826" t="s">
        <v>854</v>
      </c>
      <c r="B826">
        <f>VLOOKUP(A826,'Subbu- Mini Project EXcel Clean'!A825:R1825,2,FALSE)</f>
        <v>67.099999999999994</v>
      </c>
      <c r="C826">
        <f>VLOOKUP(A826,'Subbu- Mini Project EXcel Clean'!A825:R1825,3,FALSE)</f>
        <v>66.400000000000006</v>
      </c>
      <c r="D826">
        <f>_xlfn.XLOOKUP(A826,'Subbu- Mini Project EXcel Clean'!A826:A1825,'Subbu- Mini Project EXcel Clean'!D826:D1825,"Entry Level",0)</f>
        <v>73.5</v>
      </c>
      <c r="E826">
        <f>_xlfn.XLOOKUP(A826,'Subbu- Mini Project EXcel Clean'!A826:A1825,'Subbu- Mini Project EXcel Clean'!F826:F1825,"Entry Level",0)</f>
        <v>67.099999999999994</v>
      </c>
      <c r="F826">
        <f>_xlfn.XLOOKUP(A826,'Subbu- Mini Project EXcel Clean'!A826:A1825,'Subbu- Mini Project EXcel Clean'!G826:G1825," ",0)</f>
        <v>68.349999999999994</v>
      </c>
      <c r="G826" t="str">
        <f>_xlfn.XLOOKUP(A826,'Subbu- Mini Project EXcel Clean'!A826:A1825,'Subbu- Mini Project EXcel Clean'!H826:H1825," ",0)</f>
        <v>Pass</v>
      </c>
      <c r="H826" t="str">
        <f>VLOOKUP(A826,'Subbu- Mini Project EXcel Clean'!A825:R1825,18,)</f>
        <v>High School</v>
      </c>
    </row>
    <row r="827" spans="1:8" x14ac:dyDescent="0.25">
      <c r="A827" t="s">
        <v>855</v>
      </c>
      <c r="B827">
        <f>VLOOKUP(A827,'Subbu- Mini Project EXcel Clean'!A826:R1826,2,FALSE)</f>
        <v>85.8</v>
      </c>
      <c r="C827">
        <f>VLOOKUP(A827,'Subbu- Mini Project EXcel Clean'!A826:R1826,3,FALSE)</f>
        <v>89.7</v>
      </c>
      <c r="D827">
        <f>_xlfn.XLOOKUP(A827,'Subbu- Mini Project EXcel Clean'!A827:A1826,'Subbu- Mini Project EXcel Clean'!D827:D1826,"Entry Level",0)</f>
        <v>86.6</v>
      </c>
      <c r="E827">
        <f>_xlfn.XLOOKUP(A827,'Subbu- Mini Project EXcel Clean'!A827:A1826,'Subbu- Mini Project EXcel Clean'!F827:F1826,"Entry Level",0)</f>
        <v>91.4</v>
      </c>
      <c r="F827">
        <f>_xlfn.XLOOKUP(A827,'Subbu- Mini Project EXcel Clean'!A827:A1826,'Subbu- Mini Project EXcel Clean'!G827:G1826," ",0)</f>
        <v>91</v>
      </c>
      <c r="G827" t="str">
        <f>_xlfn.XLOOKUP(A827,'Subbu- Mini Project EXcel Clean'!A827:A1826,'Subbu- Mini Project EXcel Clean'!H827:H1826," ",0)</f>
        <v>Pass</v>
      </c>
      <c r="H827" t="str">
        <f>VLOOKUP(A827,'Subbu- Mini Project EXcel Clean'!A826:R1826,18,)</f>
        <v>Bachelor</v>
      </c>
    </row>
    <row r="828" spans="1:8" x14ac:dyDescent="0.25">
      <c r="A828" t="s">
        <v>856</v>
      </c>
      <c r="B828">
        <f>VLOOKUP(A828,'Subbu- Mini Project EXcel Clean'!A827:R1827,2,FALSE)</f>
        <v>59.7</v>
      </c>
      <c r="C828">
        <f>VLOOKUP(A828,'Subbu- Mini Project EXcel Clean'!A827:R1827,3,FALSE)</f>
        <v>56</v>
      </c>
      <c r="D828">
        <f>_xlfn.XLOOKUP(A828,'Subbu- Mini Project EXcel Clean'!A828:A1827,'Subbu- Mini Project EXcel Clean'!D828:D1827,"Entry Level",0)</f>
        <v>55.1</v>
      </c>
      <c r="E828">
        <f>_xlfn.XLOOKUP(A828,'Subbu- Mini Project EXcel Clean'!A828:A1827,'Subbu- Mini Project EXcel Clean'!F828:F1827,"Entry Level",0)</f>
        <v>66.3</v>
      </c>
      <c r="F828">
        <f>_xlfn.XLOOKUP(A828,'Subbu- Mini Project EXcel Clean'!A828:A1827,'Subbu- Mini Project EXcel Clean'!G828:G1827," ",0)</f>
        <v>62.65</v>
      </c>
      <c r="G828" t="str">
        <f>_xlfn.XLOOKUP(A828,'Subbu- Mini Project EXcel Clean'!A828:A1827,'Subbu- Mini Project EXcel Clean'!H828:H1827," ",0)</f>
        <v>Pass</v>
      </c>
      <c r="H828" t="str">
        <f>VLOOKUP(A828,'Subbu- Mini Project EXcel Clean'!A827:R1827,18,)</f>
        <v>Master</v>
      </c>
    </row>
    <row r="829" spans="1:8" x14ac:dyDescent="0.25">
      <c r="A829" t="s">
        <v>857</v>
      </c>
      <c r="B829">
        <f>VLOOKUP(A829,'Subbu- Mini Project EXcel Clean'!A828:R1828,2,FALSE)</f>
        <v>67.2</v>
      </c>
      <c r="C829">
        <f>VLOOKUP(A829,'Subbu- Mini Project EXcel Clean'!A828:R1828,3,FALSE)</f>
        <v>48.1</v>
      </c>
      <c r="D829">
        <f>_xlfn.XLOOKUP(A829,'Subbu- Mini Project EXcel Clean'!A829:A1828,'Subbu- Mini Project EXcel Clean'!D829:D1828,"Entry Level",0)</f>
        <v>64.5</v>
      </c>
      <c r="E829">
        <f>_xlfn.XLOOKUP(A829,'Subbu- Mini Project EXcel Clean'!A829:A1828,'Subbu- Mini Project EXcel Clean'!F829:F1828,"Entry Level",0)</f>
        <v>63.4</v>
      </c>
      <c r="F829">
        <f>_xlfn.XLOOKUP(A829,'Subbu- Mini Project EXcel Clean'!A829:A1828,'Subbu- Mini Project EXcel Clean'!G829:G1828," ",0)</f>
        <v>61.25</v>
      </c>
      <c r="G829" t="str">
        <f>_xlfn.XLOOKUP(A829,'Subbu- Mini Project EXcel Clean'!A829:A1828,'Subbu- Mini Project EXcel Clean'!H829:H1828," ",0)</f>
        <v>Pass</v>
      </c>
      <c r="H829" t="str">
        <f>VLOOKUP(A829,'Subbu- Mini Project EXcel Clean'!A828:R1828,18,)</f>
        <v>Bachelor</v>
      </c>
    </row>
    <row r="830" spans="1:8" x14ac:dyDescent="0.25">
      <c r="A830" t="s">
        <v>858</v>
      </c>
      <c r="B830">
        <f>VLOOKUP(A830,'Subbu- Mini Project EXcel Clean'!A829:R1829,2,FALSE)</f>
        <v>82.2</v>
      </c>
      <c r="C830">
        <f>VLOOKUP(A830,'Subbu- Mini Project EXcel Clean'!A829:R1829,3,FALSE)</f>
        <v>85</v>
      </c>
      <c r="D830">
        <f>_xlfn.XLOOKUP(A830,'Subbu- Mini Project EXcel Clean'!A830:A1829,'Subbu- Mini Project EXcel Clean'!D830:D1829,"Entry Level",0)</f>
        <v>73.8</v>
      </c>
      <c r="E830">
        <f>_xlfn.XLOOKUP(A830,'Subbu- Mini Project EXcel Clean'!A830:A1829,'Subbu- Mini Project EXcel Clean'!F830:F1829,"Entry Level",0)</f>
        <v>85.2</v>
      </c>
      <c r="F830">
        <f>_xlfn.XLOOKUP(A830,'Subbu- Mini Project EXcel Clean'!A830:A1829,'Subbu- Mini Project EXcel Clean'!G830:G1829," ",0)</f>
        <v>82.9</v>
      </c>
      <c r="G830" t="str">
        <f>_xlfn.XLOOKUP(A830,'Subbu- Mini Project EXcel Clean'!A830:A1829,'Subbu- Mini Project EXcel Clean'!H830:H1829," ",0)</f>
        <v>Pass</v>
      </c>
      <c r="H830" t="str">
        <f>VLOOKUP(A830,'Subbu- Mini Project EXcel Clean'!A829:R1829,18,)</f>
        <v>Master</v>
      </c>
    </row>
    <row r="831" spans="1:8" x14ac:dyDescent="0.25">
      <c r="A831" t="s">
        <v>859</v>
      </c>
      <c r="B831">
        <f>VLOOKUP(A831,'Subbu- Mini Project EXcel Clean'!A830:R1830,2,FALSE)</f>
        <v>63.6</v>
      </c>
      <c r="C831">
        <f>VLOOKUP(A831,'Subbu- Mini Project EXcel Clean'!A830:R1830,3,FALSE)</f>
        <v>71.2</v>
      </c>
      <c r="D831">
        <f>_xlfn.XLOOKUP(A831,'Subbu- Mini Project EXcel Clean'!A831:A1830,'Subbu- Mini Project EXcel Clean'!D831:D1830,"Entry Level",0)</f>
        <v>62.8</v>
      </c>
      <c r="E831">
        <f>_xlfn.XLOOKUP(A831,'Subbu- Mini Project EXcel Clean'!A831:A1830,'Subbu- Mini Project EXcel Clean'!F831:F1830,"Entry Level",0)</f>
        <v>63.1</v>
      </c>
      <c r="F831">
        <f>_xlfn.XLOOKUP(A831,'Subbu- Mini Project EXcel Clean'!A831:A1830,'Subbu- Mini Project EXcel Clean'!G831:G1830," ",0)</f>
        <v>64</v>
      </c>
      <c r="G831" t="str">
        <f>_xlfn.XLOOKUP(A831,'Subbu- Mini Project EXcel Clean'!A831:A1830,'Subbu- Mini Project EXcel Clean'!H831:H1830," ",0)</f>
        <v>Pass</v>
      </c>
      <c r="H831" t="str">
        <f>VLOOKUP(A831,'Subbu- Mini Project EXcel Clean'!A830:R1830,18,)</f>
        <v>High School</v>
      </c>
    </row>
    <row r="832" spans="1:8" x14ac:dyDescent="0.25">
      <c r="A832" t="s">
        <v>860</v>
      </c>
      <c r="B832">
        <f>VLOOKUP(A832,'Subbu- Mini Project EXcel Clean'!A831:R1831,2,FALSE)</f>
        <v>50.9</v>
      </c>
      <c r="C832">
        <f>VLOOKUP(A832,'Subbu- Mini Project EXcel Clean'!A831:R1831,3,FALSE)</f>
        <v>55.6</v>
      </c>
      <c r="D832">
        <f>_xlfn.XLOOKUP(A832,'Subbu- Mini Project EXcel Clean'!A832:A1831,'Subbu- Mini Project EXcel Clean'!D832:D1831,"Entry Level",0)</f>
        <v>52.5</v>
      </c>
      <c r="E832">
        <f>_xlfn.XLOOKUP(A832,'Subbu- Mini Project EXcel Clean'!A832:A1831,'Subbu- Mini Project EXcel Clean'!F832:F1831,"Entry Level",0)</f>
        <v>51</v>
      </c>
      <c r="F832">
        <f>_xlfn.XLOOKUP(A832,'Subbu- Mini Project EXcel Clean'!A832:A1831,'Subbu- Mini Project EXcel Clean'!G832:G1831," ",0)</f>
        <v>51.7</v>
      </c>
      <c r="G832" t="str">
        <f>_xlfn.XLOOKUP(A832,'Subbu- Mini Project EXcel Clean'!A832:A1831,'Subbu- Mini Project EXcel Clean'!H832:H1831," ",0)</f>
        <v>Pass</v>
      </c>
      <c r="H832" t="str">
        <f>VLOOKUP(A832,'Subbu- Mini Project EXcel Clean'!A831:R1831,18,)</f>
        <v>High School</v>
      </c>
    </row>
    <row r="833" spans="1:8" x14ac:dyDescent="0.25">
      <c r="A833" t="s">
        <v>861</v>
      </c>
      <c r="B833">
        <f>VLOOKUP(A833,'Subbu- Mini Project EXcel Clean'!A832:R1832,2,FALSE)</f>
        <v>57.1</v>
      </c>
      <c r="C833">
        <f>VLOOKUP(A833,'Subbu- Mini Project EXcel Clean'!A832:R1832,3,FALSE)</f>
        <v>59.2</v>
      </c>
      <c r="D833">
        <f>_xlfn.XLOOKUP(A833,'Subbu- Mini Project EXcel Clean'!A833:A1832,'Subbu- Mini Project EXcel Clean'!D833:D1832,"Entry Level",0)</f>
        <v>65.400000000000006</v>
      </c>
      <c r="E833">
        <f>_xlfn.XLOOKUP(A833,'Subbu- Mini Project EXcel Clean'!A833:A1832,'Subbu- Mini Project EXcel Clean'!F833:F1832,"Entry Level",0)</f>
        <v>62.4</v>
      </c>
      <c r="F833">
        <f>_xlfn.XLOOKUP(A833,'Subbu- Mini Project EXcel Clean'!A833:A1832,'Subbu- Mini Project EXcel Clean'!G833:G1832," ",0)</f>
        <v>63.65</v>
      </c>
      <c r="G833" t="str">
        <f>_xlfn.XLOOKUP(A833,'Subbu- Mini Project EXcel Clean'!A833:A1832,'Subbu- Mini Project EXcel Clean'!H833:H1832," ",0)</f>
        <v>Pass</v>
      </c>
      <c r="H833" t="str">
        <f>VLOOKUP(A833,'Subbu- Mini Project EXcel Clean'!A832:R1832,18,)</f>
        <v>Bachelor</v>
      </c>
    </row>
    <row r="834" spans="1:8" x14ac:dyDescent="0.25">
      <c r="A834" t="s">
        <v>862</v>
      </c>
      <c r="B834">
        <f>VLOOKUP(A834,'Subbu- Mini Project EXcel Clean'!A833:R1833,2,FALSE)</f>
        <v>52.2</v>
      </c>
      <c r="C834">
        <f>VLOOKUP(A834,'Subbu- Mini Project EXcel Clean'!A833:R1833,3,FALSE)</f>
        <v>46.7</v>
      </c>
      <c r="D834">
        <f>_xlfn.XLOOKUP(A834,'Subbu- Mini Project EXcel Clean'!A834:A1833,'Subbu- Mini Project EXcel Clean'!D834:D1833,"Entry Level",0)</f>
        <v>46.9</v>
      </c>
      <c r="E834">
        <f>_xlfn.XLOOKUP(A834,'Subbu- Mini Project EXcel Clean'!A834:A1833,'Subbu- Mini Project EXcel Clean'!F834:F1833,"Entry Level",0)</f>
        <v>59</v>
      </c>
      <c r="F834">
        <f>_xlfn.XLOOKUP(A834,'Subbu- Mini Project EXcel Clean'!A834:A1833,'Subbu- Mini Project EXcel Clean'!G834:G1833," ",0)</f>
        <v>53.35</v>
      </c>
      <c r="G834" t="str">
        <f>_xlfn.XLOOKUP(A834,'Subbu- Mini Project EXcel Clean'!A834:A1833,'Subbu- Mini Project EXcel Clean'!H834:H1833," ",0)</f>
        <v>Pass</v>
      </c>
      <c r="H834" t="str">
        <f>VLOOKUP(A834,'Subbu- Mini Project EXcel Clean'!A833:R1833,18,)</f>
        <v>Master</v>
      </c>
    </row>
    <row r="835" spans="1:8" x14ac:dyDescent="0.25">
      <c r="A835" t="s">
        <v>863</v>
      </c>
      <c r="B835">
        <f>VLOOKUP(A835,'Subbu- Mini Project EXcel Clean'!A834:R1834,2,FALSE)</f>
        <v>49.3</v>
      </c>
      <c r="C835">
        <f>VLOOKUP(A835,'Subbu- Mini Project EXcel Clean'!A834:R1834,3,FALSE)</f>
        <v>49.7</v>
      </c>
      <c r="D835">
        <f>_xlfn.XLOOKUP(A835,'Subbu- Mini Project EXcel Clean'!A835:A1834,'Subbu- Mini Project EXcel Clean'!D835:D1834,"Entry Level",0)</f>
        <v>51.7</v>
      </c>
      <c r="E835">
        <f>_xlfn.XLOOKUP(A835,'Subbu- Mini Project EXcel Clean'!A835:A1834,'Subbu- Mini Project EXcel Clean'!F835:F1834,"Entry Level",0)</f>
        <v>70.900000000000006</v>
      </c>
      <c r="F835">
        <f>_xlfn.XLOOKUP(A835,'Subbu- Mini Project EXcel Clean'!A835:A1834,'Subbu- Mini Project EXcel Clean'!G835:G1834," ",0)</f>
        <v>60.3</v>
      </c>
      <c r="G835" t="str">
        <f>_xlfn.XLOOKUP(A835,'Subbu- Mini Project EXcel Clean'!A835:A1834,'Subbu- Mini Project EXcel Clean'!H835:H1834," ",0)</f>
        <v>Pass</v>
      </c>
      <c r="H835" t="str">
        <f>VLOOKUP(A835,'Subbu- Mini Project EXcel Clean'!A834:R1834,18,)</f>
        <v>High School</v>
      </c>
    </row>
    <row r="836" spans="1:8" x14ac:dyDescent="0.25">
      <c r="A836" t="s">
        <v>864</v>
      </c>
      <c r="B836">
        <f>VLOOKUP(A836,'Subbu- Mini Project EXcel Clean'!A835:R1835,2,FALSE)</f>
        <v>66.5</v>
      </c>
      <c r="C836">
        <f>VLOOKUP(A836,'Subbu- Mini Project EXcel Clean'!A835:R1835,3,FALSE)</f>
        <v>70.400000000000006</v>
      </c>
      <c r="D836">
        <f>_xlfn.XLOOKUP(A836,'Subbu- Mini Project EXcel Clean'!A836:A1835,'Subbu- Mini Project EXcel Clean'!D836:D1835,"Entry Level",0)</f>
        <v>70.900000000000006</v>
      </c>
      <c r="E836">
        <f>_xlfn.XLOOKUP(A836,'Subbu- Mini Project EXcel Clean'!A836:A1835,'Subbu- Mini Project EXcel Clean'!F836:F1835,"Entry Level",0)</f>
        <v>64.7</v>
      </c>
      <c r="F836">
        <f>_xlfn.XLOOKUP(A836,'Subbu- Mini Project EXcel Clean'!A836:A1835,'Subbu- Mini Project EXcel Clean'!G836:G1835," ",0)</f>
        <v>66.05</v>
      </c>
      <c r="G836" t="str">
        <f>_xlfn.XLOOKUP(A836,'Subbu- Mini Project EXcel Clean'!A836:A1835,'Subbu- Mini Project EXcel Clean'!H836:H1835," ",0)</f>
        <v>Pass</v>
      </c>
      <c r="H836" t="str">
        <f>VLOOKUP(A836,'Subbu- Mini Project EXcel Clean'!A835:R1835,18,)</f>
        <v>Bachelor</v>
      </c>
    </row>
    <row r="837" spans="1:8" x14ac:dyDescent="0.25">
      <c r="A837" t="s">
        <v>865</v>
      </c>
      <c r="B837">
        <f>VLOOKUP(A837,'Subbu- Mini Project EXcel Clean'!A836:R1836,2,FALSE)</f>
        <v>79</v>
      </c>
      <c r="C837">
        <f>VLOOKUP(A837,'Subbu- Mini Project EXcel Clean'!A836:R1836,3,FALSE)</f>
        <v>66.400000000000006</v>
      </c>
      <c r="D837">
        <f>_xlfn.XLOOKUP(A837,'Subbu- Mini Project EXcel Clean'!A837:A1836,'Subbu- Mini Project EXcel Clean'!D837:D1836,"Entry Level",0)</f>
        <v>66.7</v>
      </c>
      <c r="E837">
        <f>_xlfn.XLOOKUP(A837,'Subbu- Mini Project EXcel Clean'!A837:A1836,'Subbu- Mini Project EXcel Clean'!F837:F1836,"Entry Level",0)</f>
        <v>72.2</v>
      </c>
      <c r="F837">
        <f>_xlfn.XLOOKUP(A837,'Subbu- Mini Project EXcel Clean'!A837:A1836,'Subbu- Mini Project EXcel Clean'!G837:G1836," ",0)</f>
        <v>67.599999999999994</v>
      </c>
      <c r="G837" t="str">
        <f>_xlfn.XLOOKUP(A837,'Subbu- Mini Project EXcel Clean'!A837:A1836,'Subbu- Mini Project EXcel Clean'!H837:H1836," ",0)</f>
        <v>Pass</v>
      </c>
      <c r="H837" t="str">
        <f>VLOOKUP(A837,'Subbu- Mini Project EXcel Clean'!A836:R1836,18,)</f>
        <v>Bachelor</v>
      </c>
    </row>
    <row r="838" spans="1:8" x14ac:dyDescent="0.25">
      <c r="A838" t="s">
        <v>866</v>
      </c>
      <c r="B838">
        <f>VLOOKUP(A838,'Subbu- Mini Project EXcel Clean'!A837:R1837,2,FALSE)</f>
        <v>91.8</v>
      </c>
      <c r="C838">
        <f>VLOOKUP(A838,'Subbu- Mini Project EXcel Clean'!A837:R1837,3,FALSE)</f>
        <v>86.6</v>
      </c>
      <c r="D838">
        <f>_xlfn.XLOOKUP(A838,'Subbu- Mini Project EXcel Clean'!A838:A1837,'Subbu- Mini Project EXcel Clean'!D838:D1837,"Entry Level",0)</f>
        <v>85.4</v>
      </c>
      <c r="E838">
        <f>_xlfn.XLOOKUP(A838,'Subbu- Mini Project EXcel Clean'!A838:A1837,'Subbu- Mini Project EXcel Clean'!F838:F1837,"Entry Level",0)</f>
        <v>93.4</v>
      </c>
      <c r="F838">
        <f>_xlfn.XLOOKUP(A838,'Subbu- Mini Project EXcel Clean'!A838:A1837,'Subbu- Mini Project EXcel Clean'!G838:G1837," ",0)</f>
        <v>91.85</v>
      </c>
      <c r="G838" t="str">
        <f>_xlfn.XLOOKUP(A838,'Subbu- Mini Project EXcel Clean'!A838:A1837,'Subbu- Mini Project EXcel Clean'!H838:H1837," ",0)</f>
        <v>Pass</v>
      </c>
      <c r="H838" t="str">
        <f>VLOOKUP(A838,'Subbu- Mini Project EXcel Clean'!A837:R1837,18,)</f>
        <v>Bachelor</v>
      </c>
    </row>
    <row r="839" spans="1:8" x14ac:dyDescent="0.25">
      <c r="A839" t="s">
        <v>867</v>
      </c>
      <c r="B839">
        <f>VLOOKUP(A839,'Subbu- Mini Project EXcel Clean'!A838:R1838,2,FALSE)</f>
        <v>56.2</v>
      </c>
      <c r="C839">
        <f>VLOOKUP(A839,'Subbu- Mini Project EXcel Clean'!A838:R1838,3,FALSE)</f>
        <v>60.3</v>
      </c>
      <c r="D839">
        <f>_xlfn.XLOOKUP(A839,'Subbu- Mini Project EXcel Clean'!A839:A1838,'Subbu- Mini Project EXcel Clean'!D839:D1838,"Entry Level",0)</f>
        <v>58.5</v>
      </c>
      <c r="E839">
        <f>_xlfn.XLOOKUP(A839,'Subbu- Mini Project EXcel Clean'!A839:A1838,'Subbu- Mini Project EXcel Clean'!F839:F1838,"Entry Level",0)</f>
        <v>73.099999999999994</v>
      </c>
      <c r="F839">
        <f>_xlfn.XLOOKUP(A839,'Subbu- Mini Project EXcel Clean'!A839:A1838,'Subbu- Mini Project EXcel Clean'!G839:G1838," ",0)</f>
        <v>66.5</v>
      </c>
      <c r="G839" t="str">
        <f>_xlfn.XLOOKUP(A839,'Subbu- Mini Project EXcel Clean'!A839:A1838,'Subbu- Mini Project EXcel Clean'!H839:H1838," ",0)</f>
        <v>Pass</v>
      </c>
      <c r="H839" t="str">
        <f>VLOOKUP(A839,'Subbu- Mini Project EXcel Clean'!A838:R1838,18,)</f>
        <v>High School</v>
      </c>
    </row>
    <row r="840" spans="1:8" x14ac:dyDescent="0.25">
      <c r="A840" t="s">
        <v>868</v>
      </c>
      <c r="B840">
        <f>VLOOKUP(A840,'Subbu- Mini Project EXcel Clean'!A839:R1839,2,FALSE)</f>
        <v>69.8</v>
      </c>
      <c r="C840">
        <f>VLOOKUP(A840,'Subbu- Mini Project EXcel Clean'!A839:R1839,3,FALSE)</f>
        <v>74.2</v>
      </c>
      <c r="D840">
        <f>_xlfn.XLOOKUP(A840,'Subbu- Mini Project EXcel Clean'!A840:A1839,'Subbu- Mini Project EXcel Clean'!D840:D1839,"Entry Level",0)</f>
        <v>77.900000000000006</v>
      </c>
      <c r="E840">
        <f>_xlfn.XLOOKUP(A840,'Subbu- Mini Project EXcel Clean'!A840:A1839,'Subbu- Mini Project EXcel Clean'!F840:F1839,"Entry Level",0)</f>
        <v>64.599999999999994</v>
      </c>
      <c r="F840">
        <f>_xlfn.XLOOKUP(A840,'Subbu- Mini Project EXcel Clean'!A840:A1839,'Subbu- Mini Project EXcel Clean'!G840:G1839," ",0)</f>
        <v>68.25</v>
      </c>
      <c r="G840" t="str">
        <f>_xlfn.XLOOKUP(A840,'Subbu- Mini Project EXcel Clean'!A840:A1839,'Subbu- Mini Project EXcel Clean'!H840:H1839," ",0)</f>
        <v>Pass</v>
      </c>
      <c r="H840" t="str">
        <f>VLOOKUP(A840,'Subbu- Mini Project EXcel Clean'!A839:R1839,18,)</f>
        <v>Master</v>
      </c>
    </row>
    <row r="841" spans="1:8" x14ac:dyDescent="0.25">
      <c r="A841" t="s">
        <v>869</v>
      </c>
      <c r="B841">
        <f>VLOOKUP(A841,'Subbu- Mini Project EXcel Clean'!A840:R1840,2,FALSE)</f>
        <v>80.5</v>
      </c>
      <c r="C841">
        <f>VLOOKUP(A841,'Subbu- Mini Project EXcel Clean'!A840:R1840,3,FALSE)</f>
        <v>82.1</v>
      </c>
      <c r="D841">
        <f>_xlfn.XLOOKUP(A841,'Subbu- Mini Project EXcel Clean'!A841:A1840,'Subbu- Mini Project EXcel Clean'!D841:D1840,"Entry Level",0)</f>
        <v>79.2</v>
      </c>
      <c r="E841">
        <f>_xlfn.XLOOKUP(A841,'Subbu- Mini Project EXcel Clean'!A841:A1840,'Subbu- Mini Project EXcel Clean'!F841:F1840,"Entry Level",0)</f>
        <v>86.3</v>
      </c>
      <c r="F841">
        <f>_xlfn.XLOOKUP(A841,'Subbu- Mini Project EXcel Clean'!A841:A1840,'Subbu- Mini Project EXcel Clean'!G841:G1840," ",0)</f>
        <v>80.55</v>
      </c>
      <c r="G841" t="str">
        <f>_xlfn.XLOOKUP(A841,'Subbu- Mini Project EXcel Clean'!A841:A1840,'Subbu- Mini Project EXcel Clean'!H841:H1840," ",0)</f>
        <v>Pass</v>
      </c>
      <c r="H841" t="str">
        <f>VLOOKUP(A841,'Subbu- Mini Project EXcel Clean'!A840:R1840,18,)</f>
        <v>High School</v>
      </c>
    </row>
    <row r="842" spans="1:8" x14ac:dyDescent="0.25">
      <c r="A842" t="s">
        <v>870</v>
      </c>
      <c r="B842">
        <f>VLOOKUP(A842,'Subbu- Mini Project EXcel Clean'!A841:R1841,2,FALSE)</f>
        <v>41.3</v>
      </c>
      <c r="C842">
        <f>VLOOKUP(A842,'Subbu- Mini Project EXcel Clean'!A841:R1841,3,FALSE)</f>
        <v>44.2</v>
      </c>
      <c r="D842">
        <f>_xlfn.XLOOKUP(A842,'Subbu- Mini Project EXcel Clean'!A842:A1841,'Subbu- Mini Project EXcel Clean'!D842:D1841,"Entry Level",0)</f>
        <v>33.9</v>
      </c>
      <c r="E842">
        <f>_xlfn.XLOOKUP(A842,'Subbu- Mini Project EXcel Clean'!A842:A1841,'Subbu- Mini Project EXcel Clean'!F842:F1841,"Entry Level",0)</f>
        <v>43.6</v>
      </c>
      <c r="F842">
        <f>_xlfn.XLOOKUP(A842,'Subbu- Mini Project EXcel Clean'!A842:A1841,'Subbu- Mini Project EXcel Clean'!G842:G1841," ",0)</f>
        <v>42.15</v>
      </c>
      <c r="G842" t="str">
        <f>_xlfn.XLOOKUP(A842,'Subbu- Mini Project EXcel Clean'!A842:A1841,'Subbu- Mini Project EXcel Clean'!H842:H1841," ",0)</f>
        <v>Fail</v>
      </c>
      <c r="H842" t="str">
        <f>VLOOKUP(A842,'Subbu- Mini Project EXcel Clean'!A841:R1841,18,)</f>
        <v>High School</v>
      </c>
    </row>
    <row r="843" spans="1:8" x14ac:dyDescent="0.25">
      <c r="A843" t="s">
        <v>871</v>
      </c>
      <c r="B843">
        <f>VLOOKUP(A843,'Subbu- Mini Project EXcel Clean'!A842:R1842,2,FALSE)</f>
        <v>69.3</v>
      </c>
      <c r="C843">
        <f>VLOOKUP(A843,'Subbu- Mini Project EXcel Clean'!A842:R1842,3,FALSE)</f>
        <v>80.400000000000006</v>
      </c>
      <c r="D843">
        <f>_xlfn.XLOOKUP(A843,'Subbu- Mini Project EXcel Clean'!A843:A1842,'Subbu- Mini Project EXcel Clean'!D843:D1842,"Entry Level",0)</f>
        <v>78.3</v>
      </c>
      <c r="E843">
        <f>_xlfn.XLOOKUP(A843,'Subbu- Mini Project EXcel Clean'!A843:A1842,'Subbu- Mini Project EXcel Clean'!F843:F1842,"Entry Level",0)</f>
        <v>84.2</v>
      </c>
      <c r="F843">
        <f>_xlfn.XLOOKUP(A843,'Subbu- Mini Project EXcel Clean'!A843:A1842,'Subbu- Mini Project EXcel Clean'!G843:G1842," ",0)</f>
        <v>80.349999999999994</v>
      </c>
      <c r="G843" t="str">
        <f>_xlfn.XLOOKUP(A843,'Subbu- Mini Project EXcel Clean'!A843:A1842,'Subbu- Mini Project EXcel Clean'!H843:H1842," ",0)</f>
        <v>Pass</v>
      </c>
      <c r="H843" t="str">
        <f>VLOOKUP(A843,'Subbu- Mini Project EXcel Clean'!A842:R1842,18,)</f>
        <v>Master</v>
      </c>
    </row>
    <row r="844" spans="1:8" x14ac:dyDescent="0.25">
      <c r="A844" t="s">
        <v>872</v>
      </c>
      <c r="B844">
        <f>VLOOKUP(A844,'Subbu- Mini Project EXcel Clean'!A843:R1843,2,FALSE)</f>
        <v>54.4</v>
      </c>
      <c r="C844">
        <f>VLOOKUP(A844,'Subbu- Mini Project EXcel Clean'!A843:R1843,3,FALSE)</f>
        <v>50.2</v>
      </c>
      <c r="D844">
        <f>_xlfn.XLOOKUP(A844,'Subbu- Mini Project EXcel Clean'!A844:A1843,'Subbu- Mini Project EXcel Clean'!D844:D1843,"Entry Level",0)</f>
        <v>39.9</v>
      </c>
      <c r="E844">
        <f>_xlfn.XLOOKUP(A844,'Subbu- Mini Project EXcel Clean'!A844:A1843,'Subbu- Mini Project EXcel Clean'!F844:F1843,"Entry Level",0)</f>
        <v>58.1</v>
      </c>
      <c r="F844">
        <f>_xlfn.XLOOKUP(A844,'Subbu- Mini Project EXcel Clean'!A844:A1843,'Subbu- Mini Project EXcel Clean'!G844:G1843," ",0)</f>
        <v>53.95</v>
      </c>
      <c r="G844" t="str">
        <f>_xlfn.XLOOKUP(A844,'Subbu- Mini Project EXcel Clean'!A844:A1843,'Subbu- Mini Project EXcel Clean'!H844:H1843," ",0)</f>
        <v>Pass</v>
      </c>
      <c r="H844" t="str">
        <f>VLOOKUP(A844,'Subbu- Mini Project EXcel Clean'!A843:R1843,18,)</f>
        <v>Bachelor</v>
      </c>
    </row>
    <row r="845" spans="1:8" x14ac:dyDescent="0.25">
      <c r="A845" t="s">
        <v>873</v>
      </c>
      <c r="B845">
        <f>VLOOKUP(A845,'Subbu- Mini Project EXcel Clean'!A844:R1844,2,FALSE)</f>
        <v>89.5</v>
      </c>
      <c r="C845">
        <f>VLOOKUP(A845,'Subbu- Mini Project EXcel Clean'!A844:R1844,3,FALSE)</f>
        <v>99.9</v>
      </c>
      <c r="D845">
        <f>_xlfn.XLOOKUP(A845,'Subbu- Mini Project EXcel Clean'!A845:A1844,'Subbu- Mini Project EXcel Clean'!D845:D1844,"Entry Level",0)</f>
        <v>93.1</v>
      </c>
      <c r="E845">
        <f>_xlfn.XLOOKUP(A845,'Subbu- Mini Project EXcel Clean'!A845:A1844,'Subbu- Mini Project EXcel Clean'!F845:F1844,"Entry Level",0)</f>
        <v>80.400000000000006</v>
      </c>
      <c r="F845">
        <f>_xlfn.XLOOKUP(A845,'Subbu- Mini Project EXcel Clean'!A845:A1844,'Subbu- Mini Project EXcel Clean'!G845:G1844," ",0)</f>
        <v>86.65</v>
      </c>
      <c r="G845" t="str">
        <f>_xlfn.XLOOKUP(A845,'Subbu- Mini Project EXcel Clean'!A845:A1844,'Subbu- Mini Project EXcel Clean'!H845:H1844," ",0)</f>
        <v>Pass</v>
      </c>
      <c r="H845" t="str">
        <f>VLOOKUP(A845,'Subbu- Mini Project EXcel Clean'!A844:R1844,18,)</f>
        <v>High School</v>
      </c>
    </row>
    <row r="846" spans="1:8" x14ac:dyDescent="0.25">
      <c r="A846" t="s">
        <v>874</v>
      </c>
      <c r="B846">
        <f>VLOOKUP(A846,'Subbu- Mini Project EXcel Clean'!A845:R1845,2,FALSE)</f>
        <v>57.5</v>
      </c>
      <c r="C846">
        <f>VLOOKUP(A846,'Subbu- Mini Project EXcel Clean'!A845:R1845,3,FALSE)</f>
        <v>50.2</v>
      </c>
      <c r="D846">
        <f>_xlfn.XLOOKUP(A846,'Subbu- Mini Project EXcel Clean'!A846:A1845,'Subbu- Mini Project EXcel Clean'!D846:D1845,"Entry Level",0)</f>
        <v>57.7</v>
      </c>
      <c r="E846">
        <f>_xlfn.XLOOKUP(A846,'Subbu- Mini Project EXcel Clean'!A846:A1845,'Subbu- Mini Project EXcel Clean'!F846:F1845,"Entry Level",0)</f>
        <v>47.5</v>
      </c>
      <c r="F846">
        <f>_xlfn.XLOOKUP(A846,'Subbu- Mini Project EXcel Clean'!A846:A1845,'Subbu- Mini Project EXcel Clean'!G846:G1845," ",0)</f>
        <v>47.85</v>
      </c>
      <c r="G846" t="str">
        <f>_xlfn.XLOOKUP(A846,'Subbu- Mini Project EXcel Clean'!A846:A1845,'Subbu- Mini Project EXcel Clean'!H846:H1845," ",0)</f>
        <v>Fail</v>
      </c>
      <c r="H846" t="str">
        <f>VLOOKUP(A846,'Subbu- Mini Project EXcel Clean'!A845:R1845,18,)</f>
        <v>Bachelor</v>
      </c>
    </row>
    <row r="847" spans="1:8" x14ac:dyDescent="0.25">
      <c r="A847" t="s">
        <v>875</v>
      </c>
      <c r="B847">
        <f>VLOOKUP(A847,'Subbu- Mini Project EXcel Clean'!A846:R1846,2,FALSE)</f>
        <v>68.2</v>
      </c>
      <c r="C847">
        <f>VLOOKUP(A847,'Subbu- Mini Project EXcel Clean'!A846:R1846,3,FALSE)</f>
        <v>58.5</v>
      </c>
      <c r="D847">
        <f>_xlfn.XLOOKUP(A847,'Subbu- Mini Project EXcel Clean'!A847:A1846,'Subbu- Mini Project EXcel Clean'!D847:D1846,"Entry Level",0)</f>
        <v>58.1</v>
      </c>
      <c r="E847">
        <f>_xlfn.XLOOKUP(A847,'Subbu- Mini Project EXcel Clean'!A847:A1846,'Subbu- Mini Project EXcel Clean'!F847:F1846,"Entry Level",0)</f>
        <v>60.4</v>
      </c>
      <c r="F847">
        <f>_xlfn.XLOOKUP(A847,'Subbu- Mini Project EXcel Clean'!A847:A1846,'Subbu- Mini Project EXcel Clean'!G847:G1846," ",0)</f>
        <v>61.6</v>
      </c>
      <c r="G847" t="str">
        <f>_xlfn.XLOOKUP(A847,'Subbu- Mini Project EXcel Clean'!A847:A1846,'Subbu- Mini Project EXcel Clean'!H847:H1846," ",0)</f>
        <v>Pass</v>
      </c>
      <c r="H847" t="str">
        <f>VLOOKUP(A847,'Subbu- Mini Project EXcel Clean'!A846:R1846,18,)</f>
        <v>Bachelor</v>
      </c>
    </row>
    <row r="848" spans="1:8" x14ac:dyDescent="0.25">
      <c r="A848" t="s">
        <v>876</v>
      </c>
      <c r="B848">
        <f>VLOOKUP(A848,'Subbu- Mini Project EXcel Clean'!A847:R1847,2,FALSE)</f>
        <v>42.5</v>
      </c>
      <c r="C848">
        <f>VLOOKUP(A848,'Subbu- Mini Project EXcel Clean'!A847:R1847,3,FALSE)</f>
        <v>51.7</v>
      </c>
      <c r="D848">
        <f>_xlfn.XLOOKUP(A848,'Subbu- Mini Project EXcel Clean'!A848:A1847,'Subbu- Mini Project EXcel Clean'!D848:D1847,"Entry Level",0)</f>
        <v>40.5</v>
      </c>
      <c r="E848">
        <f>_xlfn.XLOOKUP(A848,'Subbu- Mini Project EXcel Clean'!A848:A1847,'Subbu- Mini Project EXcel Clean'!F848:F1847,"Entry Level",0)</f>
        <v>48.1</v>
      </c>
      <c r="F848">
        <f>_xlfn.XLOOKUP(A848,'Subbu- Mini Project EXcel Clean'!A848:A1847,'Subbu- Mini Project EXcel Clean'!G848:G1847," ",0)</f>
        <v>46.4</v>
      </c>
      <c r="G848" t="str">
        <f>_xlfn.XLOOKUP(A848,'Subbu- Mini Project EXcel Clean'!A848:A1847,'Subbu- Mini Project EXcel Clean'!H848:H1847," ",0)</f>
        <v>Fail</v>
      </c>
      <c r="H848" t="str">
        <f>VLOOKUP(A848,'Subbu- Mini Project EXcel Clean'!A847:R1847,18,)</f>
        <v>Master</v>
      </c>
    </row>
    <row r="849" spans="1:8" x14ac:dyDescent="0.25">
      <c r="A849" t="s">
        <v>877</v>
      </c>
      <c r="B849">
        <f>VLOOKUP(A849,'Subbu- Mini Project EXcel Clean'!A848:R1848,2,FALSE)</f>
        <v>101.2</v>
      </c>
      <c r="C849">
        <f>VLOOKUP(A849,'Subbu- Mini Project EXcel Clean'!A848:R1848,3,FALSE)</f>
        <v>98.3</v>
      </c>
      <c r="D849">
        <f>_xlfn.XLOOKUP(A849,'Subbu- Mini Project EXcel Clean'!A849:A1848,'Subbu- Mini Project EXcel Clean'!D849:D1848,"Entry Level",0)</f>
        <v>98.6</v>
      </c>
      <c r="E849">
        <f>_xlfn.XLOOKUP(A849,'Subbu- Mini Project EXcel Clean'!A849:A1848,'Subbu- Mini Project EXcel Clean'!F849:F1848,"Entry Level",0)</f>
        <v>98.2</v>
      </c>
      <c r="F849">
        <f>_xlfn.XLOOKUP(A849,'Subbu- Mini Project EXcel Clean'!A849:A1848,'Subbu- Mini Project EXcel Clean'!G849:G1848," ",0)</f>
        <v>96.5</v>
      </c>
      <c r="G849" t="str">
        <f>_xlfn.XLOOKUP(A849,'Subbu- Mini Project EXcel Clean'!A849:A1848,'Subbu- Mini Project EXcel Clean'!H849:H1848," ",0)</f>
        <v>Pass</v>
      </c>
      <c r="H849" t="str">
        <f>VLOOKUP(A849,'Subbu- Mini Project EXcel Clean'!A848:R1848,18,)</f>
        <v>Master</v>
      </c>
    </row>
    <row r="850" spans="1:8" x14ac:dyDescent="0.25">
      <c r="A850" t="s">
        <v>878</v>
      </c>
      <c r="B850">
        <f>VLOOKUP(A850,'Subbu- Mini Project EXcel Clean'!A849:R1849,2,FALSE)</f>
        <v>68</v>
      </c>
      <c r="C850">
        <f>VLOOKUP(A850,'Subbu- Mini Project EXcel Clean'!A849:R1849,3,FALSE)</f>
        <v>65.400000000000006</v>
      </c>
      <c r="D850">
        <f>_xlfn.XLOOKUP(A850,'Subbu- Mini Project EXcel Clean'!A850:A1849,'Subbu- Mini Project EXcel Clean'!D850:D1849,"Entry Level",0)</f>
        <v>59.9</v>
      </c>
      <c r="E850">
        <f>_xlfn.XLOOKUP(A850,'Subbu- Mini Project EXcel Clean'!A850:A1849,'Subbu- Mini Project EXcel Clean'!F850:F1849,"Entry Level",0)</f>
        <v>77.900000000000006</v>
      </c>
      <c r="F850">
        <f>_xlfn.XLOOKUP(A850,'Subbu- Mini Project EXcel Clean'!A850:A1849,'Subbu- Mini Project EXcel Clean'!G850:G1849," ",0)</f>
        <v>72.75</v>
      </c>
      <c r="G850" t="str">
        <f>_xlfn.XLOOKUP(A850,'Subbu- Mini Project EXcel Clean'!A850:A1849,'Subbu- Mini Project EXcel Clean'!H850:H1849," ",0)</f>
        <v>Pass</v>
      </c>
      <c r="H850" t="str">
        <f>VLOOKUP(A850,'Subbu- Mini Project EXcel Clean'!A849:R1849,18,)</f>
        <v>Master</v>
      </c>
    </row>
    <row r="851" spans="1:8" x14ac:dyDescent="0.25">
      <c r="A851" t="s">
        <v>879</v>
      </c>
      <c r="B851">
        <f>VLOOKUP(A851,'Subbu- Mini Project EXcel Clean'!A850:R1850,2,FALSE)</f>
        <v>77</v>
      </c>
      <c r="C851">
        <f>VLOOKUP(A851,'Subbu- Mini Project EXcel Clean'!A850:R1850,3,FALSE)</f>
        <v>70.3</v>
      </c>
      <c r="D851">
        <f>_xlfn.XLOOKUP(A851,'Subbu- Mini Project EXcel Clean'!A851:A1850,'Subbu- Mini Project EXcel Clean'!D851:D1850,"Entry Level",0)</f>
        <v>69.599999999999994</v>
      </c>
      <c r="E851">
        <f>_xlfn.XLOOKUP(A851,'Subbu- Mini Project EXcel Clean'!A851:A1850,'Subbu- Mini Project EXcel Clean'!F851:F1850,"Entry Level",0)</f>
        <v>68.599999999999994</v>
      </c>
      <c r="F851">
        <f>_xlfn.XLOOKUP(A851,'Subbu- Mini Project EXcel Clean'!A851:A1850,'Subbu- Mini Project EXcel Clean'!G851:G1850," ",0)</f>
        <v>70.650000000000006</v>
      </c>
      <c r="G851" t="str">
        <f>_xlfn.XLOOKUP(A851,'Subbu- Mini Project EXcel Clean'!A851:A1850,'Subbu- Mini Project EXcel Clean'!H851:H1850," ",0)</f>
        <v>Pass</v>
      </c>
      <c r="H851" t="str">
        <f>VLOOKUP(A851,'Subbu- Mini Project EXcel Clean'!A850:R1850,18,)</f>
        <v>Bachelor</v>
      </c>
    </row>
    <row r="852" spans="1:8" x14ac:dyDescent="0.25">
      <c r="A852" t="s">
        <v>880</v>
      </c>
      <c r="B852">
        <f>VLOOKUP(A852,'Subbu- Mini Project EXcel Clean'!A851:R1851,2,FALSE)</f>
        <v>46.1</v>
      </c>
      <c r="C852">
        <f>VLOOKUP(A852,'Subbu- Mini Project EXcel Clean'!A851:R1851,3,FALSE)</f>
        <v>45.2</v>
      </c>
      <c r="D852">
        <f>_xlfn.XLOOKUP(A852,'Subbu- Mini Project EXcel Clean'!A852:A1851,'Subbu- Mini Project EXcel Clean'!D852:D1851,"Entry Level",0)</f>
        <v>46.7</v>
      </c>
      <c r="E852">
        <f>_xlfn.XLOOKUP(A852,'Subbu- Mini Project EXcel Clean'!A852:A1851,'Subbu- Mini Project EXcel Clean'!F852:F1851,"Entry Level",0)</f>
        <v>45.9</v>
      </c>
      <c r="F852">
        <f>_xlfn.XLOOKUP(A852,'Subbu- Mini Project EXcel Clean'!A852:A1851,'Subbu- Mini Project EXcel Clean'!G852:G1851," ",0)</f>
        <v>44.8</v>
      </c>
      <c r="G852" t="str">
        <f>_xlfn.XLOOKUP(A852,'Subbu- Mini Project EXcel Clean'!A852:A1851,'Subbu- Mini Project EXcel Clean'!H852:H1851," ",0)</f>
        <v>Fail</v>
      </c>
      <c r="H852" t="str">
        <f>VLOOKUP(A852,'Subbu- Mini Project EXcel Clean'!A851:R1851,18,)</f>
        <v>Bachelor</v>
      </c>
    </row>
    <row r="853" spans="1:8" x14ac:dyDescent="0.25">
      <c r="A853" t="s">
        <v>881</v>
      </c>
      <c r="B853">
        <f>VLOOKUP(A853,'Subbu- Mini Project EXcel Clean'!A852:R1852,2,FALSE)</f>
        <v>77</v>
      </c>
      <c r="C853">
        <f>VLOOKUP(A853,'Subbu- Mini Project EXcel Clean'!A852:R1852,3,FALSE)</f>
        <v>83.6</v>
      </c>
      <c r="D853">
        <f>_xlfn.XLOOKUP(A853,'Subbu- Mini Project EXcel Clean'!A853:A1852,'Subbu- Mini Project EXcel Clean'!D853:D1852,"Entry Level",0)</f>
        <v>78.099999999999994</v>
      </c>
      <c r="E853">
        <f>_xlfn.XLOOKUP(A853,'Subbu- Mini Project EXcel Clean'!A853:A1852,'Subbu- Mini Project EXcel Clean'!F853:F1852,"Entry Level",0)</f>
        <v>78.400000000000006</v>
      </c>
      <c r="F853">
        <f>_xlfn.XLOOKUP(A853,'Subbu- Mini Project EXcel Clean'!A853:A1852,'Subbu- Mini Project EXcel Clean'!G853:G1852," ",0)</f>
        <v>79.8</v>
      </c>
      <c r="G853" t="str">
        <f>_xlfn.XLOOKUP(A853,'Subbu- Mini Project EXcel Clean'!A853:A1852,'Subbu- Mini Project EXcel Clean'!H853:H1852," ",0)</f>
        <v>Pass</v>
      </c>
      <c r="H853" t="str">
        <f>VLOOKUP(A853,'Subbu- Mini Project EXcel Clean'!A852:R1852,18,)</f>
        <v>High School</v>
      </c>
    </row>
    <row r="854" spans="1:8" x14ac:dyDescent="0.25">
      <c r="A854" t="s">
        <v>882</v>
      </c>
      <c r="B854">
        <f>VLOOKUP(A854,'Subbu- Mini Project EXcel Clean'!A853:R1853,2,FALSE)</f>
        <v>48.3</v>
      </c>
      <c r="C854">
        <f>VLOOKUP(A854,'Subbu- Mini Project EXcel Clean'!A853:R1853,3,FALSE)</f>
        <v>52.5</v>
      </c>
      <c r="D854">
        <f>_xlfn.XLOOKUP(A854,'Subbu- Mini Project EXcel Clean'!A854:A1853,'Subbu- Mini Project EXcel Clean'!D854:D1853,"Entry Level",0)</f>
        <v>50.4</v>
      </c>
      <c r="E854">
        <f>_xlfn.XLOOKUP(A854,'Subbu- Mini Project EXcel Clean'!A854:A1853,'Subbu- Mini Project EXcel Clean'!F854:F1853,"Entry Level",0)</f>
        <v>37.799999999999997</v>
      </c>
      <c r="F854">
        <f>_xlfn.XLOOKUP(A854,'Subbu- Mini Project EXcel Clean'!A854:A1853,'Subbu- Mini Project EXcel Clean'!G854:G1853," ",0)</f>
        <v>44.65</v>
      </c>
      <c r="G854" t="str">
        <f>_xlfn.XLOOKUP(A854,'Subbu- Mini Project EXcel Clean'!A854:A1853,'Subbu- Mini Project EXcel Clean'!H854:H1853," ",0)</f>
        <v>Fail</v>
      </c>
      <c r="H854" t="str">
        <f>VLOOKUP(A854,'Subbu- Mini Project EXcel Clean'!A853:R1853,18,)</f>
        <v>Bachelor</v>
      </c>
    </row>
    <row r="855" spans="1:8" x14ac:dyDescent="0.25">
      <c r="A855" t="s">
        <v>883</v>
      </c>
      <c r="B855">
        <f>VLOOKUP(A855,'Subbu- Mini Project EXcel Clean'!A854:R1854,2,FALSE)</f>
        <v>94.5</v>
      </c>
      <c r="C855">
        <f>VLOOKUP(A855,'Subbu- Mini Project EXcel Clean'!A854:R1854,3,FALSE)</f>
        <v>90.9</v>
      </c>
      <c r="D855">
        <f>_xlfn.XLOOKUP(A855,'Subbu- Mini Project EXcel Clean'!A855:A1854,'Subbu- Mini Project EXcel Clean'!D855:D1854,"Entry Level",0)</f>
        <v>93.1</v>
      </c>
      <c r="E855">
        <f>_xlfn.XLOOKUP(A855,'Subbu- Mini Project EXcel Clean'!A855:A1854,'Subbu- Mini Project EXcel Clean'!F855:F1854,"Entry Level",0)</f>
        <v>83.6</v>
      </c>
      <c r="F855">
        <f>_xlfn.XLOOKUP(A855,'Subbu- Mini Project EXcel Clean'!A855:A1854,'Subbu- Mini Project EXcel Clean'!G855:G1854," ",0)</f>
        <v>86.5</v>
      </c>
      <c r="G855" t="str">
        <f>_xlfn.XLOOKUP(A855,'Subbu- Mini Project EXcel Clean'!A855:A1854,'Subbu- Mini Project EXcel Clean'!H855:H1854," ",0)</f>
        <v>Pass</v>
      </c>
      <c r="H855" t="str">
        <f>VLOOKUP(A855,'Subbu- Mini Project EXcel Clean'!A854:R1854,18,)</f>
        <v>Master</v>
      </c>
    </row>
    <row r="856" spans="1:8" x14ac:dyDescent="0.25">
      <c r="A856" t="s">
        <v>884</v>
      </c>
      <c r="B856">
        <f>VLOOKUP(A856,'Subbu- Mini Project EXcel Clean'!A855:R1855,2,FALSE)</f>
        <v>49.6</v>
      </c>
      <c r="C856">
        <f>VLOOKUP(A856,'Subbu- Mini Project EXcel Clean'!A855:R1855,3,FALSE)</f>
        <v>59.8</v>
      </c>
      <c r="D856">
        <f>_xlfn.XLOOKUP(A856,'Subbu- Mini Project EXcel Clean'!A856:A1855,'Subbu- Mini Project EXcel Clean'!D856:D1855,"Entry Level",0)</f>
        <v>53.4</v>
      </c>
      <c r="E856">
        <f>_xlfn.XLOOKUP(A856,'Subbu- Mini Project EXcel Clean'!A856:A1855,'Subbu- Mini Project EXcel Clean'!F856:F1855,"Entry Level",0)</f>
        <v>57.5</v>
      </c>
      <c r="F856">
        <f>_xlfn.XLOOKUP(A856,'Subbu- Mini Project EXcel Clean'!A856:A1855,'Subbu- Mini Project EXcel Clean'!G856:G1855," ",0)</f>
        <v>54.4</v>
      </c>
      <c r="G856" t="str">
        <f>_xlfn.XLOOKUP(A856,'Subbu- Mini Project EXcel Clean'!A856:A1855,'Subbu- Mini Project EXcel Clean'!H856:H1855," ",0)</f>
        <v>Pass</v>
      </c>
      <c r="H856" t="str">
        <f>VLOOKUP(A856,'Subbu- Mini Project EXcel Clean'!A855:R1855,18,)</f>
        <v>Master</v>
      </c>
    </row>
    <row r="857" spans="1:8" x14ac:dyDescent="0.25">
      <c r="A857" t="s">
        <v>885</v>
      </c>
      <c r="B857">
        <f>VLOOKUP(A857,'Subbu- Mini Project EXcel Clean'!A856:R1856,2,FALSE)</f>
        <v>48.5</v>
      </c>
      <c r="C857">
        <f>VLOOKUP(A857,'Subbu- Mini Project EXcel Clean'!A856:R1856,3,FALSE)</f>
        <v>55.8</v>
      </c>
      <c r="D857">
        <f>_xlfn.XLOOKUP(A857,'Subbu- Mini Project EXcel Clean'!A857:A1856,'Subbu- Mini Project EXcel Clean'!D857:D1856,"Entry Level",0)</f>
        <v>51.8</v>
      </c>
      <c r="E857">
        <f>_xlfn.XLOOKUP(A857,'Subbu- Mini Project EXcel Clean'!A857:A1856,'Subbu- Mini Project EXcel Clean'!F857:F1856,"Entry Level",0)</f>
        <v>58.7</v>
      </c>
      <c r="F857">
        <f>_xlfn.XLOOKUP(A857,'Subbu- Mini Project EXcel Clean'!A857:A1856,'Subbu- Mini Project EXcel Clean'!G857:G1856," ",0)</f>
        <v>54.6</v>
      </c>
      <c r="G857" t="str">
        <f>_xlfn.XLOOKUP(A857,'Subbu- Mini Project EXcel Clean'!A857:A1856,'Subbu- Mini Project EXcel Clean'!H857:H1856," ",0)</f>
        <v>Pass</v>
      </c>
      <c r="H857" t="str">
        <f>VLOOKUP(A857,'Subbu- Mini Project EXcel Clean'!A856:R1856,18,)</f>
        <v>Master</v>
      </c>
    </row>
    <row r="858" spans="1:8" x14ac:dyDescent="0.25">
      <c r="A858" t="s">
        <v>886</v>
      </c>
      <c r="B858">
        <f>VLOOKUP(A858,'Subbu- Mini Project EXcel Clean'!A857:R1857,2,FALSE)</f>
        <v>37.200000000000003</v>
      </c>
      <c r="C858">
        <f>VLOOKUP(A858,'Subbu- Mini Project EXcel Clean'!A857:R1857,3,FALSE)</f>
        <v>43</v>
      </c>
      <c r="D858">
        <f>_xlfn.XLOOKUP(A858,'Subbu- Mini Project EXcel Clean'!A858:A1857,'Subbu- Mini Project EXcel Clean'!D858:D1857,"Entry Level",0)</f>
        <v>40.299999999999997</v>
      </c>
      <c r="E858">
        <f>_xlfn.XLOOKUP(A858,'Subbu- Mini Project EXcel Clean'!A858:A1857,'Subbu- Mini Project EXcel Clean'!F858:F1857,"Entry Level",0)</f>
        <v>53.3</v>
      </c>
      <c r="F858">
        <f>_xlfn.XLOOKUP(A858,'Subbu- Mini Project EXcel Clean'!A858:A1857,'Subbu- Mini Project EXcel Clean'!G858:G1857," ",0)</f>
        <v>47.65</v>
      </c>
      <c r="G858" t="str">
        <f>_xlfn.XLOOKUP(A858,'Subbu- Mini Project EXcel Clean'!A858:A1857,'Subbu- Mini Project EXcel Clean'!H858:H1857," ",0)</f>
        <v>Fail</v>
      </c>
      <c r="H858" t="str">
        <f>VLOOKUP(A858,'Subbu- Mini Project EXcel Clean'!A857:R1857,18,)</f>
        <v>Master</v>
      </c>
    </row>
    <row r="859" spans="1:8" x14ac:dyDescent="0.25">
      <c r="A859" t="s">
        <v>887</v>
      </c>
      <c r="B859">
        <f>VLOOKUP(A859,'Subbu- Mini Project EXcel Clean'!A858:R1858,2,FALSE)</f>
        <v>68.099999999999994</v>
      </c>
      <c r="C859">
        <f>VLOOKUP(A859,'Subbu- Mini Project EXcel Clean'!A858:R1858,3,FALSE)</f>
        <v>70.7</v>
      </c>
      <c r="D859">
        <f>_xlfn.XLOOKUP(A859,'Subbu- Mini Project EXcel Clean'!A859:A1858,'Subbu- Mini Project EXcel Clean'!D859:D1858,"Entry Level",0)</f>
        <v>67.8</v>
      </c>
      <c r="E859">
        <f>_xlfn.XLOOKUP(A859,'Subbu- Mini Project EXcel Clean'!A859:A1858,'Subbu- Mini Project EXcel Clean'!F859:F1858,"Entry Level",0)</f>
        <v>80.3</v>
      </c>
      <c r="F859">
        <f>_xlfn.XLOOKUP(A859,'Subbu- Mini Project EXcel Clean'!A859:A1858,'Subbu- Mini Project EXcel Clean'!G859:G1858," ",0)</f>
        <v>73.150000000000006</v>
      </c>
      <c r="G859" t="str">
        <f>_xlfn.XLOOKUP(A859,'Subbu- Mini Project EXcel Clean'!A859:A1858,'Subbu- Mini Project EXcel Clean'!H859:H1858," ",0)</f>
        <v>Pass</v>
      </c>
      <c r="H859" t="str">
        <f>VLOOKUP(A859,'Subbu- Mini Project EXcel Clean'!A858:R1858,18,)</f>
        <v>Bachelor</v>
      </c>
    </row>
    <row r="860" spans="1:8" x14ac:dyDescent="0.25">
      <c r="A860" t="s">
        <v>888</v>
      </c>
      <c r="B860">
        <f>VLOOKUP(A860,'Subbu- Mini Project EXcel Clean'!A859:R1859,2,FALSE)</f>
        <v>81.400000000000006</v>
      </c>
      <c r="C860">
        <f>VLOOKUP(A860,'Subbu- Mini Project EXcel Clean'!A859:R1859,3,FALSE)</f>
        <v>65.900000000000006</v>
      </c>
      <c r="D860">
        <f>_xlfn.XLOOKUP(A860,'Subbu- Mini Project EXcel Clean'!A860:A1859,'Subbu- Mini Project EXcel Clean'!D860:D1859,"Entry Level",0)</f>
        <v>70.400000000000006</v>
      </c>
      <c r="E860">
        <f>_xlfn.XLOOKUP(A860,'Subbu- Mini Project EXcel Clean'!A860:A1859,'Subbu- Mini Project EXcel Clean'!F860:F1859,"Entry Level",0)</f>
        <v>74.599999999999994</v>
      </c>
      <c r="F860">
        <f>_xlfn.XLOOKUP(A860,'Subbu- Mini Project EXcel Clean'!A860:A1859,'Subbu- Mini Project EXcel Clean'!G860:G1859," ",0)</f>
        <v>72.849999999999994</v>
      </c>
      <c r="G860" t="str">
        <f>_xlfn.XLOOKUP(A860,'Subbu- Mini Project EXcel Clean'!A860:A1859,'Subbu- Mini Project EXcel Clean'!H860:H1859," ",0)</f>
        <v>Pass</v>
      </c>
      <c r="H860" t="str">
        <f>VLOOKUP(A860,'Subbu- Mini Project EXcel Clean'!A859:R1859,18,)</f>
        <v>Master</v>
      </c>
    </row>
    <row r="861" spans="1:8" x14ac:dyDescent="0.25">
      <c r="A861" t="s">
        <v>889</v>
      </c>
      <c r="B861">
        <f>VLOOKUP(A861,'Subbu- Mini Project EXcel Clean'!A860:R1860,2,FALSE)</f>
        <v>38.299999999999997</v>
      </c>
      <c r="C861">
        <f>VLOOKUP(A861,'Subbu- Mini Project EXcel Clean'!A860:R1860,3,FALSE)</f>
        <v>45.6</v>
      </c>
      <c r="D861">
        <f>_xlfn.XLOOKUP(A861,'Subbu- Mini Project EXcel Clean'!A861:A1860,'Subbu- Mini Project EXcel Clean'!D861:D1860,"Entry Level",0)</f>
        <v>45.9</v>
      </c>
      <c r="E861">
        <f>_xlfn.XLOOKUP(A861,'Subbu- Mini Project EXcel Clean'!A861:A1860,'Subbu- Mini Project EXcel Clean'!F861:F1860,"Entry Level",0)</f>
        <v>52.3</v>
      </c>
      <c r="F861">
        <f>_xlfn.XLOOKUP(A861,'Subbu- Mini Project EXcel Clean'!A861:A1860,'Subbu- Mini Project EXcel Clean'!G861:G1860," ",0)</f>
        <v>47.95</v>
      </c>
      <c r="G861" t="str">
        <f>_xlfn.XLOOKUP(A861,'Subbu- Mini Project EXcel Clean'!A861:A1860,'Subbu- Mini Project EXcel Clean'!H861:H1860," ",0)</f>
        <v>Fail</v>
      </c>
      <c r="H861" t="str">
        <f>VLOOKUP(A861,'Subbu- Mini Project EXcel Clean'!A860:R1860,18,)</f>
        <v>High School</v>
      </c>
    </row>
    <row r="862" spans="1:8" x14ac:dyDescent="0.25">
      <c r="A862" t="s">
        <v>890</v>
      </c>
      <c r="B862">
        <f>VLOOKUP(A862,'Subbu- Mini Project EXcel Clean'!A861:R1861,2,FALSE)</f>
        <v>82.8</v>
      </c>
      <c r="C862">
        <f>VLOOKUP(A862,'Subbu- Mini Project EXcel Clean'!A861:R1861,3,FALSE)</f>
        <v>91.7</v>
      </c>
      <c r="D862">
        <f>_xlfn.XLOOKUP(A862,'Subbu- Mini Project EXcel Clean'!A862:A1861,'Subbu- Mini Project EXcel Clean'!D862:D1861,"Entry Level",0)</f>
        <v>80.2</v>
      </c>
      <c r="E862">
        <f>_xlfn.XLOOKUP(A862,'Subbu- Mini Project EXcel Clean'!A862:A1861,'Subbu- Mini Project EXcel Clean'!F862:F1861,"Entry Level",0)</f>
        <v>87.7</v>
      </c>
      <c r="F862">
        <f>_xlfn.XLOOKUP(A862,'Subbu- Mini Project EXcel Clean'!A862:A1861,'Subbu- Mini Project EXcel Clean'!G862:G1861," ",0)</f>
        <v>85.2</v>
      </c>
      <c r="G862" t="str">
        <f>_xlfn.XLOOKUP(A862,'Subbu- Mini Project EXcel Clean'!A862:A1861,'Subbu- Mini Project EXcel Clean'!H862:H1861," ",0)</f>
        <v>Pass</v>
      </c>
      <c r="H862" t="str">
        <f>VLOOKUP(A862,'Subbu- Mini Project EXcel Clean'!A861:R1861,18,)</f>
        <v>Bachelor</v>
      </c>
    </row>
    <row r="863" spans="1:8" x14ac:dyDescent="0.25">
      <c r="A863" t="s">
        <v>891</v>
      </c>
      <c r="B863">
        <f>VLOOKUP(A863,'Subbu- Mini Project EXcel Clean'!A862:R1862,2,FALSE)</f>
        <v>72</v>
      </c>
      <c r="C863">
        <f>VLOOKUP(A863,'Subbu- Mini Project EXcel Clean'!A862:R1862,3,FALSE)</f>
        <v>63.8</v>
      </c>
      <c r="D863">
        <f>_xlfn.XLOOKUP(A863,'Subbu- Mini Project EXcel Clean'!A863:A1862,'Subbu- Mini Project EXcel Clean'!D863:D1862,"Entry Level",0)</f>
        <v>64</v>
      </c>
      <c r="E863">
        <f>_xlfn.XLOOKUP(A863,'Subbu- Mini Project EXcel Clean'!A863:A1862,'Subbu- Mini Project EXcel Clean'!F863:F1862,"Entry Level",0)</f>
        <v>69.2</v>
      </c>
      <c r="F863">
        <f>_xlfn.XLOOKUP(A863,'Subbu- Mini Project EXcel Clean'!A863:A1862,'Subbu- Mini Project EXcel Clean'!G863:G1862," ",0)</f>
        <v>67.05</v>
      </c>
      <c r="G863" t="str">
        <f>_xlfn.XLOOKUP(A863,'Subbu- Mini Project EXcel Clean'!A863:A1862,'Subbu- Mini Project EXcel Clean'!H863:H1862," ",0)</f>
        <v>Pass</v>
      </c>
      <c r="H863" t="str">
        <f>VLOOKUP(A863,'Subbu- Mini Project EXcel Clean'!A862:R1862,18,)</f>
        <v>Master</v>
      </c>
    </row>
    <row r="864" spans="1:8" x14ac:dyDescent="0.25">
      <c r="A864" t="s">
        <v>892</v>
      </c>
      <c r="B864">
        <f>VLOOKUP(A864,'Subbu- Mini Project EXcel Clean'!A863:R1863,2,FALSE)</f>
        <v>68.400000000000006</v>
      </c>
      <c r="C864">
        <f>VLOOKUP(A864,'Subbu- Mini Project EXcel Clean'!A863:R1863,3,FALSE)</f>
        <v>64.599999999999994</v>
      </c>
      <c r="D864">
        <f>_xlfn.XLOOKUP(A864,'Subbu- Mini Project EXcel Clean'!A864:A1863,'Subbu- Mini Project EXcel Clean'!D864:D1863,"Entry Level",0)</f>
        <v>63.9</v>
      </c>
      <c r="E864">
        <f>_xlfn.XLOOKUP(A864,'Subbu- Mini Project EXcel Clean'!A864:A1863,'Subbu- Mini Project EXcel Clean'!F864:F1863,"Entry Level",0)</f>
        <v>68.400000000000006</v>
      </c>
      <c r="F864">
        <f>_xlfn.XLOOKUP(A864,'Subbu- Mini Project EXcel Clean'!A864:A1863,'Subbu- Mini Project EXcel Clean'!G864:G1863," ",0)</f>
        <v>68.599999999999994</v>
      </c>
      <c r="G864" t="str">
        <f>_xlfn.XLOOKUP(A864,'Subbu- Mini Project EXcel Clean'!A864:A1863,'Subbu- Mini Project EXcel Clean'!H864:H1863," ",0)</f>
        <v>Pass</v>
      </c>
      <c r="H864" t="str">
        <f>VLOOKUP(A864,'Subbu- Mini Project EXcel Clean'!A863:R1863,18,)</f>
        <v>High School</v>
      </c>
    </row>
    <row r="865" spans="1:8" x14ac:dyDescent="0.25">
      <c r="A865" t="s">
        <v>893</v>
      </c>
      <c r="B865">
        <f>VLOOKUP(A865,'Subbu- Mini Project EXcel Clean'!A864:R1864,2,FALSE)</f>
        <v>66.5</v>
      </c>
      <c r="C865">
        <f>VLOOKUP(A865,'Subbu- Mini Project EXcel Clean'!A864:R1864,3,FALSE)</f>
        <v>61</v>
      </c>
      <c r="D865">
        <f>_xlfn.XLOOKUP(A865,'Subbu- Mini Project EXcel Clean'!A865:A1864,'Subbu- Mini Project EXcel Clean'!D865:D1864,"Entry Level",0)</f>
        <v>64.099999999999994</v>
      </c>
      <c r="E865">
        <f>_xlfn.XLOOKUP(A865,'Subbu- Mini Project EXcel Clean'!A865:A1864,'Subbu- Mini Project EXcel Clean'!F865:F1864,"Entry Level",0)</f>
        <v>67.5</v>
      </c>
      <c r="F865">
        <f>_xlfn.XLOOKUP(A865,'Subbu- Mini Project EXcel Clean'!A865:A1864,'Subbu- Mini Project EXcel Clean'!G865:G1864," ",0)</f>
        <v>65.849999999999994</v>
      </c>
      <c r="G865" t="str">
        <f>_xlfn.XLOOKUP(A865,'Subbu- Mini Project EXcel Clean'!A865:A1864,'Subbu- Mini Project EXcel Clean'!H865:H1864," ",0)</f>
        <v>Pass</v>
      </c>
      <c r="H865" t="str">
        <f>VLOOKUP(A865,'Subbu- Mini Project EXcel Clean'!A864:R1864,18,)</f>
        <v>Master</v>
      </c>
    </row>
    <row r="866" spans="1:8" x14ac:dyDescent="0.25">
      <c r="A866" t="s">
        <v>894</v>
      </c>
      <c r="B866">
        <f>VLOOKUP(A866,'Subbu- Mini Project EXcel Clean'!A865:R1865,2,FALSE)</f>
        <v>56.7</v>
      </c>
      <c r="C866">
        <f>VLOOKUP(A866,'Subbu- Mini Project EXcel Clean'!A865:R1865,3,FALSE)</f>
        <v>56.6</v>
      </c>
      <c r="D866">
        <f>_xlfn.XLOOKUP(A866,'Subbu- Mini Project EXcel Clean'!A866:A1865,'Subbu- Mini Project EXcel Clean'!D866:D1865,"Entry Level",0)</f>
        <v>58</v>
      </c>
      <c r="E866">
        <f>_xlfn.XLOOKUP(A866,'Subbu- Mini Project EXcel Clean'!A866:A1865,'Subbu- Mini Project EXcel Clean'!F866:F1865,"Entry Level",0)</f>
        <v>56.5</v>
      </c>
      <c r="F866">
        <f>_xlfn.XLOOKUP(A866,'Subbu- Mini Project EXcel Clean'!A866:A1865,'Subbu- Mini Project EXcel Clean'!G866:G1865," ",0)</f>
        <v>59.25</v>
      </c>
      <c r="G866" t="str">
        <f>_xlfn.XLOOKUP(A866,'Subbu- Mini Project EXcel Clean'!A866:A1865,'Subbu- Mini Project EXcel Clean'!H866:H1865," ",0)</f>
        <v>Pass</v>
      </c>
      <c r="H866" t="str">
        <f>VLOOKUP(A866,'Subbu- Mini Project EXcel Clean'!A865:R1865,18,)</f>
        <v>Bachelor</v>
      </c>
    </row>
    <row r="867" spans="1:8" x14ac:dyDescent="0.25">
      <c r="A867" t="s">
        <v>895</v>
      </c>
      <c r="B867">
        <f>VLOOKUP(A867,'Subbu- Mini Project EXcel Clean'!A866:R1866,2,FALSE)</f>
        <v>72.900000000000006</v>
      </c>
      <c r="C867">
        <f>VLOOKUP(A867,'Subbu- Mini Project EXcel Clean'!A866:R1866,3,FALSE)</f>
        <v>66.900000000000006</v>
      </c>
      <c r="D867">
        <f>_xlfn.XLOOKUP(A867,'Subbu- Mini Project EXcel Clean'!A867:A1866,'Subbu- Mini Project EXcel Clean'!D867:D1866,"Entry Level",0)</f>
        <v>65.2</v>
      </c>
      <c r="E867">
        <f>_xlfn.XLOOKUP(A867,'Subbu- Mini Project EXcel Clean'!A867:A1866,'Subbu- Mini Project EXcel Clean'!F867:F1866,"Entry Level",0)</f>
        <v>61.7</v>
      </c>
      <c r="F867">
        <f>_xlfn.XLOOKUP(A867,'Subbu- Mini Project EXcel Clean'!A867:A1866,'Subbu- Mini Project EXcel Clean'!G867:G1866," ",0)</f>
        <v>66.25</v>
      </c>
      <c r="G867" t="str">
        <f>_xlfn.XLOOKUP(A867,'Subbu- Mini Project EXcel Clean'!A867:A1866,'Subbu- Mini Project EXcel Clean'!H867:H1866," ",0)</f>
        <v>Pass</v>
      </c>
      <c r="H867" t="str">
        <f>VLOOKUP(A867,'Subbu- Mini Project EXcel Clean'!A866:R1866,18,)</f>
        <v>Bachelor</v>
      </c>
    </row>
    <row r="868" spans="1:8" x14ac:dyDescent="0.25">
      <c r="A868" t="s">
        <v>896</v>
      </c>
      <c r="B868">
        <f>VLOOKUP(A868,'Subbu- Mini Project EXcel Clean'!A867:R1867,2,FALSE)</f>
        <v>47.6</v>
      </c>
      <c r="C868">
        <f>VLOOKUP(A868,'Subbu- Mini Project EXcel Clean'!A867:R1867,3,FALSE)</f>
        <v>46.7</v>
      </c>
      <c r="D868">
        <f>_xlfn.XLOOKUP(A868,'Subbu- Mini Project EXcel Clean'!A868:A1867,'Subbu- Mini Project EXcel Clean'!D868:D1867,"Entry Level",0)</f>
        <v>49.8</v>
      </c>
      <c r="E868">
        <f>_xlfn.XLOOKUP(A868,'Subbu- Mini Project EXcel Clean'!A868:A1867,'Subbu- Mini Project EXcel Clean'!F868:F1867,"Entry Level",0)</f>
        <v>62.3</v>
      </c>
      <c r="F868">
        <f>_xlfn.XLOOKUP(A868,'Subbu- Mini Project EXcel Clean'!A868:A1867,'Subbu- Mini Project EXcel Clean'!G868:G1867," ",0)</f>
        <v>55.4</v>
      </c>
      <c r="G868" t="str">
        <f>_xlfn.XLOOKUP(A868,'Subbu- Mini Project EXcel Clean'!A868:A1867,'Subbu- Mini Project EXcel Clean'!H868:H1867," ",0)</f>
        <v>Pass</v>
      </c>
      <c r="H868" t="str">
        <f>VLOOKUP(A868,'Subbu- Mini Project EXcel Clean'!A867:R1867,18,)</f>
        <v>High School</v>
      </c>
    </row>
    <row r="869" spans="1:8" x14ac:dyDescent="0.25">
      <c r="A869" t="s">
        <v>897</v>
      </c>
      <c r="B869">
        <f>VLOOKUP(A869,'Subbu- Mini Project EXcel Clean'!A868:R1868,2,FALSE)</f>
        <v>54.9</v>
      </c>
      <c r="C869">
        <f>VLOOKUP(A869,'Subbu- Mini Project EXcel Clean'!A868:R1868,3,FALSE)</f>
        <v>43</v>
      </c>
      <c r="D869">
        <f>_xlfn.XLOOKUP(A869,'Subbu- Mini Project EXcel Clean'!A869:A1868,'Subbu- Mini Project EXcel Clean'!D869:D1868,"Entry Level",0)</f>
        <v>51.1</v>
      </c>
      <c r="E869">
        <f>_xlfn.XLOOKUP(A869,'Subbu- Mini Project EXcel Clean'!A869:A1868,'Subbu- Mini Project EXcel Clean'!F869:F1868,"Entry Level",0)</f>
        <v>70.900000000000006</v>
      </c>
      <c r="F869">
        <f>_xlfn.XLOOKUP(A869,'Subbu- Mini Project EXcel Clean'!A869:A1868,'Subbu- Mini Project EXcel Clean'!G869:G1868," ",0)</f>
        <v>60.45</v>
      </c>
      <c r="G869" t="str">
        <f>_xlfn.XLOOKUP(A869,'Subbu- Mini Project EXcel Clean'!A869:A1868,'Subbu- Mini Project EXcel Clean'!H869:H1868," ",0)</f>
        <v>Pass</v>
      </c>
      <c r="H869" t="str">
        <f>VLOOKUP(A869,'Subbu- Mini Project EXcel Clean'!A868:R1868,18,)</f>
        <v>Bachelor</v>
      </c>
    </row>
    <row r="870" spans="1:8" x14ac:dyDescent="0.25">
      <c r="A870" t="s">
        <v>898</v>
      </c>
      <c r="B870">
        <f>VLOOKUP(A870,'Subbu- Mini Project EXcel Clean'!A869:R1869,2,FALSE)</f>
        <v>93.3</v>
      </c>
      <c r="C870">
        <f>VLOOKUP(A870,'Subbu- Mini Project EXcel Clean'!A869:R1869,3,FALSE)</f>
        <v>87.5</v>
      </c>
      <c r="D870">
        <f>_xlfn.XLOOKUP(A870,'Subbu- Mini Project EXcel Clean'!A870:A1869,'Subbu- Mini Project EXcel Clean'!D870:D1869,"Entry Level",0)</f>
        <v>91.3</v>
      </c>
      <c r="E870">
        <f>_xlfn.XLOOKUP(A870,'Subbu- Mini Project EXcel Clean'!A870:A1869,'Subbu- Mini Project EXcel Clean'!F870:F1869,"Entry Level",0)</f>
        <v>95.8</v>
      </c>
      <c r="F870">
        <f>_xlfn.XLOOKUP(A870,'Subbu- Mini Project EXcel Clean'!A870:A1869,'Subbu- Mini Project EXcel Clean'!G870:G1869," ",0)</f>
        <v>91.6</v>
      </c>
      <c r="G870" t="str">
        <f>_xlfn.XLOOKUP(A870,'Subbu- Mini Project EXcel Clean'!A870:A1869,'Subbu- Mini Project EXcel Clean'!H870:H1869," ",0)</f>
        <v>Pass</v>
      </c>
      <c r="H870" t="str">
        <f>VLOOKUP(A870,'Subbu- Mini Project EXcel Clean'!A869:R1869,18,)</f>
        <v>High School</v>
      </c>
    </row>
    <row r="871" spans="1:8" x14ac:dyDescent="0.25">
      <c r="A871" t="s">
        <v>899</v>
      </c>
      <c r="B871">
        <f>VLOOKUP(A871,'Subbu- Mini Project EXcel Clean'!A870:R1870,2,FALSE)</f>
        <v>105</v>
      </c>
      <c r="C871">
        <f>VLOOKUP(A871,'Subbu- Mini Project EXcel Clean'!A870:R1870,3,FALSE)</f>
        <v>96.5</v>
      </c>
      <c r="D871">
        <f>_xlfn.XLOOKUP(A871,'Subbu- Mini Project EXcel Clean'!A871:A1870,'Subbu- Mini Project EXcel Clean'!D871:D1870,"Entry Level",0)</f>
        <v>89.9</v>
      </c>
      <c r="E871">
        <f>_xlfn.XLOOKUP(A871,'Subbu- Mini Project EXcel Clean'!A871:A1870,'Subbu- Mini Project EXcel Clean'!F871:F1870,"Entry Level",0)</f>
        <v>76.599999999999994</v>
      </c>
      <c r="F871">
        <f>_xlfn.XLOOKUP(A871,'Subbu- Mini Project EXcel Clean'!A871:A1870,'Subbu- Mini Project EXcel Clean'!G871:G1870," ",0)</f>
        <v>84.3</v>
      </c>
      <c r="G871" t="str">
        <f>_xlfn.XLOOKUP(A871,'Subbu- Mini Project EXcel Clean'!A871:A1870,'Subbu- Mini Project EXcel Clean'!H871:H1870," ",0)</f>
        <v>Pass</v>
      </c>
      <c r="H871" t="str">
        <f>VLOOKUP(A871,'Subbu- Mini Project EXcel Clean'!A870:R1870,18,)</f>
        <v>Master</v>
      </c>
    </row>
    <row r="872" spans="1:8" x14ac:dyDescent="0.25">
      <c r="A872" t="s">
        <v>900</v>
      </c>
      <c r="B872">
        <f>VLOOKUP(A872,'Subbu- Mini Project EXcel Clean'!A871:R1871,2,FALSE)</f>
        <v>63.4</v>
      </c>
      <c r="C872">
        <f>VLOOKUP(A872,'Subbu- Mini Project EXcel Clean'!A871:R1871,3,FALSE)</f>
        <v>56</v>
      </c>
      <c r="D872">
        <f>_xlfn.XLOOKUP(A872,'Subbu- Mini Project EXcel Clean'!A872:A1871,'Subbu- Mini Project EXcel Clean'!D872:D1871,"Entry Level",0)</f>
        <v>62.6</v>
      </c>
      <c r="E872">
        <f>_xlfn.XLOOKUP(A872,'Subbu- Mini Project EXcel Clean'!A872:A1871,'Subbu- Mini Project EXcel Clean'!F872:F1871,"Entry Level",0)</f>
        <v>69.099999999999994</v>
      </c>
      <c r="F872">
        <f>_xlfn.XLOOKUP(A872,'Subbu- Mini Project EXcel Clean'!A872:A1871,'Subbu- Mini Project EXcel Clean'!G872:G1871," ",0)</f>
        <v>64.8</v>
      </c>
      <c r="G872" t="str">
        <f>_xlfn.XLOOKUP(A872,'Subbu- Mini Project EXcel Clean'!A872:A1871,'Subbu- Mini Project EXcel Clean'!H872:H1871," ",0)</f>
        <v>Pass</v>
      </c>
      <c r="H872" t="str">
        <f>VLOOKUP(A872,'Subbu- Mini Project EXcel Clean'!A871:R1871,18,)</f>
        <v>Bachelor</v>
      </c>
    </row>
    <row r="873" spans="1:8" x14ac:dyDescent="0.25">
      <c r="A873" t="s">
        <v>901</v>
      </c>
      <c r="B873">
        <f>VLOOKUP(A873,'Subbu- Mini Project EXcel Clean'!A872:R1872,2,FALSE)</f>
        <v>56.5</v>
      </c>
      <c r="C873">
        <f>VLOOKUP(A873,'Subbu- Mini Project EXcel Clean'!A872:R1872,3,FALSE)</f>
        <v>62.5</v>
      </c>
      <c r="D873">
        <f>_xlfn.XLOOKUP(A873,'Subbu- Mini Project EXcel Clean'!A873:A1872,'Subbu- Mini Project EXcel Clean'!D873:D1872,"Entry Level",0)</f>
        <v>57.6</v>
      </c>
      <c r="E873">
        <f>_xlfn.XLOOKUP(A873,'Subbu- Mini Project EXcel Clean'!A873:A1872,'Subbu- Mini Project EXcel Clean'!F873:F1872,"Entry Level",0)</f>
        <v>58.5</v>
      </c>
      <c r="F873">
        <f>_xlfn.XLOOKUP(A873,'Subbu- Mini Project EXcel Clean'!A873:A1872,'Subbu- Mini Project EXcel Clean'!G873:G1872," ",0)</f>
        <v>56.7</v>
      </c>
      <c r="G873" t="str">
        <f>_xlfn.XLOOKUP(A873,'Subbu- Mini Project EXcel Clean'!A873:A1872,'Subbu- Mini Project EXcel Clean'!H873:H1872," ",0)</f>
        <v>Pass</v>
      </c>
      <c r="H873" t="str">
        <f>VLOOKUP(A873,'Subbu- Mini Project EXcel Clean'!A872:R1872,18,)</f>
        <v>Master</v>
      </c>
    </row>
    <row r="874" spans="1:8" x14ac:dyDescent="0.25">
      <c r="A874" t="s">
        <v>902</v>
      </c>
      <c r="B874">
        <f>VLOOKUP(A874,'Subbu- Mini Project EXcel Clean'!A873:R1873,2,FALSE)</f>
        <v>76.400000000000006</v>
      </c>
      <c r="C874">
        <f>VLOOKUP(A874,'Subbu- Mini Project EXcel Clean'!A873:R1873,3,FALSE)</f>
        <v>78</v>
      </c>
      <c r="D874">
        <f>_xlfn.XLOOKUP(A874,'Subbu- Mini Project EXcel Clean'!A874:A1873,'Subbu- Mini Project EXcel Clean'!D874:D1873,"Entry Level",0)</f>
        <v>77.599999999999994</v>
      </c>
      <c r="E874">
        <f>_xlfn.XLOOKUP(A874,'Subbu- Mini Project EXcel Clean'!A874:A1873,'Subbu- Mini Project EXcel Clean'!F874:F1873,"Entry Level",0)</f>
        <v>77.5</v>
      </c>
      <c r="F874">
        <f>_xlfn.XLOOKUP(A874,'Subbu- Mini Project EXcel Clean'!A874:A1873,'Subbu- Mini Project EXcel Clean'!G874:G1873," ",0)</f>
        <v>76.45</v>
      </c>
      <c r="G874" t="str">
        <f>_xlfn.XLOOKUP(A874,'Subbu- Mini Project EXcel Clean'!A874:A1873,'Subbu- Mini Project EXcel Clean'!H874:H1873," ",0)</f>
        <v>Pass</v>
      </c>
      <c r="H874" t="str">
        <f>VLOOKUP(A874,'Subbu- Mini Project EXcel Clean'!A873:R1873,18,)</f>
        <v>Master</v>
      </c>
    </row>
    <row r="875" spans="1:8" x14ac:dyDescent="0.25">
      <c r="A875" t="s">
        <v>903</v>
      </c>
      <c r="B875">
        <f>VLOOKUP(A875,'Subbu- Mini Project EXcel Clean'!A874:R1874,2,FALSE)</f>
        <v>60.7</v>
      </c>
      <c r="C875">
        <f>VLOOKUP(A875,'Subbu- Mini Project EXcel Clean'!A874:R1874,3,FALSE)</f>
        <v>67.599999999999994</v>
      </c>
      <c r="D875">
        <f>_xlfn.XLOOKUP(A875,'Subbu- Mini Project EXcel Clean'!A875:A1874,'Subbu- Mini Project EXcel Clean'!D875:D1874,"Entry Level",0)</f>
        <v>58.4</v>
      </c>
      <c r="E875">
        <f>_xlfn.XLOOKUP(A875,'Subbu- Mini Project EXcel Clean'!A875:A1874,'Subbu- Mini Project EXcel Clean'!F875:F1874,"Entry Level",0)</f>
        <v>67.8</v>
      </c>
      <c r="F875">
        <f>_xlfn.XLOOKUP(A875,'Subbu- Mini Project EXcel Clean'!A875:A1874,'Subbu- Mini Project EXcel Clean'!G875:G1874," ",0)</f>
        <v>65.150000000000006</v>
      </c>
      <c r="G875" t="str">
        <f>_xlfn.XLOOKUP(A875,'Subbu- Mini Project EXcel Clean'!A875:A1874,'Subbu- Mini Project EXcel Clean'!H875:H1874," ",0)</f>
        <v>Pass</v>
      </c>
      <c r="H875" t="str">
        <f>VLOOKUP(A875,'Subbu- Mini Project EXcel Clean'!A874:R1874,18,)</f>
        <v>Bachelor</v>
      </c>
    </row>
    <row r="876" spans="1:8" x14ac:dyDescent="0.25">
      <c r="A876" t="s">
        <v>904</v>
      </c>
      <c r="B876">
        <f>VLOOKUP(A876,'Subbu- Mini Project EXcel Clean'!A875:R1875,2,FALSE)</f>
        <v>43.1</v>
      </c>
      <c r="C876">
        <f>VLOOKUP(A876,'Subbu- Mini Project EXcel Clean'!A875:R1875,3,FALSE)</f>
        <v>38.1</v>
      </c>
      <c r="D876">
        <f>_xlfn.XLOOKUP(A876,'Subbu- Mini Project EXcel Clean'!A876:A1875,'Subbu- Mini Project EXcel Clean'!D876:D1875,"Entry Level",0)</f>
        <v>42.1</v>
      </c>
      <c r="E876">
        <f>_xlfn.XLOOKUP(A876,'Subbu- Mini Project EXcel Clean'!A876:A1875,'Subbu- Mini Project EXcel Clean'!F876:F1875,"Entry Level",0)</f>
        <v>39.4</v>
      </c>
      <c r="F876">
        <f>_xlfn.XLOOKUP(A876,'Subbu- Mini Project EXcel Clean'!A876:A1875,'Subbu- Mini Project EXcel Clean'!G876:G1875," ",0)</f>
        <v>40.4</v>
      </c>
      <c r="G876" t="str">
        <f>_xlfn.XLOOKUP(A876,'Subbu- Mini Project EXcel Clean'!A876:A1875,'Subbu- Mini Project EXcel Clean'!H876:H1875," ",0)</f>
        <v>Fail</v>
      </c>
      <c r="H876" t="str">
        <f>VLOOKUP(A876,'Subbu- Mini Project EXcel Clean'!A875:R1875,18,)</f>
        <v>Master</v>
      </c>
    </row>
    <row r="877" spans="1:8" x14ac:dyDescent="0.25">
      <c r="A877" t="s">
        <v>905</v>
      </c>
      <c r="B877">
        <f>VLOOKUP(A877,'Subbu- Mini Project EXcel Clean'!A876:R1876,2,FALSE)</f>
        <v>47.1</v>
      </c>
      <c r="C877">
        <f>VLOOKUP(A877,'Subbu- Mini Project EXcel Clean'!A876:R1876,3,FALSE)</f>
        <v>52.9</v>
      </c>
      <c r="D877">
        <f>_xlfn.XLOOKUP(A877,'Subbu- Mini Project EXcel Clean'!A877:A1876,'Subbu- Mini Project EXcel Clean'!D877:D1876,"Entry Level",0)</f>
        <v>50.4</v>
      </c>
      <c r="E877">
        <f>_xlfn.XLOOKUP(A877,'Subbu- Mini Project EXcel Clean'!A877:A1876,'Subbu- Mini Project EXcel Clean'!F877:F1876,"Entry Level",0)</f>
        <v>68.8</v>
      </c>
      <c r="F877">
        <f>_xlfn.XLOOKUP(A877,'Subbu- Mini Project EXcel Clean'!A877:A1876,'Subbu- Mini Project EXcel Clean'!G877:G1876," ",0)</f>
        <v>58.7</v>
      </c>
      <c r="G877" t="str">
        <f>_xlfn.XLOOKUP(A877,'Subbu- Mini Project EXcel Clean'!A877:A1876,'Subbu- Mini Project EXcel Clean'!H877:H1876," ",0)</f>
        <v>Pass</v>
      </c>
      <c r="H877" t="str">
        <f>VLOOKUP(A877,'Subbu- Mini Project EXcel Clean'!A876:R1876,18,)</f>
        <v>High School</v>
      </c>
    </row>
    <row r="878" spans="1:8" x14ac:dyDescent="0.25">
      <c r="A878" t="s">
        <v>906</v>
      </c>
      <c r="B878">
        <f>VLOOKUP(A878,'Subbu- Mini Project EXcel Clean'!A877:R1877,2,FALSE)</f>
        <v>80.2</v>
      </c>
      <c r="C878">
        <f>VLOOKUP(A878,'Subbu- Mini Project EXcel Clean'!A877:R1877,3,FALSE)</f>
        <v>73.900000000000006</v>
      </c>
      <c r="D878">
        <f>_xlfn.XLOOKUP(A878,'Subbu- Mini Project EXcel Clean'!A878:A1877,'Subbu- Mini Project EXcel Clean'!D878:D1877,"Entry Level",0)</f>
        <v>79.400000000000006</v>
      </c>
      <c r="E878">
        <f>_xlfn.XLOOKUP(A878,'Subbu- Mini Project EXcel Clean'!A878:A1877,'Subbu- Mini Project EXcel Clean'!F878:F1877,"Entry Level",0)</f>
        <v>86.4</v>
      </c>
      <c r="F878">
        <f>_xlfn.XLOOKUP(A878,'Subbu- Mini Project EXcel Clean'!A878:A1877,'Subbu- Mini Project EXcel Clean'!G878:G1877," ",0)</f>
        <v>82.9</v>
      </c>
      <c r="G878" t="str">
        <f>_xlfn.XLOOKUP(A878,'Subbu- Mini Project EXcel Clean'!A878:A1877,'Subbu- Mini Project EXcel Clean'!H878:H1877," ",0)</f>
        <v>Pass</v>
      </c>
      <c r="H878" t="str">
        <f>VLOOKUP(A878,'Subbu- Mini Project EXcel Clean'!A877:R1877,18,)</f>
        <v>High School</v>
      </c>
    </row>
    <row r="879" spans="1:8" x14ac:dyDescent="0.25">
      <c r="A879" t="s">
        <v>907</v>
      </c>
      <c r="B879">
        <f>VLOOKUP(A879,'Subbu- Mini Project EXcel Clean'!A878:R1878,2,FALSE)</f>
        <v>82.8</v>
      </c>
      <c r="C879">
        <f>VLOOKUP(A879,'Subbu- Mini Project EXcel Clean'!A878:R1878,3,FALSE)</f>
        <v>80.7</v>
      </c>
      <c r="D879">
        <f>_xlfn.XLOOKUP(A879,'Subbu- Mini Project EXcel Clean'!A879:A1878,'Subbu- Mini Project EXcel Clean'!D879:D1878,"Entry Level",0)</f>
        <v>65.8</v>
      </c>
      <c r="E879">
        <f>_xlfn.XLOOKUP(A879,'Subbu- Mini Project EXcel Clean'!A879:A1878,'Subbu- Mini Project EXcel Clean'!F879:F1878,"Entry Level",0)</f>
        <v>78.2</v>
      </c>
      <c r="F879">
        <f>_xlfn.XLOOKUP(A879,'Subbu- Mini Project EXcel Clean'!A879:A1878,'Subbu- Mini Project EXcel Clean'!G879:G1878," ",0)</f>
        <v>77.2</v>
      </c>
      <c r="G879" t="str">
        <f>_xlfn.XLOOKUP(A879,'Subbu- Mini Project EXcel Clean'!A879:A1878,'Subbu- Mini Project EXcel Clean'!H879:H1878," ",0)</f>
        <v>Pass</v>
      </c>
      <c r="H879" t="str">
        <f>VLOOKUP(A879,'Subbu- Mini Project EXcel Clean'!A878:R1878,18,)</f>
        <v>High School</v>
      </c>
    </row>
    <row r="880" spans="1:8" x14ac:dyDescent="0.25">
      <c r="A880" t="s">
        <v>908</v>
      </c>
      <c r="B880">
        <f>VLOOKUP(A880,'Subbu- Mini Project EXcel Clean'!A879:R1879,2,FALSE)</f>
        <v>36.5</v>
      </c>
      <c r="C880">
        <f>VLOOKUP(A880,'Subbu- Mini Project EXcel Clean'!A879:R1879,3,FALSE)</f>
        <v>42.3</v>
      </c>
      <c r="D880">
        <f>_xlfn.XLOOKUP(A880,'Subbu- Mini Project EXcel Clean'!A880:A1879,'Subbu- Mini Project EXcel Clean'!D880:D1879,"Entry Level",0)</f>
        <v>42.3</v>
      </c>
      <c r="E880">
        <f>_xlfn.XLOOKUP(A880,'Subbu- Mini Project EXcel Clean'!A880:A1879,'Subbu- Mini Project EXcel Clean'!F880:F1879,"Entry Level",0)</f>
        <v>44</v>
      </c>
      <c r="F880">
        <f>_xlfn.XLOOKUP(A880,'Subbu- Mini Project EXcel Clean'!A880:A1879,'Subbu- Mini Project EXcel Clean'!G880:G1879," ",0)</f>
        <v>42.75</v>
      </c>
      <c r="G880" t="str">
        <f>_xlfn.XLOOKUP(A880,'Subbu- Mini Project EXcel Clean'!A880:A1879,'Subbu- Mini Project EXcel Clean'!H880:H1879," ",0)</f>
        <v>Fail</v>
      </c>
      <c r="H880" t="str">
        <f>VLOOKUP(A880,'Subbu- Mini Project EXcel Clean'!A879:R1879,18,)</f>
        <v>Bachelor</v>
      </c>
    </row>
    <row r="881" spans="1:8" x14ac:dyDescent="0.25">
      <c r="A881" t="s">
        <v>909</v>
      </c>
      <c r="B881">
        <f>VLOOKUP(A881,'Subbu- Mini Project EXcel Clean'!A880:R1880,2,FALSE)</f>
        <v>57.9</v>
      </c>
      <c r="C881">
        <f>VLOOKUP(A881,'Subbu- Mini Project EXcel Clean'!A880:R1880,3,FALSE)</f>
        <v>55</v>
      </c>
      <c r="D881">
        <f>_xlfn.XLOOKUP(A881,'Subbu- Mini Project EXcel Clean'!A881:A1880,'Subbu- Mini Project EXcel Clean'!D881:D1880,"Entry Level",0)</f>
        <v>63.3</v>
      </c>
      <c r="E881">
        <f>_xlfn.XLOOKUP(A881,'Subbu- Mini Project EXcel Clean'!A881:A1880,'Subbu- Mini Project EXcel Clean'!F881:F1880,"Entry Level",0)</f>
        <v>62.7</v>
      </c>
      <c r="F881">
        <f>_xlfn.XLOOKUP(A881,'Subbu- Mini Project EXcel Clean'!A881:A1880,'Subbu- Mini Project EXcel Clean'!G881:G1880," ",0)</f>
        <v>57.45</v>
      </c>
      <c r="G881" t="str">
        <f>_xlfn.XLOOKUP(A881,'Subbu- Mini Project EXcel Clean'!A881:A1880,'Subbu- Mini Project EXcel Clean'!H881:H1880," ",0)</f>
        <v>Pass</v>
      </c>
      <c r="H881" t="str">
        <f>VLOOKUP(A881,'Subbu- Mini Project EXcel Clean'!A880:R1880,18,)</f>
        <v>Master</v>
      </c>
    </row>
    <row r="882" spans="1:8" x14ac:dyDescent="0.25">
      <c r="A882" t="s">
        <v>910</v>
      </c>
      <c r="B882">
        <f>VLOOKUP(A882,'Subbu- Mini Project EXcel Clean'!A881:R1881,2,FALSE)</f>
        <v>59.3</v>
      </c>
      <c r="C882">
        <f>VLOOKUP(A882,'Subbu- Mini Project EXcel Clean'!A881:R1881,3,FALSE)</f>
        <v>46.8</v>
      </c>
      <c r="D882">
        <f>_xlfn.XLOOKUP(A882,'Subbu- Mini Project EXcel Clean'!A882:A1881,'Subbu- Mini Project EXcel Clean'!D882:D1881,"Entry Level",0)</f>
        <v>50.9</v>
      </c>
      <c r="E882">
        <f>_xlfn.XLOOKUP(A882,'Subbu- Mini Project EXcel Clean'!A882:A1881,'Subbu- Mini Project EXcel Clean'!F882:F1881,"Entry Level",0)</f>
        <v>46.8</v>
      </c>
      <c r="F882">
        <f>_xlfn.XLOOKUP(A882,'Subbu- Mini Project EXcel Clean'!A882:A1881,'Subbu- Mini Project EXcel Clean'!G882:G1881," ",0)</f>
        <v>49.75</v>
      </c>
      <c r="G882" t="str">
        <f>_xlfn.XLOOKUP(A882,'Subbu- Mini Project EXcel Clean'!A882:A1881,'Subbu- Mini Project EXcel Clean'!H882:H1881," ",0)</f>
        <v>Fail</v>
      </c>
      <c r="H882" t="str">
        <f>VLOOKUP(A882,'Subbu- Mini Project EXcel Clean'!A881:R1881,18,)</f>
        <v>Master</v>
      </c>
    </row>
    <row r="883" spans="1:8" x14ac:dyDescent="0.25">
      <c r="A883" t="s">
        <v>911</v>
      </c>
      <c r="B883">
        <f>VLOOKUP(A883,'Subbu- Mini Project EXcel Clean'!A882:R1882,2,FALSE)</f>
        <v>76.400000000000006</v>
      </c>
      <c r="C883">
        <f>VLOOKUP(A883,'Subbu- Mini Project EXcel Clean'!A882:R1882,3,FALSE)</f>
        <v>72.5</v>
      </c>
      <c r="D883">
        <f>_xlfn.XLOOKUP(A883,'Subbu- Mini Project EXcel Clean'!A883:A1882,'Subbu- Mini Project EXcel Clean'!D883:D1882,"Entry Level",0)</f>
        <v>73.3</v>
      </c>
      <c r="E883">
        <f>_xlfn.XLOOKUP(A883,'Subbu- Mini Project EXcel Clean'!A883:A1882,'Subbu- Mini Project EXcel Clean'!F883:F1882,"Entry Level",0)</f>
        <v>87.4</v>
      </c>
      <c r="F883">
        <f>_xlfn.XLOOKUP(A883,'Subbu- Mini Project EXcel Clean'!A883:A1882,'Subbu- Mini Project EXcel Clean'!G883:G1882," ",0)</f>
        <v>82.2</v>
      </c>
      <c r="G883" t="str">
        <f>_xlfn.XLOOKUP(A883,'Subbu- Mini Project EXcel Clean'!A883:A1882,'Subbu- Mini Project EXcel Clean'!H883:H1882," ",0)</f>
        <v>Pass</v>
      </c>
      <c r="H883" t="str">
        <f>VLOOKUP(A883,'Subbu- Mini Project EXcel Clean'!A882:R1882,18,)</f>
        <v>Master</v>
      </c>
    </row>
    <row r="884" spans="1:8" x14ac:dyDescent="0.25">
      <c r="A884" t="s">
        <v>912</v>
      </c>
      <c r="B884">
        <f>VLOOKUP(A884,'Subbu- Mini Project EXcel Clean'!A883:R1883,2,FALSE)</f>
        <v>30.5</v>
      </c>
      <c r="C884">
        <f>VLOOKUP(A884,'Subbu- Mini Project EXcel Clean'!A883:R1883,3,FALSE)</f>
        <v>44.1</v>
      </c>
      <c r="D884">
        <f>_xlfn.XLOOKUP(A884,'Subbu- Mini Project EXcel Clean'!A884:A1883,'Subbu- Mini Project EXcel Clean'!D884:D1883,"Entry Level",0)</f>
        <v>43</v>
      </c>
      <c r="E884">
        <f>_xlfn.XLOOKUP(A884,'Subbu- Mini Project EXcel Clean'!A884:A1883,'Subbu- Mini Project EXcel Clean'!F884:F1883,"Entry Level",0)</f>
        <v>54</v>
      </c>
      <c r="F884">
        <f>_xlfn.XLOOKUP(A884,'Subbu- Mini Project EXcel Clean'!A884:A1883,'Subbu- Mini Project EXcel Clean'!G884:G1883," ",0)</f>
        <v>47.55</v>
      </c>
      <c r="G884" t="str">
        <f>_xlfn.XLOOKUP(A884,'Subbu- Mini Project EXcel Clean'!A884:A1883,'Subbu- Mini Project EXcel Clean'!H884:H1883," ",0)</f>
        <v>Fail</v>
      </c>
      <c r="H884" t="str">
        <f>VLOOKUP(A884,'Subbu- Mini Project EXcel Clean'!A883:R1883,18,)</f>
        <v>Master</v>
      </c>
    </row>
    <row r="885" spans="1:8" x14ac:dyDescent="0.25">
      <c r="A885" t="s">
        <v>913</v>
      </c>
      <c r="B885">
        <f>VLOOKUP(A885,'Subbu- Mini Project EXcel Clean'!A884:R1884,2,FALSE)</f>
        <v>42.7</v>
      </c>
      <c r="C885">
        <f>VLOOKUP(A885,'Subbu- Mini Project EXcel Clean'!A884:R1884,3,FALSE)</f>
        <v>41</v>
      </c>
      <c r="D885">
        <f>_xlfn.XLOOKUP(A885,'Subbu- Mini Project EXcel Clean'!A885:A1884,'Subbu- Mini Project EXcel Clean'!D885:D1884,"Entry Level",0)</f>
        <v>47.3</v>
      </c>
      <c r="E885">
        <f>_xlfn.XLOOKUP(A885,'Subbu- Mini Project EXcel Clean'!A885:A1884,'Subbu- Mini Project EXcel Clean'!F885:F1884,"Entry Level",0)</f>
        <v>56.9</v>
      </c>
      <c r="F885">
        <f>_xlfn.XLOOKUP(A885,'Subbu- Mini Project EXcel Clean'!A885:A1884,'Subbu- Mini Project EXcel Clean'!G885:G1884," ",0)</f>
        <v>51.3</v>
      </c>
      <c r="G885" t="str">
        <f>_xlfn.XLOOKUP(A885,'Subbu- Mini Project EXcel Clean'!A885:A1884,'Subbu- Mini Project EXcel Clean'!H885:H1884," ",0)</f>
        <v>Pass</v>
      </c>
      <c r="H885" t="str">
        <f>VLOOKUP(A885,'Subbu- Mini Project EXcel Clean'!A884:R1884,18,)</f>
        <v>High School</v>
      </c>
    </row>
    <row r="886" spans="1:8" x14ac:dyDescent="0.25">
      <c r="A886" t="s">
        <v>914</v>
      </c>
      <c r="B886">
        <f>VLOOKUP(A886,'Subbu- Mini Project EXcel Clean'!A885:R1885,2,FALSE)</f>
        <v>90.5</v>
      </c>
      <c r="C886">
        <f>VLOOKUP(A886,'Subbu- Mini Project EXcel Clean'!A885:R1885,3,FALSE)</f>
        <v>86.3</v>
      </c>
      <c r="D886">
        <f>_xlfn.XLOOKUP(A886,'Subbu- Mini Project EXcel Clean'!A886:A1885,'Subbu- Mini Project EXcel Clean'!D886:D1885,"Entry Level",0)</f>
        <v>90</v>
      </c>
      <c r="E886">
        <f>_xlfn.XLOOKUP(A886,'Subbu- Mini Project EXcel Clean'!A886:A1885,'Subbu- Mini Project EXcel Clean'!F886:F1885,"Entry Level",0)</f>
        <v>100</v>
      </c>
      <c r="F886">
        <f>_xlfn.XLOOKUP(A886,'Subbu- Mini Project EXcel Clean'!A886:A1885,'Subbu- Mini Project EXcel Clean'!G886:G1885," ",0)</f>
        <v>92</v>
      </c>
      <c r="G886" t="str">
        <f>_xlfn.XLOOKUP(A886,'Subbu- Mini Project EXcel Clean'!A886:A1885,'Subbu- Mini Project EXcel Clean'!H886:H1885," ",0)</f>
        <v>Pass</v>
      </c>
      <c r="H886" t="str">
        <f>VLOOKUP(A886,'Subbu- Mini Project EXcel Clean'!A885:R1885,18,)</f>
        <v>Bachelor</v>
      </c>
    </row>
    <row r="887" spans="1:8" x14ac:dyDescent="0.25">
      <c r="A887" t="s">
        <v>915</v>
      </c>
      <c r="B887">
        <f>VLOOKUP(A887,'Subbu- Mini Project EXcel Clean'!A886:R1886,2,FALSE)</f>
        <v>49.7</v>
      </c>
      <c r="C887">
        <f>VLOOKUP(A887,'Subbu- Mini Project EXcel Clean'!A886:R1886,3,FALSE)</f>
        <v>43</v>
      </c>
      <c r="D887">
        <f>_xlfn.XLOOKUP(A887,'Subbu- Mini Project EXcel Clean'!A887:A1886,'Subbu- Mini Project EXcel Clean'!D887:D1886,"Entry Level",0)</f>
        <v>43.5</v>
      </c>
      <c r="E887">
        <f>_xlfn.XLOOKUP(A887,'Subbu- Mini Project EXcel Clean'!A887:A1886,'Subbu- Mini Project EXcel Clean'!F887:F1886,"Entry Level",0)</f>
        <v>53.6</v>
      </c>
      <c r="F887">
        <f>_xlfn.XLOOKUP(A887,'Subbu- Mini Project EXcel Clean'!A887:A1886,'Subbu- Mini Project EXcel Clean'!G887:G1886," ",0)</f>
        <v>51.7</v>
      </c>
      <c r="G887" t="str">
        <f>_xlfn.XLOOKUP(A887,'Subbu- Mini Project EXcel Clean'!A887:A1886,'Subbu- Mini Project EXcel Clean'!H887:H1886," ",0)</f>
        <v>Pass</v>
      </c>
      <c r="H887" t="str">
        <f>VLOOKUP(A887,'Subbu- Mini Project EXcel Clean'!A886:R1886,18,)</f>
        <v>High School</v>
      </c>
    </row>
    <row r="888" spans="1:8" x14ac:dyDescent="0.25">
      <c r="A888" t="s">
        <v>916</v>
      </c>
      <c r="B888">
        <f>VLOOKUP(A888,'Subbu- Mini Project EXcel Clean'!A887:R1887,2,FALSE)</f>
        <v>70.900000000000006</v>
      </c>
      <c r="C888">
        <f>VLOOKUP(A888,'Subbu- Mini Project EXcel Clean'!A887:R1887,3,FALSE)</f>
        <v>80.099999999999994</v>
      </c>
      <c r="D888">
        <f>_xlfn.XLOOKUP(A888,'Subbu- Mini Project EXcel Clean'!A888:A1887,'Subbu- Mini Project EXcel Clean'!D888:D1887,"Entry Level",0)</f>
        <v>79.599999999999994</v>
      </c>
      <c r="E888">
        <f>_xlfn.XLOOKUP(A888,'Subbu- Mini Project EXcel Clean'!A888:A1887,'Subbu- Mini Project EXcel Clean'!F888:F1887,"Entry Level",0)</f>
        <v>83</v>
      </c>
      <c r="F888">
        <f>_xlfn.XLOOKUP(A888,'Subbu- Mini Project EXcel Clean'!A888:A1887,'Subbu- Mini Project EXcel Clean'!G888:G1887," ",0)</f>
        <v>79.45</v>
      </c>
      <c r="G888" t="str">
        <f>_xlfn.XLOOKUP(A888,'Subbu- Mini Project EXcel Clean'!A888:A1887,'Subbu- Mini Project EXcel Clean'!H888:H1887," ",0)</f>
        <v>Pass</v>
      </c>
      <c r="H888" t="str">
        <f>VLOOKUP(A888,'Subbu- Mini Project EXcel Clean'!A887:R1887,18,)</f>
        <v>High School</v>
      </c>
    </row>
    <row r="889" spans="1:8" x14ac:dyDescent="0.25">
      <c r="A889" t="s">
        <v>917</v>
      </c>
      <c r="B889">
        <f>VLOOKUP(A889,'Subbu- Mini Project EXcel Clean'!A888:R1888,2,FALSE)</f>
        <v>50.6</v>
      </c>
      <c r="C889">
        <f>VLOOKUP(A889,'Subbu- Mini Project EXcel Clean'!A888:R1888,3,FALSE)</f>
        <v>46.9</v>
      </c>
      <c r="D889">
        <f>_xlfn.XLOOKUP(A889,'Subbu- Mini Project EXcel Clean'!A889:A1888,'Subbu- Mini Project EXcel Clean'!D889:D1888,"Entry Level",0)</f>
        <v>56.1</v>
      </c>
      <c r="E889">
        <f>_xlfn.XLOOKUP(A889,'Subbu- Mini Project EXcel Clean'!A889:A1888,'Subbu- Mini Project EXcel Clean'!F889:F1888,"Entry Level",0)</f>
        <v>47.1</v>
      </c>
      <c r="F889">
        <f>_xlfn.XLOOKUP(A889,'Subbu- Mini Project EXcel Clean'!A889:A1888,'Subbu- Mini Project EXcel Clean'!G889:G1888," ",0)</f>
        <v>50.1</v>
      </c>
      <c r="G889" t="str">
        <f>_xlfn.XLOOKUP(A889,'Subbu- Mini Project EXcel Clean'!A889:A1888,'Subbu- Mini Project EXcel Clean'!H889:H1888," ",0)</f>
        <v>Pass</v>
      </c>
      <c r="H889" t="str">
        <f>VLOOKUP(A889,'Subbu- Mini Project EXcel Clean'!A888:R1888,18,)</f>
        <v>Bachelor</v>
      </c>
    </row>
    <row r="890" spans="1:8" x14ac:dyDescent="0.25">
      <c r="A890" t="s">
        <v>918</v>
      </c>
      <c r="B890">
        <f>VLOOKUP(A890,'Subbu- Mini Project EXcel Clean'!A889:R1889,2,FALSE)</f>
        <v>49.7</v>
      </c>
      <c r="C890">
        <f>VLOOKUP(A890,'Subbu- Mini Project EXcel Clean'!A889:R1889,3,FALSE)</f>
        <v>48.2</v>
      </c>
      <c r="D890">
        <f>_xlfn.XLOOKUP(A890,'Subbu- Mini Project EXcel Clean'!A890:A1889,'Subbu- Mini Project EXcel Clean'!D890:D1889,"Entry Level",0)</f>
        <v>44.8</v>
      </c>
      <c r="E890">
        <f>_xlfn.XLOOKUP(A890,'Subbu- Mini Project EXcel Clean'!A890:A1889,'Subbu- Mini Project EXcel Clean'!F890:F1889,"Entry Level",0)</f>
        <v>63.8</v>
      </c>
      <c r="F890">
        <f>_xlfn.XLOOKUP(A890,'Subbu- Mini Project EXcel Clean'!A890:A1889,'Subbu- Mini Project EXcel Clean'!G890:G1889," ",0)</f>
        <v>54.65</v>
      </c>
      <c r="G890" t="str">
        <f>_xlfn.XLOOKUP(A890,'Subbu- Mini Project EXcel Clean'!A890:A1889,'Subbu- Mini Project EXcel Clean'!H890:H1889," ",0)</f>
        <v>Pass</v>
      </c>
      <c r="H890" t="str">
        <f>VLOOKUP(A890,'Subbu- Mini Project EXcel Clean'!A889:R1889,18,)</f>
        <v>Bachelor</v>
      </c>
    </row>
    <row r="891" spans="1:8" x14ac:dyDescent="0.25">
      <c r="A891" t="s">
        <v>919</v>
      </c>
      <c r="B891">
        <f>VLOOKUP(A891,'Subbu- Mini Project EXcel Clean'!A890:R1890,2,FALSE)</f>
        <v>56.1</v>
      </c>
      <c r="C891">
        <f>VLOOKUP(A891,'Subbu- Mini Project EXcel Clean'!A890:R1890,3,FALSE)</f>
        <v>56.5</v>
      </c>
      <c r="D891">
        <f>_xlfn.XLOOKUP(A891,'Subbu- Mini Project EXcel Clean'!A891:A1890,'Subbu- Mini Project EXcel Clean'!D891:D1890,"Entry Level",0)</f>
        <v>55.1</v>
      </c>
      <c r="E891">
        <f>_xlfn.XLOOKUP(A891,'Subbu- Mini Project EXcel Clean'!A891:A1890,'Subbu- Mini Project EXcel Clean'!F891:F1890,"Entry Level",0)</f>
        <v>52</v>
      </c>
      <c r="F891">
        <f>_xlfn.XLOOKUP(A891,'Subbu- Mini Project EXcel Clean'!A891:A1890,'Subbu- Mini Project EXcel Clean'!G891:G1890," ",0)</f>
        <v>52.7</v>
      </c>
      <c r="G891" t="str">
        <f>_xlfn.XLOOKUP(A891,'Subbu- Mini Project EXcel Clean'!A891:A1890,'Subbu- Mini Project EXcel Clean'!H891:H1890," ",0)</f>
        <v>Pass</v>
      </c>
      <c r="H891" t="str">
        <f>VLOOKUP(A891,'Subbu- Mini Project EXcel Clean'!A890:R1890,18,)</f>
        <v>High School</v>
      </c>
    </row>
    <row r="892" spans="1:8" x14ac:dyDescent="0.25">
      <c r="A892" t="s">
        <v>920</v>
      </c>
      <c r="B892">
        <f>VLOOKUP(A892,'Subbu- Mini Project EXcel Clean'!A891:R1891,2,FALSE)</f>
        <v>78.5</v>
      </c>
      <c r="C892">
        <f>VLOOKUP(A892,'Subbu- Mini Project EXcel Clean'!A891:R1891,3,FALSE)</f>
        <v>76.2</v>
      </c>
      <c r="D892">
        <f>_xlfn.XLOOKUP(A892,'Subbu- Mini Project EXcel Clean'!A892:A1891,'Subbu- Mini Project EXcel Clean'!D892:D1891,"Entry Level",0)</f>
        <v>84.9</v>
      </c>
      <c r="E892">
        <f>_xlfn.XLOOKUP(A892,'Subbu- Mini Project EXcel Clean'!A892:A1891,'Subbu- Mini Project EXcel Clean'!F892:F1891,"Entry Level",0)</f>
        <v>72.7</v>
      </c>
      <c r="F892">
        <f>_xlfn.XLOOKUP(A892,'Subbu- Mini Project EXcel Clean'!A892:A1891,'Subbu- Mini Project EXcel Clean'!G892:G1891," ",0)</f>
        <v>76.2</v>
      </c>
      <c r="G892" t="str">
        <f>_xlfn.XLOOKUP(A892,'Subbu- Mini Project EXcel Clean'!A892:A1891,'Subbu- Mini Project EXcel Clean'!H892:H1891," ",0)</f>
        <v>Pass</v>
      </c>
      <c r="H892" t="str">
        <f>VLOOKUP(A892,'Subbu- Mini Project EXcel Clean'!A891:R1891,18,)</f>
        <v>Master</v>
      </c>
    </row>
    <row r="893" spans="1:8" x14ac:dyDescent="0.25">
      <c r="A893" t="s">
        <v>921</v>
      </c>
      <c r="B893">
        <f>VLOOKUP(A893,'Subbu- Mini Project EXcel Clean'!A892:R1892,2,FALSE)</f>
        <v>85.2</v>
      </c>
      <c r="C893">
        <f>VLOOKUP(A893,'Subbu- Mini Project EXcel Clean'!A892:R1892,3,FALSE)</f>
        <v>90</v>
      </c>
      <c r="D893">
        <f>_xlfn.XLOOKUP(A893,'Subbu- Mini Project EXcel Clean'!A893:A1892,'Subbu- Mini Project EXcel Clean'!D893:D1892,"Entry Level",0)</f>
        <v>91.4</v>
      </c>
      <c r="E893">
        <f>_xlfn.XLOOKUP(A893,'Subbu- Mini Project EXcel Clean'!A893:A1892,'Subbu- Mini Project EXcel Clean'!F893:F1892,"Entry Level",0)</f>
        <v>84.8</v>
      </c>
      <c r="F893">
        <f>_xlfn.XLOOKUP(A893,'Subbu- Mini Project EXcel Clean'!A893:A1892,'Subbu- Mini Project EXcel Clean'!G893:G1892," ",0)</f>
        <v>85.95</v>
      </c>
      <c r="G893" t="str">
        <f>_xlfn.XLOOKUP(A893,'Subbu- Mini Project EXcel Clean'!A893:A1892,'Subbu- Mini Project EXcel Clean'!H893:H1892," ",0)</f>
        <v>Pass</v>
      </c>
      <c r="H893" t="str">
        <f>VLOOKUP(A893,'Subbu- Mini Project EXcel Clean'!A892:R1892,18,)</f>
        <v>Bachelor</v>
      </c>
    </row>
    <row r="894" spans="1:8" x14ac:dyDescent="0.25">
      <c r="A894" t="s">
        <v>922</v>
      </c>
      <c r="B894">
        <f>VLOOKUP(A894,'Subbu- Mini Project EXcel Clean'!A893:R1893,2,FALSE)</f>
        <v>83.7</v>
      </c>
      <c r="C894">
        <f>VLOOKUP(A894,'Subbu- Mini Project EXcel Clean'!A893:R1893,3,FALSE)</f>
        <v>87</v>
      </c>
      <c r="D894">
        <f>_xlfn.XLOOKUP(A894,'Subbu- Mini Project EXcel Clean'!A894:A1893,'Subbu- Mini Project EXcel Clean'!D894:D1893,"Entry Level",0)</f>
        <v>79.900000000000006</v>
      </c>
      <c r="E894">
        <f>_xlfn.XLOOKUP(A894,'Subbu- Mini Project EXcel Clean'!A894:A1893,'Subbu- Mini Project EXcel Clean'!F894:F1893,"Entry Level",0)</f>
        <v>92</v>
      </c>
      <c r="F894">
        <f>_xlfn.XLOOKUP(A894,'Subbu- Mini Project EXcel Clean'!A894:A1893,'Subbu- Mini Project EXcel Clean'!G894:G1893," ",0)</f>
        <v>88.85</v>
      </c>
      <c r="G894" t="str">
        <f>_xlfn.XLOOKUP(A894,'Subbu- Mini Project EXcel Clean'!A894:A1893,'Subbu- Mini Project EXcel Clean'!H894:H1893," ",0)</f>
        <v>Pass</v>
      </c>
      <c r="H894" t="str">
        <f>VLOOKUP(A894,'Subbu- Mini Project EXcel Clean'!A893:R1893,18,)</f>
        <v>Bachelor</v>
      </c>
    </row>
    <row r="895" spans="1:8" x14ac:dyDescent="0.25">
      <c r="A895" t="s">
        <v>923</v>
      </c>
      <c r="B895">
        <f>VLOOKUP(A895,'Subbu- Mini Project EXcel Clean'!A894:R1894,2,FALSE)</f>
        <v>57.2</v>
      </c>
      <c r="C895">
        <f>VLOOKUP(A895,'Subbu- Mini Project EXcel Clean'!A894:R1894,3,FALSE)</f>
        <v>59.2</v>
      </c>
      <c r="D895">
        <f>_xlfn.XLOOKUP(A895,'Subbu- Mini Project EXcel Clean'!A895:A1894,'Subbu- Mini Project EXcel Clean'!D895:D1894,"Entry Level",0)</f>
        <v>65.900000000000006</v>
      </c>
      <c r="E895">
        <f>_xlfn.XLOOKUP(A895,'Subbu- Mini Project EXcel Clean'!A895:A1894,'Subbu- Mini Project EXcel Clean'!F895:F1894,"Entry Level",0)</f>
        <v>65.3</v>
      </c>
      <c r="F895">
        <f>_xlfn.XLOOKUP(A895,'Subbu- Mini Project EXcel Clean'!A895:A1894,'Subbu- Mini Project EXcel Clean'!G895:G1894," ",0)</f>
        <v>63.55</v>
      </c>
      <c r="G895" t="str">
        <f>_xlfn.XLOOKUP(A895,'Subbu- Mini Project EXcel Clean'!A895:A1894,'Subbu- Mini Project EXcel Clean'!H895:H1894," ",0)</f>
        <v>Pass</v>
      </c>
      <c r="H895" t="str">
        <f>VLOOKUP(A895,'Subbu- Mini Project EXcel Clean'!A894:R1894,18,)</f>
        <v>High School</v>
      </c>
    </row>
    <row r="896" spans="1:8" x14ac:dyDescent="0.25">
      <c r="A896" t="s">
        <v>924</v>
      </c>
      <c r="B896">
        <f>VLOOKUP(A896,'Subbu- Mini Project EXcel Clean'!A895:R1895,2,FALSE)</f>
        <v>84.8</v>
      </c>
      <c r="C896">
        <f>VLOOKUP(A896,'Subbu- Mini Project EXcel Clean'!A895:R1895,3,FALSE)</f>
        <v>71.7</v>
      </c>
      <c r="D896">
        <f>_xlfn.XLOOKUP(A896,'Subbu- Mini Project EXcel Clean'!A896:A1895,'Subbu- Mini Project EXcel Clean'!D896:D1895,"Entry Level",0)</f>
        <v>76.400000000000006</v>
      </c>
      <c r="E896">
        <f>_xlfn.XLOOKUP(A896,'Subbu- Mini Project EXcel Clean'!A896:A1895,'Subbu- Mini Project EXcel Clean'!F896:F1895,"Entry Level",0)</f>
        <v>66.2</v>
      </c>
      <c r="F896">
        <f>_xlfn.XLOOKUP(A896,'Subbu- Mini Project EXcel Clean'!A896:A1895,'Subbu- Mini Project EXcel Clean'!G896:G1895," ",0)</f>
        <v>71.45</v>
      </c>
      <c r="G896" t="str">
        <f>_xlfn.XLOOKUP(A896,'Subbu- Mini Project EXcel Clean'!A896:A1895,'Subbu- Mini Project EXcel Clean'!H896:H1895," ",0)</f>
        <v>Pass</v>
      </c>
      <c r="H896" t="str">
        <f>VLOOKUP(A896,'Subbu- Mini Project EXcel Clean'!A895:R1895,18,)</f>
        <v>Master</v>
      </c>
    </row>
    <row r="897" spans="1:8" x14ac:dyDescent="0.25">
      <c r="A897" t="s">
        <v>925</v>
      </c>
      <c r="B897">
        <f>VLOOKUP(A897,'Subbu- Mini Project EXcel Clean'!A896:R1896,2,FALSE)</f>
        <v>49.7</v>
      </c>
      <c r="C897">
        <f>VLOOKUP(A897,'Subbu- Mini Project EXcel Clean'!A896:R1896,3,FALSE)</f>
        <v>41.5</v>
      </c>
      <c r="D897">
        <f>_xlfn.XLOOKUP(A897,'Subbu- Mini Project EXcel Clean'!A897:A1896,'Subbu- Mini Project EXcel Clean'!D897:D1896,"Entry Level",0)</f>
        <v>51.6</v>
      </c>
      <c r="E897">
        <f>_xlfn.XLOOKUP(A897,'Subbu- Mini Project EXcel Clean'!A897:A1896,'Subbu- Mini Project EXcel Clean'!F897:F1896,"Entry Level",0)</f>
        <v>74.5</v>
      </c>
      <c r="F897">
        <f>_xlfn.XLOOKUP(A897,'Subbu- Mini Project EXcel Clean'!A897:A1896,'Subbu- Mini Project EXcel Clean'!G897:G1896," ",0)</f>
        <v>62.9</v>
      </c>
      <c r="G897" t="str">
        <f>_xlfn.XLOOKUP(A897,'Subbu- Mini Project EXcel Clean'!A897:A1896,'Subbu- Mini Project EXcel Clean'!H897:H1896," ",0)</f>
        <v>Pass</v>
      </c>
      <c r="H897" t="str">
        <f>VLOOKUP(A897,'Subbu- Mini Project EXcel Clean'!A896:R1896,18,)</f>
        <v>Bachelor</v>
      </c>
    </row>
    <row r="898" spans="1:8" x14ac:dyDescent="0.25">
      <c r="A898" t="s">
        <v>926</v>
      </c>
      <c r="B898">
        <f>VLOOKUP(A898,'Subbu- Mini Project EXcel Clean'!A897:R1897,2,FALSE)</f>
        <v>62.2</v>
      </c>
      <c r="C898">
        <f>VLOOKUP(A898,'Subbu- Mini Project EXcel Clean'!A897:R1897,3,FALSE)</f>
        <v>57.9</v>
      </c>
      <c r="D898">
        <f>_xlfn.XLOOKUP(A898,'Subbu- Mini Project EXcel Clean'!A898:A1897,'Subbu- Mini Project EXcel Clean'!D898:D1897,"Entry Level",0)</f>
        <v>56.5</v>
      </c>
      <c r="E898">
        <f>_xlfn.XLOOKUP(A898,'Subbu- Mini Project EXcel Clean'!A898:A1897,'Subbu- Mini Project EXcel Clean'!F898:F1897,"Entry Level",0)</f>
        <v>58.9</v>
      </c>
      <c r="F898">
        <f>_xlfn.XLOOKUP(A898,'Subbu- Mini Project EXcel Clean'!A898:A1897,'Subbu- Mini Project EXcel Clean'!G898:G1897," ",0)</f>
        <v>57.5</v>
      </c>
      <c r="G898" t="str">
        <f>_xlfn.XLOOKUP(A898,'Subbu- Mini Project EXcel Clean'!A898:A1897,'Subbu- Mini Project EXcel Clean'!H898:H1897," ",0)</f>
        <v>Pass</v>
      </c>
      <c r="H898" t="str">
        <f>VLOOKUP(A898,'Subbu- Mini Project EXcel Clean'!A897:R1897,18,)</f>
        <v>High School</v>
      </c>
    </row>
    <row r="899" spans="1:8" x14ac:dyDescent="0.25">
      <c r="A899" t="s">
        <v>927</v>
      </c>
      <c r="B899">
        <f>VLOOKUP(A899,'Subbu- Mini Project EXcel Clean'!A898:R1898,2,FALSE)</f>
        <v>96.9</v>
      </c>
      <c r="C899">
        <f>VLOOKUP(A899,'Subbu- Mini Project EXcel Clean'!A898:R1898,3,FALSE)</f>
        <v>81.5</v>
      </c>
      <c r="D899">
        <f>_xlfn.XLOOKUP(A899,'Subbu- Mini Project EXcel Clean'!A899:A1898,'Subbu- Mini Project EXcel Clean'!D899:D1898,"Entry Level",0)</f>
        <v>88.5</v>
      </c>
      <c r="E899">
        <f>_xlfn.XLOOKUP(A899,'Subbu- Mini Project EXcel Clean'!A899:A1898,'Subbu- Mini Project EXcel Clean'!F899:F1898,"Entry Level",0)</f>
        <v>100</v>
      </c>
      <c r="F899">
        <f>_xlfn.XLOOKUP(A899,'Subbu- Mini Project EXcel Clean'!A899:A1898,'Subbu- Mini Project EXcel Clean'!G899:G1898," ",0)</f>
        <v>94.65</v>
      </c>
      <c r="G899" t="str">
        <f>_xlfn.XLOOKUP(A899,'Subbu- Mini Project EXcel Clean'!A899:A1898,'Subbu- Mini Project EXcel Clean'!H899:H1898," ",0)</f>
        <v>Pass</v>
      </c>
      <c r="H899" t="str">
        <f>VLOOKUP(A899,'Subbu- Mini Project EXcel Clean'!A898:R1898,18,)</f>
        <v>Bachelor</v>
      </c>
    </row>
    <row r="900" spans="1:8" x14ac:dyDescent="0.25">
      <c r="A900" t="s">
        <v>928</v>
      </c>
      <c r="B900">
        <f>VLOOKUP(A900,'Subbu- Mini Project EXcel Clean'!A899:R1899,2,FALSE)</f>
        <v>45.7</v>
      </c>
      <c r="C900">
        <f>VLOOKUP(A900,'Subbu- Mini Project EXcel Clean'!A899:R1899,3,FALSE)</f>
        <v>41.2</v>
      </c>
      <c r="D900">
        <f>_xlfn.XLOOKUP(A900,'Subbu- Mini Project EXcel Clean'!A900:A1899,'Subbu- Mini Project EXcel Clean'!D900:D1899,"Entry Level",0)</f>
        <v>46.7</v>
      </c>
      <c r="E900">
        <f>_xlfn.XLOOKUP(A900,'Subbu- Mini Project EXcel Clean'!A900:A1899,'Subbu- Mini Project EXcel Clean'!F900:F1899,"Entry Level",0)</f>
        <v>41.2</v>
      </c>
      <c r="F900">
        <f>_xlfn.XLOOKUP(A900,'Subbu- Mini Project EXcel Clean'!A900:A1899,'Subbu- Mini Project EXcel Clean'!G900:G1899," ",0)</f>
        <v>40.950000000000003</v>
      </c>
      <c r="G900" t="str">
        <f>_xlfn.XLOOKUP(A900,'Subbu- Mini Project EXcel Clean'!A900:A1899,'Subbu- Mini Project EXcel Clean'!H900:H1899," ",0)</f>
        <v>Fail</v>
      </c>
      <c r="H900" t="str">
        <f>VLOOKUP(A900,'Subbu- Mini Project EXcel Clean'!A899:R1899,18,)</f>
        <v>Master</v>
      </c>
    </row>
    <row r="901" spans="1:8" x14ac:dyDescent="0.25">
      <c r="A901" t="s">
        <v>929</v>
      </c>
      <c r="B901">
        <f>VLOOKUP(A901,'Subbu- Mini Project EXcel Clean'!A900:R1900,2,FALSE)</f>
        <v>42.5</v>
      </c>
      <c r="C901">
        <f>VLOOKUP(A901,'Subbu- Mini Project EXcel Clean'!A900:R1900,3,FALSE)</f>
        <v>43.4</v>
      </c>
      <c r="D901">
        <f>_xlfn.XLOOKUP(A901,'Subbu- Mini Project EXcel Clean'!A901:A1900,'Subbu- Mini Project EXcel Clean'!D901:D1900,"Entry Level",0)</f>
        <v>44.3</v>
      </c>
      <c r="E901">
        <f>_xlfn.XLOOKUP(A901,'Subbu- Mini Project EXcel Clean'!A901:A1900,'Subbu- Mini Project EXcel Clean'!F901:F1900,"Entry Level",0)</f>
        <v>56.4</v>
      </c>
      <c r="F901">
        <f>_xlfn.XLOOKUP(A901,'Subbu- Mini Project EXcel Clean'!A901:A1900,'Subbu- Mini Project EXcel Clean'!G901:G1900," ",0)</f>
        <v>50.55</v>
      </c>
      <c r="G901" t="str">
        <f>_xlfn.XLOOKUP(A901,'Subbu- Mini Project EXcel Clean'!A901:A1900,'Subbu- Mini Project EXcel Clean'!H901:H1900," ",0)</f>
        <v>Pass</v>
      </c>
      <c r="H901" t="str">
        <f>VLOOKUP(A901,'Subbu- Mini Project EXcel Clean'!A900:R1900,18,)</f>
        <v>High School</v>
      </c>
    </row>
    <row r="902" spans="1:8" x14ac:dyDescent="0.25">
      <c r="A902" t="s">
        <v>930</v>
      </c>
      <c r="B902">
        <f>VLOOKUP(A902,'Subbu- Mini Project EXcel Clean'!A901:R1901,2,FALSE)</f>
        <v>53.5</v>
      </c>
      <c r="C902">
        <f>VLOOKUP(A902,'Subbu- Mini Project EXcel Clean'!A901:R1901,3,FALSE)</f>
        <v>54.8</v>
      </c>
      <c r="D902">
        <f>_xlfn.XLOOKUP(A902,'Subbu- Mini Project EXcel Clean'!A902:A1901,'Subbu- Mini Project EXcel Clean'!D902:D1901,"Entry Level",0)</f>
        <v>45.8</v>
      </c>
      <c r="E902">
        <f>_xlfn.XLOOKUP(A902,'Subbu- Mini Project EXcel Clean'!A902:A1901,'Subbu- Mini Project EXcel Clean'!F902:F1901,"Entry Level",0)</f>
        <v>74.2</v>
      </c>
      <c r="F902">
        <f>_xlfn.XLOOKUP(A902,'Subbu- Mini Project EXcel Clean'!A902:A1901,'Subbu- Mini Project EXcel Clean'!G902:G1901," ",0)</f>
        <v>62.8</v>
      </c>
      <c r="G902" t="str">
        <f>_xlfn.XLOOKUP(A902,'Subbu- Mini Project EXcel Clean'!A902:A1901,'Subbu- Mini Project EXcel Clean'!H902:H1901," ",0)</f>
        <v>Pass</v>
      </c>
      <c r="H902" t="str">
        <f>VLOOKUP(A902,'Subbu- Mini Project EXcel Clean'!A901:R1901,18,)</f>
        <v>High School</v>
      </c>
    </row>
    <row r="903" spans="1:8" x14ac:dyDescent="0.25">
      <c r="A903" t="s">
        <v>931</v>
      </c>
      <c r="B903">
        <f>VLOOKUP(A903,'Subbu- Mini Project EXcel Clean'!A902:R1902,2,FALSE)</f>
        <v>41.3</v>
      </c>
      <c r="C903">
        <f>VLOOKUP(A903,'Subbu- Mini Project EXcel Clean'!A902:R1902,3,FALSE)</f>
        <v>39.9</v>
      </c>
      <c r="D903">
        <f>_xlfn.XLOOKUP(A903,'Subbu- Mini Project EXcel Clean'!A903:A1902,'Subbu- Mini Project EXcel Clean'!D903:D1902,"Entry Level",0)</f>
        <v>39.5</v>
      </c>
      <c r="E903">
        <f>_xlfn.XLOOKUP(A903,'Subbu- Mini Project EXcel Clean'!A903:A1902,'Subbu- Mini Project EXcel Clean'!F903:F1902,"Entry Level",0)</f>
        <v>37.4</v>
      </c>
      <c r="F903">
        <f>_xlfn.XLOOKUP(A903,'Subbu- Mini Project EXcel Clean'!A903:A1902,'Subbu- Mini Project EXcel Clean'!G903:G1902," ",0)</f>
        <v>39.450000000000003</v>
      </c>
      <c r="G903" t="str">
        <f>_xlfn.XLOOKUP(A903,'Subbu- Mini Project EXcel Clean'!A903:A1902,'Subbu- Mini Project EXcel Clean'!H903:H1902," ",0)</f>
        <v>Fail</v>
      </c>
      <c r="H903" t="str">
        <f>VLOOKUP(A903,'Subbu- Mini Project EXcel Clean'!A902:R1902,18,)</f>
        <v>Master</v>
      </c>
    </row>
    <row r="904" spans="1:8" x14ac:dyDescent="0.25">
      <c r="A904" t="s">
        <v>932</v>
      </c>
      <c r="B904">
        <f>VLOOKUP(A904,'Subbu- Mini Project EXcel Clean'!A903:R1903,2,FALSE)</f>
        <v>45.5</v>
      </c>
      <c r="C904">
        <f>VLOOKUP(A904,'Subbu- Mini Project EXcel Clean'!A903:R1903,3,FALSE)</f>
        <v>48.3</v>
      </c>
      <c r="D904">
        <f>_xlfn.XLOOKUP(A904,'Subbu- Mini Project EXcel Clean'!A904:A1903,'Subbu- Mini Project EXcel Clean'!D904:D1903,"Entry Level",0)</f>
        <v>50.9</v>
      </c>
      <c r="E904">
        <f>_xlfn.XLOOKUP(A904,'Subbu- Mini Project EXcel Clean'!A904:A1903,'Subbu- Mini Project EXcel Clean'!F904:F1903,"Entry Level",0)</f>
        <v>63.3</v>
      </c>
      <c r="F904">
        <f>_xlfn.XLOOKUP(A904,'Subbu- Mini Project EXcel Clean'!A904:A1903,'Subbu- Mini Project EXcel Clean'!G904:G1903," ",0)</f>
        <v>56.65</v>
      </c>
      <c r="G904" t="str">
        <f>_xlfn.XLOOKUP(A904,'Subbu- Mini Project EXcel Clean'!A904:A1903,'Subbu- Mini Project EXcel Clean'!H904:H1903," ",0)</f>
        <v>Pass</v>
      </c>
      <c r="H904" t="str">
        <f>VLOOKUP(A904,'Subbu- Mini Project EXcel Clean'!A903:R1903,18,)</f>
        <v>High School</v>
      </c>
    </row>
    <row r="905" spans="1:8" x14ac:dyDescent="0.25">
      <c r="A905" t="s">
        <v>933</v>
      </c>
      <c r="B905">
        <f>VLOOKUP(A905,'Subbu- Mini Project EXcel Clean'!A904:R1904,2,FALSE)</f>
        <v>73.7</v>
      </c>
      <c r="C905">
        <f>VLOOKUP(A905,'Subbu- Mini Project EXcel Clean'!A904:R1904,3,FALSE)</f>
        <v>75.7</v>
      </c>
      <c r="D905">
        <f>_xlfn.XLOOKUP(A905,'Subbu- Mini Project EXcel Clean'!A905:A1904,'Subbu- Mini Project EXcel Clean'!D905:D1904,"Entry Level",0)</f>
        <v>78.2</v>
      </c>
      <c r="E905">
        <f>_xlfn.XLOOKUP(A905,'Subbu- Mini Project EXcel Clean'!A905:A1904,'Subbu- Mini Project EXcel Clean'!F905:F1904,"Entry Level",0)</f>
        <v>95.5</v>
      </c>
      <c r="F905">
        <f>_xlfn.XLOOKUP(A905,'Subbu- Mini Project EXcel Clean'!A905:A1904,'Subbu- Mini Project EXcel Clean'!G905:G1904," ",0)</f>
        <v>83.8</v>
      </c>
      <c r="G905" t="str">
        <f>_xlfn.XLOOKUP(A905,'Subbu- Mini Project EXcel Clean'!A905:A1904,'Subbu- Mini Project EXcel Clean'!H905:H1904," ",0)</f>
        <v>Pass</v>
      </c>
      <c r="H905" t="str">
        <f>VLOOKUP(A905,'Subbu- Mini Project EXcel Clean'!A904:R1904,18,)</f>
        <v>Master</v>
      </c>
    </row>
    <row r="906" spans="1:8" x14ac:dyDescent="0.25">
      <c r="A906" t="s">
        <v>934</v>
      </c>
      <c r="B906">
        <f>VLOOKUP(A906,'Subbu- Mini Project EXcel Clean'!A905:R1905,2,FALSE)</f>
        <v>57.3</v>
      </c>
      <c r="C906">
        <f>VLOOKUP(A906,'Subbu- Mini Project EXcel Clean'!A905:R1905,3,FALSE)</f>
        <v>64.900000000000006</v>
      </c>
      <c r="D906">
        <f>_xlfn.XLOOKUP(A906,'Subbu- Mini Project EXcel Clean'!A906:A1905,'Subbu- Mini Project EXcel Clean'!D906:D1905,"Entry Level",0)</f>
        <v>66.2</v>
      </c>
      <c r="E906">
        <f>_xlfn.XLOOKUP(A906,'Subbu- Mini Project EXcel Clean'!A906:A1905,'Subbu- Mini Project EXcel Clean'!F906:F1905,"Entry Level",0)</f>
        <v>74.3</v>
      </c>
      <c r="F906">
        <f>_xlfn.XLOOKUP(A906,'Subbu- Mini Project EXcel Clean'!A906:A1905,'Subbu- Mini Project EXcel Clean'!G906:G1905," ",0)</f>
        <v>68.75</v>
      </c>
      <c r="G906" t="str">
        <f>_xlfn.XLOOKUP(A906,'Subbu- Mini Project EXcel Clean'!A906:A1905,'Subbu- Mini Project EXcel Clean'!H906:H1905," ",0)</f>
        <v>Pass</v>
      </c>
      <c r="H906" t="str">
        <f>VLOOKUP(A906,'Subbu- Mini Project EXcel Clean'!A905:R1905,18,)</f>
        <v>High School</v>
      </c>
    </row>
    <row r="907" spans="1:8" x14ac:dyDescent="0.25">
      <c r="A907" t="s">
        <v>935</v>
      </c>
      <c r="B907">
        <f>VLOOKUP(A907,'Subbu- Mini Project EXcel Clean'!A906:R1906,2,FALSE)</f>
        <v>95</v>
      </c>
      <c r="C907">
        <f>VLOOKUP(A907,'Subbu- Mini Project EXcel Clean'!A906:R1906,3,FALSE)</f>
        <v>90.7</v>
      </c>
      <c r="D907">
        <f>_xlfn.XLOOKUP(A907,'Subbu- Mini Project EXcel Clean'!A907:A1906,'Subbu- Mini Project EXcel Clean'!D907:D1906,"Entry Level",0)</f>
        <v>84.8</v>
      </c>
      <c r="E907">
        <f>_xlfn.XLOOKUP(A907,'Subbu- Mini Project EXcel Clean'!A907:A1906,'Subbu- Mini Project EXcel Clean'!F907:F1906,"Entry Level",0)</f>
        <v>87.7</v>
      </c>
      <c r="F907">
        <f>_xlfn.XLOOKUP(A907,'Subbu- Mini Project EXcel Clean'!A907:A1906,'Subbu- Mini Project EXcel Clean'!G907:G1906," ",0)</f>
        <v>88.4</v>
      </c>
      <c r="G907" t="str">
        <f>_xlfn.XLOOKUP(A907,'Subbu- Mini Project EXcel Clean'!A907:A1906,'Subbu- Mini Project EXcel Clean'!H907:H1906," ",0)</f>
        <v>Pass</v>
      </c>
      <c r="H907" t="str">
        <f>VLOOKUP(A907,'Subbu- Mini Project EXcel Clean'!A906:R1906,18,)</f>
        <v>Master</v>
      </c>
    </row>
    <row r="908" spans="1:8" x14ac:dyDescent="0.25">
      <c r="A908" t="s">
        <v>936</v>
      </c>
      <c r="B908">
        <f>VLOOKUP(A908,'Subbu- Mini Project EXcel Clean'!A907:R1907,2,FALSE)</f>
        <v>82.6</v>
      </c>
      <c r="C908">
        <f>VLOOKUP(A908,'Subbu- Mini Project EXcel Clean'!A907:R1907,3,FALSE)</f>
        <v>87.3</v>
      </c>
      <c r="D908">
        <f>_xlfn.XLOOKUP(A908,'Subbu- Mini Project EXcel Clean'!A908:A1907,'Subbu- Mini Project EXcel Clean'!D908:D1907,"Entry Level",0)</f>
        <v>97.4</v>
      </c>
      <c r="E908">
        <f>_xlfn.XLOOKUP(A908,'Subbu- Mini Project EXcel Clean'!A908:A1907,'Subbu- Mini Project EXcel Clean'!F908:F1907,"Entry Level",0)</f>
        <v>72.900000000000006</v>
      </c>
      <c r="F908">
        <f>_xlfn.XLOOKUP(A908,'Subbu- Mini Project EXcel Clean'!A908:A1907,'Subbu- Mini Project EXcel Clean'!G908:G1907," ",0)</f>
        <v>78.95</v>
      </c>
      <c r="G908" t="str">
        <f>_xlfn.XLOOKUP(A908,'Subbu- Mini Project EXcel Clean'!A908:A1907,'Subbu- Mini Project EXcel Clean'!H908:H1907," ",0)</f>
        <v>Pass</v>
      </c>
      <c r="H908" t="str">
        <f>VLOOKUP(A908,'Subbu- Mini Project EXcel Clean'!A907:R1907,18,)</f>
        <v>Bachelor</v>
      </c>
    </row>
    <row r="909" spans="1:8" x14ac:dyDescent="0.25">
      <c r="A909" t="s">
        <v>937</v>
      </c>
      <c r="B909">
        <f>VLOOKUP(A909,'Subbu- Mini Project EXcel Clean'!A908:R1908,2,FALSE)</f>
        <v>59.8</v>
      </c>
      <c r="C909">
        <f>VLOOKUP(A909,'Subbu- Mini Project EXcel Clean'!A908:R1908,3,FALSE)</f>
        <v>51.1</v>
      </c>
      <c r="D909">
        <f>_xlfn.XLOOKUP(A909,'Subbu- Mini Project EXcel Clean'!A909:A1908,'Subbu- Mini Project EXcel Clean'!D909:D1908,"Entry Level",0)</f>
        <v>60.1</v>
      </c>
      <c r="E909">
        <f>_xlfn.XLOOKUP(A909,'Subbu- Mini Project EXcel Clean'!A909:A1908,'Subbu- Mini Project EXcel Clean'!F909:F1908,"Entry Level",0)</f>
        <v>71.599999999999994</v>
      </c>
      <c r="F909">
        <f>_xlfn.XLOOKUP(A909,'Subbu- Mini Project EXcel Clean'!A909:A1908,'Subbu- Mini Project EXcel Clean'!G909:G1908," ",0)</f>
        <v>65.2</v>
      </c>
      <c r="G909" t="str">
        <f>_xlfn.XLOOKUP(A909,'Subbu- Mini Project EXcel Clean'!A909:A1908,'Subbu- Mini Project EXcel Clean'!H909:H1908," ",0)</f>
        <v>Pass</v>
      </c>
      <c r="H909" t="str">
        <f>VLOOKUP(A909,'Subbu- Mini Project EXcel Clean'!A908:R1908,18,)</f>
        <v>Bachelor</v>
      </c>
    </row>
    <row r="910" spans="1:8" x14ac:dyDescent="0.25">
      <c r="A910" t="s">
        <v>938</v>
      </c>
      <c r="B910">
        <f>VLOOKUP(A910,'Subbu- Mini Project EXcel Clean'!A909:R1909,2,FALSE)</f>
        <v>55.7</v>
      </c>
      <c r="C910">
        <f>VLOOKUP(A910,'Subbu- Mini Project EXcel Clean'!A909:R1909,3,FALSE)</f>
        <v>58.1</v>
      </c>
      <c r="D910">
        <f>_xlfn.XLOOKUP(A910,'Subbu- Mini Project EXcel Clean'!A910:A1909,'Subbu- Mini Project EXcel Clean'!D910:D1909,"Entry Level",0)</f>
        <v>60.6</v>
      </c>
      <c r="E910">
        <f>_xlfn.XLOOKUP(A910,'Subbu- Mini Project EXcel Clean'!A910:A1909,'Subbu- Mini Project EXcel Clean'!F910:F1909,"Entry Level",0)</f>
        <v>76.599999999999994</v>
      </c>
      <c r="F910">
        <f>_xlfn.XLOOKUP(A910,'Subbu- Mini Project EXcel Clean'!A910:A1909,'Subbu- Mini Project EXcel Clean'!G910:G1909," ",0)</f>
        <v>65.45</v>
      </c>
      <c r="G910" t="str">
        <f>_xlfn.XLOOKUP(A910,'Subbu- Mini Project EXcel Clean'!A910:A1909,'Subbu- Mini Project EXcel Clean'!H910:H1909," ",0)</f>
        <v>Pass</v>
      </c>
      <c r="H910" t="str">
        <f>VLOOKUP(A910,'Subbu- Mini Project EXcel Clean'!A909:R1909,18,)</f>
        <v>Bachelor</v>
      </c>
    </row>
    <row r="911" spans="1:8" x14ac:dyDescent="0.25">
      <c r="A911" t="s">
        <v>939</v>
      </c>
      <c r="B911">
        <f>VLOOKUP(A911,'Subbu- Mini Project EXcel Clean'!A910:R1910,2,FALSE)</f>
        <v>59.6</v>
      </c>
      <c r="C911">
        <f>VLOOKUP(A911,'Subbu- Mini Project EXcel Clean'!A910:R1910,3,FALSE)</f>
        <v>63.9</v>
      </c>
      <c r="D911">
        <f>_xlfn.XLOOKUP(A911,'Subbu- Mini Project EXcel Clean'!A911:A1910,'Subbu- Mini Project EXcel Clean'!D911:D1910,"Entry Level",0)</f>
        <v>60.1</v>
      </c>
      <c r="E911">
        <f>_xlfn.XLOOKUP(A911,'Subbu- Mini Project EXcel Clean'!A911:A1910,'Subbu- Mini Project EXcel Clean'!F911:F1910,"Entry Level",0)</f>
        <v>56.2</v>
      </c>
      <c r="F911">
        <f>_xlfn.XLOOKUP(A911,'Subbu- Mini Project EXcel Clean'!A911:A1910,'Subbu- Mini Project EXcel Clean'!G911:G1910," ",0)</f>
        <v>58.55</v>
      </c>
      <c r="G911" t="str">
        <f>_xlfn.XLOOKUP(A911,'Subbu- Mini Project EXcel Clean'!A911:A1910,'Subbu- Mini Project EXcel Clean'!H911:H1910," ",0)</f>
        <v>Pass</v>
      </c>
      <c r="H911" t="str">
        <f>VLOOKUP(A911,'Subbu- Mini Project EXcel Clean'!A910:R1910,18,)</f>
        <v>High School</v>
      </c>
    </row>
    <row r="912" spans="1:8" x14ac:dyDescent="0.25">
      <c r="A912" t="s">
        <v>940</v>
      </c>
      <c r="B912">
        <f>VLOOKUP(A912,'Subbu- Mini Project EXcel Clean'!A911:R1911,2,FALSE)</f>
        <v>75.400000000000006</v>
      </c>
      <c r="C912">
        <f>VLOOKUP(A912,'Subbu- Mini Project EXcel Clean'!A911:R1911,3,FALSE)</f>
        <v>67.400000000000006</v>
      </c>
      <c r="D912">
        <f>_xlfn.XLOOKUP(A912,'Subbu- Mini Project EXcel Clean'!A912:A1911,'Subbu- Mini Project EXcel Clean'!D912:D1911,"Entry Level",0)</f>
        <v>75.099999999999994</v>
      </c>
      <c r="E912">
        <f>_xlfn.XLOOKUP(A912,'Subbu- Mini Project EXcel Clean'!A912:A1911,'Subbu- Mini Project EXcel Clean'!F912:F1911,"Entry Level",0)</f>
        <v>65.2</v>
      </c>
      <c r="F912">
        <f>_xlfn.XLOOKUP(A912,'Subbu- Mini Project EXcel Clean'!A912:A1911,'Subbu- Mini Project EXcel Clean'!G912:G1911," ",0)</f>
        <v>68.849999999999994</v>
      </c>
      <c r="G912" t="str">
        <f>_xlfn.XLOOKUP(A912,'Subbu- Mini Project EXcel Clean'!A912:A1911,'Subbu- Mini Project EXcel Clean'!H912:H1911," ",0)</f>
        <v>Pass</v>
      </c>
      <c r="H912" t="str">
        <f>VLOOKUP(A912,'Subbu- Mini Project EXcel Clean'!A911:R1911,18,)</f>
        <v>Master</v>
      </c>
    </row>
    <row r="913" spans="1:8" x14ac:dyDescent="0.25">
      <c r="A913" t="s">
        <v>941</v>
      </c>
      <c r="B913">
        <f>VLOOKUP(A913,'Subbu- Mini Project EXcel Clean'!A912:R1912,2,FALSE)</f>
        <v>52.4</v>
      </c>
      <c r="C913">
        <f>VLOOKUP(A913,'Subbu- Mini Project EXcel Clean'!A912:R1912,3,FALSE)</f>
        <v>53.5</v>
      </c>
      <c r="D913">
        <f>_xlfn.XLOOKUP(A913,'Subbu- Mini Project EXcel Clean'!A913:A1912,'Subbu- Mini Project EXcel Clean'!D913:D1912,"Entry Level",0)</f>
        <v>58.9</v>
      </c>
      <c r="E913">
        <f>_xlfn.XLOOKUP(A913,'Subbu- Mini Project EXcel Clean'!A913:A1912,'Subbu- Mini Project EXcel Clean'!F913:F1912,"Entry Level",0)</f>
        <v>53.8</v>
      </c>
      <c r="F913">
        <f>_xlfn.XLOOKUP(A913,'Subbu- Mini Project EXcel Clean'!A913:A1912,'Subbu- Mini Project EXcel Clean'!G913:G1912," ",0)</f>
        <v>54.25</v>
      </c>
      <c r="G913" t="str">
        <f>_xlfn.XLOOKUP(A913,'Subbu- Mini Project EXcel Clean'!A913:A1912,'Subbu- Mini Project EXcel Clean'!H913:H1912," ",0)</f>
        <v>Pass</v>
      </c>
      <c r="H913" t="str">
        <f>VLOOKUP(A913,'Subbu- Mini Project EXcel Clean'!A912:R1912,18,)</f>
        <v>Master</v>
      </c>
    </row>
    <row r="914" spans="1:8" x14ac:dyDescent="0.25">
      <c r="A914" t="s">
        <v>942</v>
      </c>
      <c r="B914">
        <f>VLOOKUP(A914,'Subbu- Mini Project EXcel Clean'!A913:R1913,2,FALSE)</f>
        <v>78.7</v>
      </c>
      <c r="C914">
        <f>VLOOKUP(A914,'Subbu- Mini Project EXcel Clean'!A913:R1913,3,FALSE)</f>
        <v>74.099999999999994</v>
      </c>
      <c r="D914">
        <f>_xlfn.XLOOKUP(A914,'Subbu- Mini Project EXcel Clean'!A914:A1913,'Subbu- Mini Project EXcel Clean'!D914:D1913,"Entry Level",0)</f>
        <v>80.400000000000006</v>
      </c>
      <c r="E914">
        <f>_xlfn.XLOOKUP(A914,'Subbu- Mini Project EXcel Clean'!A914:A1913,'Subbu- Mini Project EXcel Clean'!F914:F1913,"Entry Level",0)</f>
        <v>58.5</v>
      </c>
      <c r="F914">
        <f>_xlfn.XLOOKUP(A914,'Subbu- Mini Project EXcel Clean'!A914:A1913,'Subbu- Mini Project EXcel Clean'!G914:G1913," ",0)</f>
        <v>66.400000000000006</v>
      </c>
      <c r="G914" t="str">
        <f>_xlfn.XLOOKUP(A914,'Subbu- Mini Project EXcel Clean'!A914:A1913,'Subbu- Mini Project EXcel Clean'!H914:H1913," ",0)</f>
        <v>Pass</v>
      </c>
      <c r="H914" t="str">
        <f>VLOOKUP(A914,'Subbu- Mini Project EXcel Clean'!A913:R1913,18,)</f>
        <v>Bachelor</v>
      </c>
    </row>
    <row r="915" spans="1:8" x14ac:dyDescent="0.25">
      <c r="A915" t="s">
        <v>943</v>
      </c>
      <c r="B915">
        <f>VLOOKUP(A915,'Subbu- Mini Project EXcel Clean'!A914:R1914,2,FALSE)</f>
        <v>55.8</v>
      </c>
      <c r="C915">
        <f>VLOOKUP(A915,'Subbu- Mini Project EXcel Clean'!A914:R1914,3,FALSE)</f>
        <v>61.8</v>
      </c>
      <c r="D915">
        <f>_xlfn.XLOOKUP(A915,'Subbu- Mini Project EXcel Clean'!A915:A1914,'Subbu- Mini Project EXcel Clean'!D915:D1914,"Entry Level",0)</f>
        <v>67.8</v>
      </c>
      <c r="E915">
        <f>_xlfn.XLOOKUP(A915,'Subbu- Mini Project EXcel Clean'!A915:A1914,'Subbu- Mini Project EXcel Clean'!F915:F1914,"Entry Level",0)</f>
        <v>51.1</v>
      </c>
      <c r="F915">
        <f>_xlfn.XLOOKUP(A915,'Subbu- Mini Project EXcel Clean'!A915:A1914,'Subbu- Mini Project EXcel Clean'!G915:G1914," ",0)</f>
        <v>56.8</v>
      </c>
      <c r="G915" t="str">
        <f>_xlfn.XLOOKUP(A915,'Subbu- Mini Project EXcel Clean'!A915:A1914,'Subbu- Mini Project EXcel Clean'!H915:H1914," ",0)</f>
        <v>Pass</v>
      </c>
      <c r="H915" t="str">
        <f>VLOOKUP(A915,'Subbu- Mini Project EXcel Clean'!A914:R1914,18,)</f>
        <v>Bachelor</v>
      </c>
    </row>
    <row r="916" spans="1:8" x14ac:dyDescent="0.25">
      <c r="A916" t="s">
        <v>944</v>
      </c>
      <c r="B916">
        <f>VLOOKUP(A916,'Subbu- Mini Project EXcel Clean'!A915:R1915,2,FALSE)</f>
        <v>71</v>
      </c>
      <c r="C916">
        <f>VLOOKUP(A916,'Subbu- Mini Project EXcel Clean'!A915:R1915,3,FALSE)</f>
        <v>72</v>
      </c>
      <c r="D916">
        <f>_xlfn.XLOOKUP(A916,'Subbu- Mini Project EXcel Clean'!A916:A1915,'Subbu- Mini Project EXcel Clean'!D916:D1915,"Entry Level",0)</f>
        <v>74.7</v>
      </c>
      <c r="E916">
        <f>_xlfn.XLOOKUP(A916,'Subbu- Mini Project EXcel Clean'!A916:A1915,'Subbu- Mini Project EXcel Clean'!F916:F1915,"Entry Level",0)</f>
        <v>86.1</v>
      </c>
      <c r="F916">
        <f>_xlfn.XLOOKUP(A916,'Subbu- Mini Project EXcel Clean'!A916:A1915,'Subbu- Mini Project EXcel Clean'!G916:G1915," ",0)</f>
        <v>78.25</v>
      </c>
      <c r="G916" t="str">
        <f>_xlfn.XLOOKUP(A916,'Subbu- Mini Project EXcel Clean'!A916:A1915,'Subbu- Mini Project EXcel Clean'!H916:H1915," ",0)</f>
        <v>Pass</v>
      </c>
      <c r="H916" t="str">
        <f>VLOOKUP(A916,'Subbu- Mini Project EXcel Clean'!A915:R1915,18,)</f>
        <v>Bachelor</v>
      </c>
    </row>
    <row r="917" spans="1:8" x14ac:dyDescent="0.25">
      <c r="A917" t="s">
        <v>945</v>
      </c>
      <c r="B917">
        <f>VLOOKUP(A917,'Subbu- Mini Project EXcel Clean'!A916:R1916,2,FALSE)</f>
        <v>73.7</v>
      </c>
      <c r="C917">
        <f>VLOOKUP(A917,'Subbu- Mini Project EXcel Clean'!A916:R1916,3,FALSE)</f>
        <v>71.099999999999994</v>
      </c>
      <c r="D917">
        <f>_xlfn.XLOOKUP(A917,'Subbu- Mini Project EXcel Clean'!A917:A1916,'Subbu- Mini Project EXcel Clean'!D917:D1916,"Entry Level",0)</f>
        <v>62.4</v>
      </c>
      <c r="E917">
        <f>_xlfn.XLOOKUP(A917,'Subbu- Mini Project EXcel Clean'!A917:A1916,'Subbu- Mini Project EXcel Clean'!F917:F1916,"Entry Level",0)</f>
        <v>66.099999999999994</v>
      </c>
      <c r="F917">
        <f>_xlfn.XLOOKUP(A917,'Subbu- Mini Project EXcel Clean'!A917:A1916,'Subbu- Mini Project EXcel Clean'!G917:G1916," ",0)</f>
        <v>65.05</v>
      </c>
      <c r="G917" t="str">
        <f>_xlfn.XLOOKUP(A917,'Subbu- Mini Project EXcel Clean'!A917:A1916,'Subbu- Mini Project EXcel Clean'!H917:H1916," ",0)</f>
        <v>Pass</v>
      </c>
      <c r="H917" t="str">
        <f>VLOOKUP(A917,'Subbu- Mini Project EXcel Clean'!A916:R1916,18,)</f>
        <v>Master</v>
      </c>
    </row>
    <row r="918" spans="1:8" x14ac:dyDescent="0.25">
      <c r="A918" t="s">
        <v>946</v>
      </c>
      <c r="B918">
        <f>VLOOKUP(A918,'Subbu- Mini Project EXcel Clean'!A917:R1917,2,FALSE)</f>
        <v>51.2</v>
      </c>
      <c r="C918">
        <f>VLOOKUP(A918,'Subbu- Mini Project EXcel Clean'!A917:R1917,3,FALSE)</f>
        <v>61.6</v>
      </c>
      <c r="D918">
        <f>_xlfn.XLOOKUP(A918,'Subbu- Mini Project EXcel Clean'!A918:A1917,'Subbu- Mini Project EXcel Clean'!D918:D1917,"Entry Level",0)</f>
        <v>53.3</v>
      </c>
      <c r="E918">
        <f>_xlfn.XLOOKUP(A918,'Subbu- Mini Project EXcel Clean'!A918:A1917,'Subbu- Mini Project EXcel Clean'!F918:F1917,"Entry Level",0)</f>
        <v>59.5</v>
      </c>
      <c r="F918">
        <f>_xlfn.XLOOKUP(A918,'Subbu- Mini Project EXcel Clean'!A918:A1917,'Subbu- Mini Project EXcel Clean'!G918:G1917," ",0)</f>
        <v>57.85</v>
      </c>
      <c r="G918" t="str">
        <f>_xlfn.XLOOKUP(A918,'Subbu- Mini Project EXcel Clean'!A918:A1917,'Subbu- Mini Project EXcel Clean'!H918:H1917," ",0)</f>
        <v>Pass</v>
      </c>
      <c r="H918" t="str">
        <f>VLOOKUP(A918,'Subbu- Mini Project EXcel Clean'!A917:R1917,18,)</f>
        <v>Bachelor</v>
      </c>
    </row>
    <row r="919" spans="1:8" x14ac:dyDescent="0.25">
      <c r="A919" t="s">
        <v>947</v>
      </c>
      <c r="B919">
        <f>VLOOKUP(A919,'Subbu- Mini Project EXcel Clean'!A918:R1918,2,FALSE)</f>
        <v>88.8</v>
      </c>
      <c r="C919">
        <f>VLOOKUP(A919,'Subbu- Mini Project EXcel Clean'!A918:R1918,3,FALSE)</f>
        <v>85.6</v>
      </c>
      <c r="D919">
        <f>_xlfn.XLOOKUP(A919,'Subbu- Mini Project EXcel Clean'!A919:A1918,'Subbu- Mini Project EXcel Clean'!D919:D1918,"Entry Level",0)</f>
        <v>93.8</v>
      </c>
      <c r="E919">
        <f>_xlfn.XLOOKUP(A919,'Subbu- Mini Project EXcel Clean'!A919:A1918,'Subbu- Mini Project EXcel Clean'!F919:F1918,"Entry Level",0)</f>
        <v>92.1</v>
      </c>
      <c r="F919">
        <f>_xlfn.XLOOKUP(A919,'Subbu- Mini Project EXcel Clean'!A919:A1918,'Subbu- Mini Project EXcel Clean'!G919:G1918," ",0)</f>
        <v>92.15</v>
      </c>
      <c r="G919" t="str">
        <f>_xlfn.XLOOKUP(A919,'Subbu- Mini Project EXcel Clean'!A919:A1918,'Subbu- Mini Project EXcel Clean'!H919:H1918," ",0)</f>
        <v>Pass</v>
      </c>
      <c r="H919" t="str">
        <f>VLOOKUP(A919,'Subbu- Mini Project EXcel Clean'!A918:R1918,18,)</f>
        <v>High School</v>
      </c>
    </row>
    <row r="920" spans="1:8" x14ac:dyDescent="0.25">
      <c r="A920" t="s">
        <v>948</v>
      </c>
      <c r="B920">
        <f>VLOOKUP(A920,'Subbu- Mini Project EXcel Clean'!A919:R1919,2,FALSE)</f>
        <v>84.6</v>
      </c>
      <c r="C920">
        <f>VLOOKUP(A920,'Subbu- Mini Project EXcel Clean'!A919:R1919,3,FALSE)</f>
        <v>85.1</v>
      </c>
      <c r="D920">
        <f>_xlfn.XLOOKUP(A920,'Subbu- Mini Project EXcel Clean'!A920:A1919,'Subbu- Mini Project EXcel Clean'!D920:D1919,"Entry Level",0)</f>
        <v>86.7</v>
      </c>
      <c r="E920">
        <f>_xlfn.XLOOKUP(A920,'Subbu- Mini Project EXcel Clean'!A920:A1919,'Subbu- Mini Project EXcel Clean'!F920:F1919,"Entry Level",0)</f>
        <v>83.8</v>
      </c>
      <c r="F920">
        <f>_xlfn.XLOOKUP(A920,'Subbu- Mini Project EXcel Clean'!A920:A1919,'Subbu- Mini Project EXcel Clean'!G920:G1919," ",0)</f>
        <v>82.9</v>
      </c>
      <c r="G920" t="str">
        <f>_xlfn.XLOOKUP(A920,'Subbu- Mini Project EXcel Clean'!A920:A1919,'Subbu- Mini Project EXcel Clean'!H920:H1919," ",0)</f>
        <v>Pass</v>
      </c>
      <c r="H920" t="str">
        <f>VLOOKUP(A920,'Subbu- Mini Project EXcel Clean'!A919:R1919,18,)</f>
        <v>Bachelor</v>
      </c>
    </row>
    <row r="921" spans="1:8" x14ac:dyDescent="0.25">
      <c r="A921" t="s">
        <v>949</v>
      </c>
      <c r="B921">
        <f>VLOOKUP(A921,'Subbu- Mini Project EXcel Clean'!A920:R1920,2,FALSE)</f>
        <v>48.6</v>
      </c>
      <c r="C921">
        <f>VLOOKUP(A921,'Subbu- Mini Project EXcel Clean'!A920:R1920,3,FALSE)</f>
        <v>54.4</v>
      </c>
      <c r="D921">
        <f>_xlfn.XLOOKUP(A921,'Subbu- Mini Project EXcel Clean'!A921:A1920,'Subbu- Mini Project EXcel Clean'!D921:D1920,"Entry Level",0)</f>
        <v>46.6</v>
      </c>
      <c r="E921">
        <f>_xlfn.XLOOKUP(A921,'Subbu- Mini Project EXcel Clean'!A921:A1920,'Subbu- Mini Project EXcel Clean'!F921:F1920,"Entry Level",0)</f>
        <v>62.1</v>
      </c>
      <c r="F921">
        <f>_xlfn.XLOOKUP(A921,'Subbu- Mini Project EXcel Clean'!A921:A1920,'Subbu- Mini Project EXcel Clean'!G921:G1920," ",0)</f>
        <v>54.9</v>
      </c>
      <c r="G921" t="str">
        <f>_xlfn.XLOOKUP(A921,'Subbu- Mini Project EXcel Clean'!A921:A1920,'Subbu- Mini Project EXcel Clean'!H921:H1920," ",0)</f>
        <v>Pass</v>
      </c>
      <c r="H921" t="str">
        <f>VLOOKUP(A921,'Subbu- Mini Project EXcel Clean'!A920:R1920,18,)</f>
        <v>Bachelor</v>
      </c>
    </row>
    <row r="922" spans="1:8" x14ac:dyDescent="0.25">
      <c r="A922" t="s">
        <v>950</v>
      </c>
      <c r="B922">
        <f>VLOOKUP(A922,'Subbu- Mini Project EXcel Clean'!A921:R1921,2,FALSE)</f>
        <v>89.5</v>
      </c>
      <c r="C922">
        <f>VLOOKUP(A922,'Subbu- Mini Project EXcel Clean'!A921:R1921,3,FALSE)</f>
        <v>89.7</v>
      </c>
      <c r="D922">
        <f>_xlfn.XLOOKUP(A922,'Subbu- Mini Project EXcel Clean'!A922:A1921,'Subbu- Mini Project EXcel Clean'!D922:D1921,"Entry Level",0)</f>
        <v>93.1</v>
      </c>
      <c r="E922">
        <f>_xlfn.XLOOKUP(A922,'Subbu- Mini Project EXcel Clean'!A922:A1921,'Subbu- Mini Project EXcel Clean'!F922:F1921,"Entry Level",0)</f>
        <v>74.2</v>
      </c>
      <c r="F922">
        <f>_xlfn.XLOOKUP(A922,'Subbu- Mini Project EXcel Clean'!A922:A1921,'Subbu- Mini Project EXcel Clean'!G922:G1921," ",0)</f>
        <v>81</v>
      </c>
      <c r="G922" t="str">
        <f>_xlfn.XLOOKUP(A922,'Subbu- Mini Project EXcel Clean'!A922:A1921,'Subbu- Mini Project EXcel Clean'!H922:H1921," ",0)</f>
        <v>Pass</v>
      </c>
      <c r="H922" t="str">
        <f>VLOOKUP(A922,'Subbu- Mini Project EXcel Clean'!A921:R1921,18,)</f>
        <v>Master</v>
      </c>
    </row>
    <row r="923" spans="1:8" x14ac:dyDescent="0.25">
      <c r="A923" t="s">
        <v>951</v>
      </c>
      <c r="B923">
        <f>VLOOKUP(A923,'Subbu- Mini Project EXcel Clean'!A922:R1922,2,FALSE)</f>
        <v>69.3</v>
      </c>
      <c r="C923">
        <f>VLOOKUP(A923,'Subbu- Mini Project EXcel Clean'!A922:R1922,3,FALSE)</f>
        <v>72.3</v>
      </c>
      <c r="D923">
        <f>_xlfn.XLOOKUP(A923,'Subbu- Mini Project EXcel Clean'!A923:A1922,'Subbu- Mini Project EXcel Clean'!D923:D1922,"Entry Level",0)</f>
        <v>74.099999999999994</v>
      </c>
      <c r="E923">
        <f>_xlfn.XLOOKUP(A923,'Subbu- Mini Project EXcel Clean'!A923:A1922,'Subbu- Mini Project EXcel Clean'!F923:F1922,"Entry Level",0)</f>
        <v>85.7</v>
      </c>
      <c r="F923">
        <f>_xlfn.XLOOKUP(A923,'Subbu- Mini Project EXcel Clean'!A923:A1922,'Subbu- Mini Project EXcel Clean'!G923:G1922," ",0)</f>
        <v>76.25</v>
      </c>
      <c r="G923" t="str">
        <f>_xlfn.XLOOKUP(A923,'Subbu- Mini Project EXcel Clean'!A923:A1922,'Subbu- Mini Project EXcel Clean'!H923:H1922," ",0)</f>
        <v>Pass</v>
      </c>
      <c r="H923" t="str">
        <f>VLOOKUP(A923,'Subbu- Mini Project EXcel Clean'!A922:R1922,18,)</f>
        <v>High School</v>
      </c>
    </row>
    <row r="924" spans="1:8" x14ac:dyDescent="0.25">
      <c r="A924" t="s">
        <v>952</v>
      </c>
      <c r="B924">
        <f>VLOOKUP(A924,'Subbu- Mini Project EXcel Clean'!A923:R1923,2,FALSE)</f>
        <v>92.4</v>
      </c>
      <c r="C924">
        <f>VLOOKUP(A924,'Subbu- Mini Project EXcel Clean'!A923:R1923,3,FALSE)</f>
        <v>99.3</v>
      </c>
      <c r="D924">
        <f>_xlfn.XLOOKUP(A924,'Subbu- Mini Project EXcel Clean'!A924:A1923,'Subbu- Mini Project EXcel Clean'!D924:D1923,"Entry Level",0)</f>
        <v>84.6</v>
      </c>
      <c r="E924">
        <f>_xlfn.XLOOKUP(A924,'Subbu- Mini Project EXcel Clean'!A924:A1923,'Subbu- Mini Project EXcel Clean'!F924:F1923,"Entry Level",0)</f>
        <v>90.3</v>
      </c>
      <c r="F924">
        <f>_xlfn.XLOOKUP(A924,'Subbu- Mini Project EXcel Clean'!A924:A1923,'Subbu- Mini Project EXcel Clean'!G924:G1923," ",0)</f>
        <v>89.75</v>
      </c>
      <c r="G924" t="str">
        <f>_xlfn.XLOOKUP(A924,'Subbu- Mini Project EXcel Clean'!A924:A1923,'Subbu- Mini Project EXcel Clean'!H924:H1923," ",0)</f>
        <v>Pass</v>
      </c>
      <c r="H924" t="str">
        <f>VLOOKUP(A924,'Subbu- Mini Project EXcel Clean'!A923:R1923,18,)</f>
        <v>Master</v>
      </c>
    </row>
    <row r="925" spans="1:8" x14ac:dyDescent="0.25">
      <c r="A925" t="s">
        <v>953</v>
      </c>
      <c r="B925">
        <f>VLOOKUP(A925,'Subbu- Mini Project EXcel Clean'!A924:R1924,2,FALSE)</f>
        <v>89.5</v>
      </c>
      <c r="C925">
        <f>VLOOKUP(A925,'Subbu- Mini Project EXcel Clean'!A924:R1924,3,FALSE)</f>
        <v>89.1</v>
      </c>
      <c r="D925">
        <f>_xlfn.XLOOKUP(A925,'Subbu- Mini Project EXcel Clean'!A925:A1924,'Subbu- Mini Project EXcel Clean'!D925:D1924,"Entry Level",0)</f>
        <v>79.8</v>
      </c>
      <c r="E925">
        <f>_xlfn.XLOOKUP(A925,'Subbu- Mini Project EXcel Clean'!A925:A1924,'Subbu- Mini Project EXcel Clean'!F925:F1924,"Entry Level",0)</f>
        <v>87.6</v>
      </c>
      <c r="F925">
        <f>_xlfn.XLOOKUP(A925,'Subbu- Mini Project EXcel Clean'!A925:A1924,'Subbu- Mini Project EXcel Clean'!G925:G1924," ",0)</f>
        <v>85.8</v>
      </c>
      <c r="G925" t="str">
        <f>_xlfn.XLOOKUP(A925,'Subbu- Mini Project EXcel Clean'!A925:A1924,'Subbu- Mini Project EXcel Clean'!H925:H1924," ",0)</f>
        <v>Pass</v>
      </c>
      <c r="H925" t="str">
        <f>VLOOKUP(A925,'Subbu- Mini Project EXcel Clean'!A924:R1924,18,)</f>
        <v>High School</v>
      </c>
    </row>
    <row r="926" spans="1:8" x14ac:dyDescent="0.25">
      <c r="A926" t="s">
        <v>954</v>
      </c>
      <c r="B926">
        <f>VLOOKUP(A926,'Subbu- Mini Project EXcel Clean'!A925:R1925,2,FALSE)</f>
        <v>65.400000000000006</v>
      </c>
      <c r="C926">
        <f>VLOOKUP(A926,'Subbu- Mini Project EXcel Clean'!A925:R1925,3,FALSE)</f>
        <v>64.599999999999994</v>
      </c>
      <c r="D926">
        <f>_xlfn.XLOOKUP(A926,'Subbu- Mini Project EXcel Clean'!A926:A1925,'Subbu- Mini Project EXcel Clean'!D926:D1925,"Entry Level",0)</f>
        <v>62.7</v>
      </c>
      <c r="E926">
        <f>_xlfn.XLOOKUP(A926,'Subbu- Mini Project EXcel Clean'!A926:A1925,'Subbu- Mini Project EXcel Clean'!F926:F1925,"Entry Level",0)</f>
        <v>67</v>
      </c>
      <c r="F926">
        <f>_xlfn.XLOOKUP(A926,'Subbu- Mini Project EXcel Clean'!A926:A1925,'Subbu- Mini Project EXcel Clean'!G926:G1925," ",0)</f>
        <v>65.2</v>
      </c>
      <c r="G926" t="str">
        <f>_xlfn.XLOOKUP(A926,'Subbu- Mini Project EXcel Clean'!A926:A1925,'Subbu- Mini Project EXcel Clean'!H926:H1925," ",0)</f>
        <v>Pass</v>
      </c>
      <c r="H926" t="str">
        <f>VLOOKUP(A926,'Subbu- Mini Project EXcel Clean'!A925:R1925,18,)</f>
        <v>High School</v>
      </c>
    </row>
    <row r="927" spans="1:8" x14ac:dyDescent="0.25">
      <c r="A927" t="s">
        <v>955</v>
      </c>
      <c r="B927">
        <f>VLOOKUP(A927,'Subbu- Mini Project EXcel Clean'!A926:R1926,2,FALSE)</f>
        <v>40</v>
      </c>
      <c r="C927">
        <f>VLOOKUP(A927,'Subbu- Mini Project EXcel Clean'!A926:R1926,3,FALSE)</f>
        <v>46.5</v>
      </c>
      <c r="D927">
        <f>_xlfn.XLOOKUP(A927,'Subbu- Mini Project EXcel Clean'!A927:A1926,'Subbu- Mini Project EXcel Clean'!D927:D1926,"Entry Level",0)</f>
        <v>42.8</v>
      </c>
      <c r="E927">
        <f>_xlfn.XLOOKUP(A927,'Subbu- Mini Project EXcel Clean'!A927:A1926,'Subbu- Mini Project EXcel Clean'!F927:F1926,"Entry Level",0)</f>
        <v>47.8</v>
      </c>
      <c r="F927">
        <f>_xlfn.XLOOKUP(A927,'Subbu- Mini Project EXcel Clean'!A927:A1926,'Subbu- Mini Project EXcel Clean'!G927:G1926," ",0)</f>
        <v>44.5</v>
      </c>
      <c r="G927" t="str">
        <f>_xlfn.XLOOKUP(A927,'Subbu- Mini Project EXcel Clean'!A927:A1926,'Subbu- Mini Project EXcel Clean'!H927:H1926," ",0)</f>
        <v>Fail</v>
      </c>
      <c r="H927" t="str">
        <f>VLOOKUP(A927,'Subbu- Mini Project EXcel Clean'!A926:R1926,18,)</f>
        <v>Bachelor</v>
      </c>
    </row>
    <row r="928" spans="1:8" x14ac:dyDescent="0.25">
      <c r="A928" t="s">
        <v>956</v>
      </c>
      <c r="B928">
        <f>VLOOKUP(A928,'Subbu- Mini Project EXcel Clean'!A927:R1927,2,FALSE)</f>
        <v>58.1</v>
      </c>
      <c r="C928">
        <f>VLOOKUP(A928,'Subbu- Mini Project EXcel Clean'!A927:R1927,3,FALSE)</f>
        <v>55.5</v>
      </c>
      <c r="D928">
        <f>_xlfn.XLOOKUP(A928,'Subbu- Mini Project EXcel Clean'!A928:A1927,'Subbu- Mini Project EXcel Clean'!D928:D1927,"Entry Level",0)</f>
        <v>52.2</v>
      </c>
      <c r="E928">
        <f>_xlfn.XLOOKUP(A928,'Subbu- Mini Project EXcel Clean'!A928:A1927,'Subbu- Mini Project EXcel Clean'!F928:F1927,"Entry Level",0)</f>
        <v>59.1</v>
      </c>
      <c r="F928">
        <f>_xlfn.XLOOKUP(A928,'Subbu- Mini Project EXcel Clean'!A928:A1927,'Subbu- Mini Project EXcel Clean'!G928:G1927," ",0)</f>
        <v>56.95</v>
      </c>
      <c r="G928" t="str">
        <f>_xlfn.XLOOKUP(A928,'Subbu- Mini Project EXcel Clean'!A928:A1927,'Subbu- Mini Project EXcel Clean'!H928:H1927," ",0)</f>
        <v>Pass</v>
      </c>
      <c r="H928" t="str">
        <f>VLOOKUP(A928,'Subbu- Mini Project EXcel Clean'!A927:R1927,18,)</f>
        <v>Bachelor</v>
      </c>
    </row>
    <row r="929" spans="1:8" x14ac:dyDescent="0.25">
      <c r="A929" t="s">
        <v>957</v>
      </c>
      <c r="B929">
        <f>VLOOKUP(A929,'Subbu- Mini Project EXcel Clean'!A928:R1928,2,FALSE)</f>
        <v>79.3</v>
      </c>
      <c r="C929">
        <f>VLOOKUP(A929,'Subbu- Mini Project EXcel Clean'!A928:R1928,3,FALSE)</f>
        <v>69.900000000000006</v>
      </c>
      <c r="D929">
        <f>_xlfn.XLOOKUP(A929,'Subbu- Mini Project EXcel Clean'!A929:A1928,'Subbu- Mini Project EXcel Clean'!D929:D1928,"Entry Level",0)</f>
        <v>76.599999999999994</v>
      </c>
      <c r="E929">
        <f>_xlfn.XLOOKUP(A929,'Subbu- Mini Project EXcel Clean'!A929:A1928,'Subbu- Mini Project EXcel Clean'!F929:F1928,"Entry Level",0)</f>
        <v>80.5</v>
      </c>
      <c r="F929">
        <f>_xlfn.XLOOKUP(A929,'Subbu- Mini Project EXcel Clean'!A929:A1928,'Subbu- Mini Project EXcel Clean'!G929:G1928," ",0)</f>
        <v>75.150000000000006</v>
      </c>
      <c r="G929" t="str">
        <f>_xlfn.XLOOKUP(A929,'Subbu- Mini Project EXcel Clean'!A929:A1928,'Subbu- Mini Project EXcel Clean'!H929:H1928," ",0)</f>
        <v>Pass</v>
      </c>
      <c r="H929" t="str">
        <f>VLOOKUP(A929,'Subbu- Mini Project EXcel Clean'!A928:R1928,18,)</f>
        <v>Master</v>
      </c>
    </row>
    <row r="930" spans="1:8" x14ac:dyDescent="0.25">
      <c r="A930" t="s">
        <v>958</v>
      </c>
      <c r="B930">
        <f>VLOOKUP(A930,'Subbu- Mini Project EXcel Clean'!A929:R1929,2,FALSE)</f>
        <v>74.2</v>
      </c>
      <c r="C930">
        <f>VLOOKUP(A930,'Subbu- Mini Project EXcel Clean'!A929:R1929,3,FALSE)</f>
        <v>73.099999999999994</v>
      </c>
      <c r="D930">
        <f>_xlfn.XLOOKUP(A930,'Subbu- Mini Project EXcel Clean'!A930:A1929,'Subbu- Mini Project EXcel Clean'!D930:D1929,"Entry Level",0)</f>
        <v>77</v>
      </c>
      <c r="E930">
        <f>_xlfn.XLOOKUP(A930,'Subbu- Mini Project EXcel Clean'!A930:A1929,'Subbu- Mini Project EXcel Clean'!F930:F1929,"Entry Level",0)</f>
        <v>78.3</v>
      </c>
      <c r="F930">
        <f>_xlfn.XLOOKUP(A930,'Subbu- Mini Project EXcel Clean'!A930:A1929,'Subbu- Mini Project EXcel Clean'!G930:G1929," ",0)</f>
        <v>76.55</v>
      </c>
      <c r="G930" t="str">
        <f>_xlfn.XLOOKUP(A930,'Subbu- Mini Project EXcel Clean'!A930:A1929,'Subbu- Mini Project EXcel Clean'!H930:H1929," ",0)</f>
        <v>Pass</v>
      </c>
      <c r="H930" t="str">
        <f>VLOOKUP(A930,'Subbu- Mini Project EXcel Clean'!A929:R1929,18,)</f>
        <v>Master</v>
      </c>
    </row>
    <row r="931" spans="1:8" x14ac:dyDescent="0.25">
      <c r="A931" t="s">
        <v>959</v>
      </c>
      <c r="B931">
        <f>VLOOKUP(A931,'Subbu- Mini Project EXcel Clean'!A930:R1930,2,FALSE)</f>
        <v>49.3</v>
      </c>
      <c r="C931">
        <f>VLOOKUP(A931,'Subbu- Mini Project EXcel Clean'!A930:R1930,3,FALSE)</f>
        <v>62</v>
      </c>
      <c r="D931">
        <f>_xlfn.XLOOKUP(A931,'Subbu- Mini Project EXcel Clean'!A931:A1930,'Subbu- Mini Project EXcel Clean'!D931:D1930,"Entry Level",0)</f>
        <v>54.4</v>
      </c>
      <c r="E931">
        <f>_xlfn.XLOOKUP(A931,'Subbu- Mini Project EXcel Clean'!A931:A1930,'Subbu- Mini Project EXcel Clean'!F931:F1930,"Entry Level",0)</f>
        <v>60</v>
      </c>
      <c r="F931">
        <f>_xlfn.XLOOKUP(A931,'Subbu- Mini Project EXcel Clean'!A931:A1930,'Subbu- Mini Project EXcel Clean'!G931:G1930," ",0)</f>
        <v>57.1</v>
      </c>
      <c r="G931" t="str">
        <f>_xlfn.XLOOKUP(A931,'Subbu- Mini Project EXcel Clean'!A931:A1930,'Subbu- Mini Project EXcel Clean'!H931:H1930," ",0)</f>
        <v>Pass</v>
      </c>
      <c r="H931" t="str">
        <f>VLOOKUP(A931,'Subbu- Mini Project EXcel Clean'!A930:R1930,18,)</f>
        <v>Master</v>
      </c>
    </row>
    <row r="932" spans="1:8" x14ac:dyDescent="0.25">
      <c r="A932" t="s">
        <v>960</v>
      </c>
      <c r="B932">
        <f>VLOOKUP(A932,'Subbu- Mini Project EXcel Clean'!A931:R1931,2,FALSE)</f>
        <v>53.2</v>
      </c>
      <c r="C932">
        <f>VLOOKUP(A932,'Subbu- Mini Project EXcel Clean'!A931:R1931,3,FALSE)</f>
        <v>43.6</v>
      </c>
      <c r="D932">
        <f>_xlfn.XLOOKUP(A932,'Subbu- Mini Project EXcel Clean'!A932:A1931,'Subbu- Mini Project EXcel Clean'!D932:D1931,"Entry Level",0)</f>
        <v>40.5</v>
      </c>
      <c r="E932">
        <f>_xlfn.XLOOKUP(A932,'Subbu- Mini Project EXcel Clean'!A932:A1931,'Subbu- Mini Project EXcel Clean'!F932:F1931,"Entry Level",0)</f>
        <v>50</v>
      </c>
      <c r="F932">
        <f>_xlfn.XLOOKUP(A932,'Subbu- Mini Project EXcel Clean'!A932:A1931,'Subbu- Mini Project EXcel Clean'!G932:G1931," ",0)</f>
        <v>48.85</v>
      </c>
      <c r="G932" t="str">
        <f>_xlfn.XLOOKUP(A932,'Subbu- Mini Project EXcel Clean'!A932:A1931,'Subbu- Mini Project EXcel Clean'!H932:H1931," ",0)</f>
        <v>Fail</v>
      </c>
      <c r="H932" t="str">
        <f>VLOOKUP(A932,'Subbu- Mini Project EXcel Clean'!A931:R1931,18,)</f>
        <v>High School</v>
      </c>
    </row>
    <row r="933" spans="1:8" x14ac:dyDescent="0.25">
      <c r="A933" t="s">
        <v>961</v>
      </c>
      <c r="B933">
        <f>VLOOKUP(A933,'Subbu- Mini Project EXcel Clean'!A932:R1932,2,FALSE)</f>
        <v>85.3</v>
      </c>
      <c r="C933">
        <f>VLOOKUP(A933,'Subbu- Mini Project EXcel Clean'!A932:R1932,3,FALSE)</f>
        <v>93.6</v>
      </c>
      <c r="D933">
        <f>_xlfn.XLOOKUP(A933,'Subbu- Mini Project EXcel Clean'!A933:A1932,'Subbu- Mini Project EXcel Clean'!D933:D1932,"Entry Level",0)</f>
        <v>79.3</v>
      </c>
      <c r="E933">
        <f>_xlfn.XLOOKUP(A933,'Subbu- Mini Project EXcel Clean'!A933:A1932,'Subbu- Mini Project EXcel Clean'!F933:F1932,"Entry Level",0)</f>
        <v>78</v>
      </c>
      <c r="F933">
        <f>_xlfn.XLOOKUP(A933,'Subbu- Mini Project EXcel Clean'!A933:A1932,'Subbu- Mini Project EXcel Clean'!G933:G1932," ",0)</f>
        <v>81.95</v>
      </c>
      <c r="G933" t="str">
        <f>_xlfn.XLOOKUP(A933,'Subbu- Mini Project EXcel Clean'!A933:A1932,'Subbu- Mini Project EXcel Clean'!H933:H1932," ",0)</f>
        <v>Pass</v>
      </c>
      <c r="H933" t="str">
        <f>VLOOKUP(A933,'Subbu- Mini Project EXcel Clean'!A932:R1932,18,)</f>
        <v>Master</v>
      </c>
    </row>
    <row r="934" spans="1:8" x14ac:dyDescent="0.25">
      <c r="A934" t="s">
        <v>962</v>
      </c>
      <c r="B934">
        <f>VLOOKUP(A934,'Subbu- Mini Project EXcel Clean'!A933:R1933,2,FALSE)</f>
        <v>83.3</v>
      </c>
      <c r="C934">
        <f>VLOOKUP(A934,'Subbu- Mini Project EXcel Clean'!A933:R1933,3,FALSE)</f>
        <v>96.6</v>
      </c>
      <c r="D934">
        <f>_xlfn.XLOOKUP(A934,'Subbu- Mini Project EXcel Clean'!A934:A1933,'Subbu- Mini Project EXcel Clean'!D934:D1933,"Entry Level",0)</f>
        <v>95.5</v>
      </c>
      <c r="E934">
        <f>_xlfn.XLOOKUP(A934,'Subbu- Mini Project EXcel Clean'!A934:A1933,'Subbu- Mini Project EXcel Clean'!F934:F1933,"Entry Level",0)</f>
        <v>100</v>
      </c>
      <c r="F934">
        <f>_xlfn.XLOOKUP(A934,'Subbu- Mini Project EXcel Clean'!A934:A1933,'Subbu- Mini Project EXcel Clean'!G934:G1933," ",0)</f>
        <v>97.05</v>
      </c>
      <c r="G934" t="str">
        <f>_xlfn.XLOOKUP(A934,'Subbu- Mini Project EXcel Clean'!A934:A1933,'Subbu- Mini Project EXcel Clean'!H934:H1933," ",0)</f>
        <v>Pass</v>
      </c>
      <c r="H934" t="str">
        <f>VLOOKUP(A934,'Subbu- Mini Project EXcel Clean'!A933:R1933,18,)</f>
        <v>High School</v>
      </c>
    </row>
    <row r="935" spans="1:8" x14ac:dyDescent="0.25">
      <c r="A935" t="s">
        <v>963</v>
      </c>
      <c r="B935">
        <f>VLOOKUP(A935,'Subbu- Mini Project EXcel Clean'!A934:R1934,2,FALSE)</f>
        <v>73.2</v>
      </c>
      <c r="C935">
        <f>VLOOKUP(A935,'Subbu- Mini Project EXcel Clean'!A934:R1934,3,FALSE)</f>
        <v>61.9</v>
      </c>
      <c r="D935">
        <f>_xlfn.XLOOKUP(A935,'Subbu- Mini Project EXcel Clean'!A935:A1934,'Subbu- Mini Project EXcel Clean'!D935:D1934,"Entry Level",0)</f>
        <v>58.2</v>
      </c>
      <c r="E935">
        <f>_xlfn.XLOOKUP(A935,'Subbu- Mini Project EXcel Clean'!A935:A1934,'Subbu- Mini Project EXcel Clean'!F935:F1934,"Entry Level",0)</f>
        <v>73.7</v>
      </c>
      <c r="F935">
        <f>_xlfn.XLOOKUP(A935,'Subbu- Mini Project EXcel Clean'!A935:A1934,'Subbu- Mini Project EXcel Clean'!G935:G1934," ",0)</f>
        <v>71.3</v>
      </c>
      <c r="G935" t="str">
        <f>_xlfn.XLOOKUP(A935,'Subbu- Mini Project EXcel Clean'!A935:A1934,'Subbu- Mini Project EXcel Clean'!H935:H1934," ",0)</f>
        <v>Pass</v>
      </c>
      <c r="H935" t="str">
        <f>VLOOKUP(A935,'Subbu- Mini Project EXcel Clean'!A934:R1934,18,)</f>
        <v>High School</v>
      </c>
    </row>
    <row r="936" spans="1:8" x14ac:dyDescent="0.25">
      <c r="A936" t="s">
        <v>964</v>
      </c>
      <c r="B936">
        <f>VLOOKUP(A936,'Subbu- Mini Project EXcel Clean'!A935:R1935,2,FALSE)</f>
        <v>46.8</v>
      </c>
      <c r="C936">
        <f>VLOOKUP(A936,'Subbu- Mini Project EXcel Clean'!A935:R1935,3,FALSE)</f>
        <v>51.3</v>
      </c>
      <c r="D936">
        <f>_xlfn.XLOOKUP(A936,'Subbu- Mini Project EXcel Clean'!A936:A1935,'Subbu- Mini Project EXcel Clean'!D936:D1935,"Entry Level",0)</f>
        <v>54.5</v>
      </c>
      <c r="E936">
        <f>_xlfn.XLOOKUP(A936,'Subbu- Mini Project EXcel Clean'!A936:A1935,'Subbu- Mini Project EXcel Clean'!F936:F1935,"Entry Level",0)</f>
        <v>60.7</v>
      </c>
      <c r="F936">
        <f>_xlfn.XLOOKUP(A936,'Subbu- Mini Project EXcel Clean'!A936:A1935,'Subbu- Mini Project EXcel Clean'!G936:G1935," ",0)</f>
        <v>55.05</v>
      </c>
      <c r="G936" t="str">
        <f>_xlfn.XLOOKUP(A936,'Subbu- Mini Project EXcel Clean'!A936:A1935,'Subbu- Mini Project EXcel Clean'!H936:H1935," ",0)</f>
        <v>Pass</v>
      </c>
      <c r="H936" t="str">
        <f>VLOOKUP(A936,'Subbu- Mini Project EXcel Clean'!A935:R1935,18,)</f>
        <v>High School</v>
      </c>
    </row>
    <row r="937" spans="1:8" x14ac:dyDescent="0.25">
      <c r="A937" t="s">
        <v>965</v>
      </c>
      <c r="B937">
        <f>VLOOKUP(A937,'Subbu- Mini Project EXcel Clean'!A936:R1936,2,FALSE)</f>
        <v>54.5</v>
      </c>
      <c r="C937">
        <f>VLOOKUP(A937,'Subbu- Mini Project EXcel Clean'!A936:R1936,3,FALSE)</f>
        <v>44.5</v>
      </c>
      <c r="D937">
        <f>_xlfn.XLOOKUP(A937,'Subbu- Mini Project EXcel Clean'!A937:A1936,'Subbu- Mini Project EXcel Clean'!D937:D1936,"Entry Level",0)</f>
        <v>54.2</v>
      </c>
      <c r="E937">
        <f>_xlfn.XLOOKUP(A937,'Subbu- Mini Project EXcel Clean'!A937:A1936,'Subbu- Mini Project EXcel Clean'!F937:F1936,"Entry Level",0)</f>
        <v>61.3</v>
      </c>
      <c r="F937">
        <f>_xlfn.XLOOKUP(A937,'Subbu- Mini Project EXcel Clean'!A937:A1936,'Subbu- Mini Project EXcel Clean'!G937:G1936," ",0)</f>
        <v>58.15</v>
      </c>
      <c r="G937" t="str">
        <f>_xlfn.XLOOKUP(A937,'Subbu- Mini Project EXcel Clean'!A937:A1936,'Subbu- Mini Project EXcel Clean'!H937:H1936," ",0)</f>
        <v>Pass</v>
      </c>
      <c r="H937" t="str">
        <f>VLOOKUP(A937,'Subbu- Mini Project EXcel Clean'!A936:R1936,18,)</f>
        <v>High School</v>
      </c>
    </row>
    <row r="938" spans="1:8" x14ac:dyDescent="0.25">
      <c r="A938" t="s">
        <v>966</v>
      </c>
      <c r="B938">
        <f>VLOOKUP(A938,'Subbu- Mini Project EXcel Clean'!A937:R1937,2,FALSE)</f>
        <v>42.7</v>
      </c>
      <c r="C938">
        <f>VLOOKUP(A938,'Subbu- Mini Project EXcel Clean'!A937:R1937,3,FALSE)</f>
        <v>44.1</v>
      </c>
      <c r="D938">
        <f>_xlfn.XLOOKUP(A938,'Subbu- Mini Project EXcel Clean'!A938:A1937,'Subbu- Mini Project EXcel Clean'!D938:D1937,"Entry Level",0)</f>
        <v>57.2</v>
      </c>
      <c r="E938">
        <f>_xlfn.XLOOKUP(A938,'Subbu- Mini Project EXcel Clean'!A938:A1937,'Subbu- Mini Project EXcel Clean'!F938:F1937,"Entry Level",0)</f>
        <v>45</v>
      </c>
      <c r="F938">
        <f>_xlfn.XLOOKUP(A938,'Subbu- Mini Project EXcel Clean'!A938:A1937,'Subbu- Mini Project EXcel Clean'!G938:G1937," ",0)</f>
        <v>43</v>
      </c>
      <c r="G938" t="str">
        <f>_xlfn.XLOOKUP(A938,'Subbu- Mini Project EXcel Clean'!A938:A1937,'Subbu- Mini Project EXcel Clean'!H938:H1937," ",0)</f>
        <v>Fail</v>
      </c>
      <c r="H938" t="str">
        <f>VLOOKUP(A938,'Subbu- Mini Project EXcel Clean'!A937:R1937,18,)</f>
        <v>High School</v>
      </c>
    </row>
    <row r="939" spans="1:8" x14ac:dyDescent="0.25">
      <c r="A939" t="s">
        <v>967</v>
      </c>
      <c r="B939">
        <f>VLOOKUP(A939,'Subbu- Mini Project EXcel Clean'!A938:R1938,2,FALSE)</f>
        <v>91.2</v>
      </c>
      <c r="C939">
        <f>VLOOKUP(A939,'Subbu- Mini Project EXcel Clean'!A938:R1938,3,FALSE)</f>
        <v>94.7</v>
      </c>
      <c r="D939">
        <f>_xlfn.XLOOKUP(A939,'Subbu- Mini Project EXcel Clean'!A939:A1938,'Subbu- Mini Project EXcel Clean'!D939:D1938,"Entry Level",0)</f>
        <v>101.8</v>
      </c>
      <c r="E939">
        <f>_xlfn.XLOOKUP(A939,'Subbu- Mini Project EXcel Clean'!A939:A1938,'Subbu- Mini Project EXcel Clean'!F939:F1938,"Entry Level",0)</f>
        <v>74.2</v>
      </c>
      <c r="F939">
        <f>_xlfn.XLOOKUP(A939,'Subbu- Mini Project EXcel Clean'!A939:A1938,'Subbu- Mini Project EXcel Clean'!G939:G1938," ",0)</f>
        <v>82.25</v>
      </c>
      <c r="G939" t="str">
        <f>_xlfn.XLOOKUP(A939,'Subbu- Mini Project EXcel Clean'!A939:A1938,'Subbu- Mini Project EXcel Clean'!H939:H1938," ",0)</f>
        <v>Pass</v>
      </c>
      <c r="H939" t="str">
        <f>VLOOKUP(A939,'Subbu- Mini Project EXcel Clean'!A938:R1938,18,)</f>
        <v>Bachelor</v>
      </c>
    </row>
    <row r="940" spans="1:8" x14ac:dyDescent="0.25">
      <c r="A940" t="s">
        <v>968</v>
      </c>
      <c r="B940">
        <f>VLOOKUP(A940,'Subbu- Mini Project EXcel Clean'!A939:R1939,2,FALSE)</f>
        <v>50</v>
      </c>
      <c r="C940">
        <f>VLOOKUP(A940,'Subbu- Mini Project EXcel Clean'!A939:R1939,3,FALSE)</f>
        <v>43.5</v>
      </c>
      <c r="D940">
        <f>_xlfn.XLOOKUP(A940,'Subbu- Mini Project EXcel Clean'!A940:A1939,'Subbu- Mini Project EXcel Clean'!D940:D1939,"Entry Level",0)</f>
        <v>45.6</v>
      </c>
      <c r="E940">
        <f>_xlfn.XLOOKUP(A940,'Subbu- Mini Project EXcel Clean'!A940:A1939,'Subbu- Mini Project EXcel Clean'!F940:F1939,"Entry Level",0)</f>
        <v>50.2</v>
      </c>
      <c r="F940">
        <f>_xlfn.XLOOKUP(A940,'Subbu- Mini Project EXcel Clean'!A940:A1939,'Subbu- Mini Project EXcel Clean'!G940:G1939," ",0)</f>
        <v>48.35</v>
      </c>
      <c r="G940" t="str">
        <f>_xlfn.XLOOKUP(A940,'Subbu- Mini Project EXcel Clean'!A940:A1939,'Subbu- Mini Project EXcel Clean'!H940:H1939," ",0)</f>
        <v>Fail</v>
      </c>
      <c r="H940" t="str">
        <f>VLOOKUP(A940,'Subbu- Mini Project EXcel Clean'!A939:R1939,18,)</f>
        <v>High School</v>
      </c>
    </row>
    <row r="941" spans="1:8" x14ac:dyDescent="0.25">
      <c r="A941" t="s">
        <v>969</v>
      </c>
      <c r="B941">
        <f>VLOOKUP(A941,'Subbu- Mini Project EXcel Clean'!A940:R1940,2,FALSE)</f>
        <v>69.5</v>
      </c>
      <c r="C941">
        <f>VLOOKUP(A941,'Subbu- Mini Project EXcel Clean'!A940:R1940,3,FALSE)</f>
        <v>72.3</v>
      </c>
      <c r="D941">
        <f>_xlfn.XLOOKUP(A941,'Subbu- Mini Project EXcel Clean'!A941:A1940,'Subbu- Mini Project EXcel Clean'!D941:D1940,"Entry Level",0)</f>
        <v>71.2</v>
      </c>
      <c r="E941">
        <f>_xlfn.XLOOKUP(A941,'Subbu- Mini Project EXcel Clean'!A941:A1940,'Subbu- Mini Project EXcel Clean'!F941:F1940,"Entry Level",0)</f>
        <v>91.5</v>
      </c>
      <c r="F941">
        <f>_xlfn.XLOOKUP(A941,'Subbu- Mini Project EXcel Clean'!A941:A1940,'Subbu- Mini Project EXcel Clean'!G941:G1940," ",0)</f>
        <v>81.599999999999994</v>
      </c>
      <c r="G941" t="str">
        <f>_xlfn.XLOOKUP(A941,'Subbu- Mini Project EXcel Clean'!A941:A1940,'Subbu- Mini Project EXcel Clean'!H941:H1940," ",0)</f>
        <v>Pass</v>
      </c>
      <c r="H941" t="str">
        <f>VLOOKUP(A941,'Subbu- Mini Project EXcel Clean'!A940:R1940,18,)</f>
        <v>High School</v>
      </c>
    </row>
    <row r="942" spans="1:8" x14ac:dyDescent="0.25">
      <c r="A942" t="s">
        <v>970</v>
      </c>
      <c r="B942">
        <f>VLOOKUP(A942,'Subbu- Mini Project EXcel Clean'!A941:R1941,2,FALSE)</f>
        <v>57.6</v>
      </c>
      <c r="C942">
        <f>VLOOKUP(A942,'Subbu- Mini Project EXcel Clean'!A941:R1941,3,FALSE)</f>
        <v>64.8</v>
      </c>
      <c r="D942">
        <f>_xlfn.XLOOKUP(A942,'Subbu- Mini Project EXcel Clean'!A942:A1941,'Subbu- Mini Project EXcel Clean'!D942:D1941,"Entry Level",0)</f>
        <v>60.1</v>
      </c>
      <c r="E942">
        <f>_xlfn.XLOOKUP(A942,'Subbu- Mini Project EXcel Clean'!A942:A1941,'Subbu- Mini Project EXcel Clean'!F942:F1941,"Entry Level",0)</f>
        <v>67.8</v>
      </c>
      <c r="F942">
        <f>_xlfn.XLOOKUP(A942,'Subbu- Mini Project EXcel Clean'!A942:A1941,'Subbu- Mini Project EXcel Clean'!G942:G1941," ",0)</f>
        <v>61.45</v>
      </c>
      <c r="G942" t="str">
        <f>_xlfn.XLOOKUP(A942,'Subbu- Mini Project EXcel Clean'!A942:A1941,'Subbu- Mini Project EXcel Clean'!H942:H1941," ",0)</f>
        <v>Pass</v>
      </c>
      <c r="H942" t="str">
        <f>VLOOKUP(A942,'Subbu- Mini Project EXcel Clean'!A941:R1941,18,)</f>
        <v>Bachelor</v>
      </c>
    </row>
    <row r="943" spans="1:8" x14ac:dyDescent="0.25">
      <c r="A943" t="s">
        <v>971</v>
      </c>
      <c r="B943">
        <f>VLOOKUP(A943,'Subbu- Mini Project EXcel Clean'!A942:R1942,2,FALSE)</f>
        <v>69.2</v>
      </c>
      <c r="C943">
        <f>VLOOKUP(A943,'Subbu- Mini Project EXcel Clean'!A942:R1942,3,FALSE)</f>
        <v>68</v>
      </c>
      <c r="D943">
        <f>_xlfn.XLOOKUP(A943,'Subbu- Mini Project EXcel Clean'!A943:A1942,'Subbu- Mini Project EXcel Clean'!D943:D1942,"Entry Level",0)</f>
        <v>79</v>
      </c>
      <c r="E943">
        <f>_xlfn.XLOOKUP(A943,'Subbu- Mini Project EXcel Clean'!A943:A1942,'Subbu- Mini Project EXcel Clean'!F943:F1942,"Entry Level",0)</f>
        <v>77.099999999999994</v>
      </c>
      <c r="F943">
        <f>_xlfn.XLOOKUP(A943,'Subbu- Mini Project EXcel Clean'!A943:A1942,'Subbu- Mini Project EXcel Clean'!G943:G1942," ",0)</f>
        <v>73.8</v>
      </c>
      <c r="G943" t="str">
        <f>_xlfn.XLOOKUP(A943,'Subbu- Mini Project EXcel Clean'!A943:A1942,'Subbu- Mini Project EXcel Clean'!H943:H1942," ",0)</f>
        <v>Pass</v>
      </c>
      <c r="H943" t="str">
        <f>VLOOKUP(A943,'Subbu- Mini Project EXcel Clean'!A942:R1942,18,)</f>
        <v>Bachelor</v>
      </c>
    </row>
    <row r="944" spans="1:8" x14ac:dyDescent="0.25">
      <c r="A944" t="s">
        <v>972</v>
      </c>
      <c r="B944">
        <f>VLOOKUP(A944,'Subbu- Mini Project EXcel Clean'!A943:R1943,2,FALSE)</f>
        <v>79.5</v>
      </c>
      <c r="C944">
        <f>VLOOKUP(A944,'Subbu- Mini Project EXcel Clean'!A943:R1943,3,FALSE)</f>
        <v>70.5</v>
      </c>
      <c r="D944">
        <f>_xlfn.XLOOKUP(A944,'Subbu- Mini Project EXcel Clean'!A944:A1943,'Subbu- Mini Project EXcel Clean'!D944:D1943,"Entry Level",0)</f>
        <v>67.599999999999994</v>
      </c>
      <c r="E944">
        <f>_xlfn.XLOOKUP(A944,'Subbu- Mini Project EXcel Clean'!A944:A1943,'Subbu- Mini Project EXcel Clean'!F944:F1943,"Entry Level",0)</f>
        <v>76.599999999999994</v>
      </c>
      <c r="F944">
        <f>_xlfn.XLOOKUP(A944,'Subbu- Mini Project EXcel Clean'!A944:A1943,'Subbu- Mini Project EXcel Clean'!G944:G1943," ",0)</f>
        <v>76.2</v>
      </c>
      <c r="G944" t="str">
        <f>_xlfn.XLOOKUP(A944,'Subbu- Mini Project EXcel Clean'!A944:A1943,'Subbu- Mini Project EXcel Clean'!H944:H1943," ",0)</f>
        <v>Pass</v>
      </c>
      <c r="H944" t="str">
        <f>VLOOKUP(A944,'Subbu- Mini Project EXcel Clean'!A943:R1943,18,)</f>
        <v>Bachelor</v>
      </c>
    </row>
    <row r="945" spans="1:8" x14ac:dyDescent="0.25">
      <c r="A945" t="s">
        <v>973</v>
      </c>
      <c r="B945">
        <f>VLOOKUP(A945,'Subbu- Mini Project EXcel Clean'!A944:R1944,2,FALSE)</f>
        <v>88.7</v>
      </c>
      <c r="C945">
        <f>VLOOKUP(A945,'Subbu- Mini Project EXcel Clean'!A944:R1944,3,FALSE)</f>
        <v>93</v>
      </c>
      <c r="D945">
        <f>_xlfn.XLOOKUP(A945,'Subbu- Mini Project EXcel Clean'!A945:A1944,'Subbu- Mini Project EXcel Clean'!D945:D1944,"Entry Level",0)</f>
        <v>76.7</v>
      </c>
      <c r="E945">
        <f>_xlfn.XLOOKUP(A945,'Subbu- Mini Project EXcel Clean'!A945:A1944,'Subbu- Mini Project EXcel Clean'!F945:F1944,"Entry Level",0)</f>
        <v>99.4</v>
      </c>
      <c r="F945">
        <f>_xlfn.XLOOKUP(A945,'Subbu- Mini Project EXcel Clean'!A945:A1944,'Subbu- Mini Project EXcel Clean'!G945:G1944," ",0)</f>
        <v>92.5</v>
      </c>
      <c r="G945" t="str">
        <f>_xlfn.XLOOKUP(A945,'Subbu- Mini Project EXcel Clean'!A945:A1944,'Subbu- Mini Project EXcel Clean'!H945:H1944," ",0)</f>
        <v>Pass</v>
      </c>
      <c r="H945" t="str">
        <f>VLOOKUP(A945,'Subbu- Mini Project EXcel Clean'!A944:R1944,18,)</f>
        <v>Master</v>
      </c>
    </row>
    <row r="946" spans="1:8" x14ac:dyDescent="0.25">
      <c r="A946" t="s">
        <v>974</v>
      </c>
      <c r="B946">
        <f>VLOOKUP(A946,'Subbu- Mini Project EXcel Clean'!A945:R1945,2,FALSE)</f>
        <v>46.7</v>
      </c>
      <c r="C946">
        <f>VLOOKUP(A946,'Subbu- Mini Project EXcel Clean'!A945:R1945,3,FALSE)</f>
        <v>61.2</v>
      </c>
      <c r="D946">
        <f>_xlfn.XLOOKUP(A946,'Subbu- Mini Project EXcel Clean'!A946:A1945,'Subbu- Mini Project EXcel Clean'!D946:D1945,"Entry Level",0)</f>
        <v>48.2</v>
      </c>
      <c r="E946">
        <f>_xlfn.XLOOKUP(A946,'Subbu- Mini Project EXcel Clean'!A946:A1945,'Subbu- Mini Project EXcel Clean'!F946:F1945,"Entry Level",0)</f>
        <v>60.3</v>
      </c>
      <c r="F946">
        <f>_xlfn.XLOOKUP(A946,'Subbu- Mini Project EXcel Clean'!A946:A1945,'Subbu- Mini Project EXcel Clean'!G946:G1945," ",0)</f>
        <v>55.85</v>
      </c>
      <c r="G946" t="str">
        <f>_xlfn.XLOOKUP(A946,'Subbu- Mini Project EXcel Clean'!A946:A1945,'Subbu- Mini Project EXcel Clean'!H946:H1945," ",0)</f>
        <v>Pass</v>
      </c>
      <c r="H946" t="str">
        <f>VLOOKUP(A946,'Subbu- Mini Project EXcel Clean'!A945:R1945,18,)</f>
        <v>Master</v>
      </c>
    </row>
    <row r="947" spans="1:8" x14ac:dyDescent="0.25">
      <c r="A947" t="s">
        <v>975</v>
      </c>
      <c r="B947">
        <f>VLOOKUP(A947,'Subbu- Mini Project EXcel Clean'!A946:R1946,2,FALSE)</f>
        <v>46</v>
      </c>
      <c r="C947">
        <f>VLOOKUP(A947,'Subbu- Mini Project EXcel Clean'!A946:R1946,3,FALSE)</f>
        <v>40.6</v>
      </c>
      <c r="D947">
        <f>_xlfn.XLOOKUP(A947,'Subbu- Mini Project EXcel Clean'!A947:A1946,'Subbu- Mini Project EXcel Clean'!D947:D1946,"Entry Level",0)</f>
        <v>43.5</v>
      </c>
      <c r="E947">
        <f>_xlfn.XLOOKUP(A947,'Subbu- Mini Project EXcel Clean'!A947:A1946,'Subbu- Mini Project EXcel Clean'!F947:F1946,"Entry Level",0)</f>
        <v>63.2</v>
      </c>
      <c r="F947">
        <f>_xlfn.XLOOKUP(A947,'Subbu- Mini Project EXcel Clean'!A947:A1946,'Subbu- Mini Project EXcel Clean'!G947:G1946," ",0)</f>
        <v>51.9</v>
      </c>
      <c r="G947" t="str">
        <f>_xlfn.XLOOKUP(A947,'Subbu- Mini Project EXcel Clean'!A947:A1946,'Subbu- Mini Project EXcel Clean'!H947:H1946," ",0)</f>
        <v>Pass</v>
      </c>
      <c r="H947" t="str">
        <f>VLOOKUP(A947,'Subbu- Mini Project EXcel Clean'!A946:R1946,18,)</f>
        <v>High School</v>
      </c>
    </row>
    <row r="948" spans="1:8" x14ac:dyDescent="0.25">
      <c r="A948" t="s">
        <v>976</v>
      </c>
      <c r="B948">
        <f>VLOOKUP(A948,'Subbu- Mini Project EXcel Clean'!A947:R1947,2,FALSE)</f>
        <v>44.8</v>
      </c>
      <c r="C948">
        <f>VLOOKUP(A948,'Subbu- Mini Project EXcel Clean'!A947:R1947,3,FALSE)</f>
        <v>52.6</v>
      </c>
      <c r="D948">
        <f>_xlfn.XLOOKUP(A948,'Subbu- Mini Project EXcel Clean'!A948:A1947,'Subbu- Mini Project EXcel Clean'!D948:D1947,"Entry Level",0)</f>
        <v>50</v>
      </c>
      <c r="E948">
        <f>_xlfn.XLOOKUP(A948,'Subbu- Mini Project EXcel Clean'!A948:A1947,'Subbu- Mini Project EXcel Clean'!F948:F1947,"Entry Level",0)</f>
        <v>67.400000000000006</v>
      </c>
      <c r="F948">
        <f>_xlfn.XLOOKUP(A948,'Subbu- Mini Project EXcel Clean'!A948:A1947,'Subbu- Mini Project EXcel Clean'!G948:G1947," ",0)</f>
        <v>57.45</v>
      </c>
      <c r="G948" t="str">
        <f>_xlfn.XLOOKUP(A948,'Subbu- Mini Project EXcel Clean'!A948:A1947,'Subbu- Mini Project EXcel Clean'!H948:H1947," ",0)</f>
        <v>Pass</v>
      </c>
      <c r="H948" t="str">
        <f>VLOOKUP(A948,'Subbu- Mini Project EXcel Clean'!A947:R1947,18,)</f>
        <v>High School</v>
      </c>
    </row>
    <row r="949" spans="1:8" x14ac:dyDescent="0.25">
      <c r="A949" t="s">
        <v>977</v>
      </c>
      <c r="B949">
        <f>VLOOKUP(A949,'Subbu- Mini Project EXcel Clean'!A948:R1948,2,FALSE)</f>
        <v>93.5</v>
      </c>
      <c r="C949">
        <f>VLOOKUP(A949,'Subbu- Mini Project EXcel Clean'!A948:R1948,3,FALSE)</f>
        <v>96.2</v>
      </c>
      <c r="D949">
        <f>_xlfn.XLOOKUP(A949,'Subbu- Mini Project EXcel Clean'!A949:A1948,'Subbu- Mini Project EXcel Clean'!D949:D1948,"Entry Level",0)</f>
        <v>94.8</v>
      </c>
      <c r="E949">
        <f>_xlfn.XLOOKUP(A949,'Subbu- Mini Project EXcel Clean'!A949:A1948,'Subbu- Mini Project EXcel Clean'!F949:F1948,"Entry Level",0)</f>
        <v>86.6</v>
      </c>
      <c r="F949">
        <f>_xlfn.XLOOKUP(A949,'Subbu- Mini Project EXcel Clean'!A949:A1948,'Subbu- Mini Project EXcel Clean'!G949:G1948," ",0)</f>
        <v>88.05</v>
      </c>
      <c r="G949" t="str">
        <f>_xlfn.XLOOKUP(A949,'Subbu- Mini Project EXcel Clean'!A949:A1948,'Subbu- Mini Project EXcel Clean'!H949:H1948," ",0)</f>
        <v>Pass</v>
      </c>
      <c r="H949" t="str">
        <f>VLOOKUP(A949,'Subbu- Mini Project EXcel Clean'!A948:R1948,18,)</f>
        <v>High School</v>
      </c>
    </row>
    <row r="950" spans="1:8" x14ac:dyDescent="0.25">
      <c r="A950" t="s">
        <v>978</v>
      </c>
      <c r="B950">
        <f>VLOOKUP(A950,'Subbu- Mini Project EXcel Clean'!A949:R1949,2,FALSE)</f>
        <v>89.9</v>
      </c>
      <c r="C950">
        <f>VLOOKUP(A950,'Subbu- Mini Project EXcel Clean'!A949:R1949,3,FALSE)</f>
        <v>84.4</v>
      </c>
      <c r="D950">
        <f>_xlfn.XLOOKUP(A950,'Subbu- Mini Project EXcel Clean'!A950:A1949,'Subbu- Mini Project EXcel Clean'!D950:D1949,"Entry Level",0)</f>
        <v>82.1</v>
      </c>
      <c r="E950">
        <f>_xlfn.XLOOKUP(A950,'Subbu- Mini Project EXcel Clean'!A950:A1949,'Subbu- Mini Project EXcel Clean'!F950:F1949,"Entry Level",0)</f>
        <v>79.5</v>
      </c>
      <c r="F950">
        <f>_xlfn.XLOOKUP(A950,'Subbu- Mini Project EXcel Clean'!A950:A1949,'Subbu- Mini Project EXcel Clean'!G950:G1949," ",0)</f>
        <v>83.8</v>
      </c>
      <c r="G950" t="str">
        <f>_xlfn.XLOOKUP(A950,'Subbu- Mini Project EXcel Clean'!A950:A1949,'Subbu- Mini Project EXcel Clean'!H950:H1949," ",0)</f>
        <v>Pass</v>
      </c>
      <c r="H950" t="str">
        <f>VLOOKUP(A950,'Subbu- Mini Project EXcel Clean'!A949:R1949,18,)</f>
        <v>High School</v>
      </c>
    </row>
    <row r="951" spans="1:8" x14ac:dyDescent="0.25">
      <c r="A951" t="s">
        <v>979</v>
      </c>
      <c r="B951">
        <f>VLOOKUP(A951,'Subbu- Mini Project EXcel Clean'!A950:R1950,2,FALSE)</f>
        <v>82</v>
      </c>
      <c r="C951">
        <f>VLOOKUP(A951,'Subbu- Mini Project EXcel Clean'!A950:R1950,3,FALSE)</f>
        <v>70.400000000000006</v>
      </c>
      <c r="D951">
        <f>_xlfn.XLOOKUP(A951,'Subbu- Mini Project EXcel Clean'!A951:A1950,'Subbu- Mini Project EXcel Clean'!D951:D1950,"Entry Level",0)</f>
        <v>61.3</v>
      </c>
      <c r="E951">
        <f>_xlfn.XLOOKUP(A951,'Subbu- Mini Project EXcel Clean'!A951:A1950,'Subbu- Mini Project EXcel Clean'!F951:F1950,"Entry Level",0)</f>
        <v>73.8</v>
      </c>
      <c r="F951">
        <f>_xlfn.XLOOKUP(A951,'Subbu- Mini Project EXcel Clean'!A951:A1950,'Subbu- Mini Project EXcel Clean'!G951:G1950," ",0)</f>
        <v>73.349999999999994</v>
      </c>
      <c r="G951" t="str">
        <f>_xlfn.XLOOKUP(A951,'Subbu- Mini Project EXcel Clean'!A951:A1950,'Subbu- Mini Project EXcel Clean'!H951:H1950," ",0)</f>
        <v>Pass</v>
      </c>
      <c r="H951" t="str">
        <f>VLOOKUP(A951,'Subbu- Mini Project EXcel Clean'!A950:R1950,18,)</f>
        <v>Bachelor</v>
      </c>
    </row>
    <row r="952" spans="1:8" x14ac:dyDescent="0.25">
      <c r="A952" t="s">
        <v>980</v>
      </c>
      <c r="B952">
        <f>VLOOKUP(A952,'Subbu- Mini Project EXcel Clean'!A951:R1951,2,FALSE)</f>
        <v>71.900000000000006</v>
      </c>
      <c r="C952">
        <f>VLOOKUP(A952,'Subbu- Mini Project EXcel Clean'!A951:R1951,3,FALSE)</f>
        <v>79.2</v>
      </c>
      <c r="D952">
        <f>_xlfn.XLOOKUP(A952,'Subbu- Mini Project EXcel Clean'!A952:A1951,'Subbu- Mini Project EXcel Clean'!D952:D1951,"Entry Level",0)</f>
        <v>77.3</v>
      </c>
      <c r="E952">
        <f>_xlfn.XLOOKUP(A952,'Subbu- Mini Project EXcel Clean'!A952:A1951,'Subbu- Mini Project EXcel Clean'!F952:F1951,"Entry Level",0)</f>
        <v>88.5</v>
      </c>
      <c r="F952">
        <f>_xlfn.XLOOKUP(A952,'Subbu- Mini Project EXcel Clean'!A952:A1951,'Subbu- Mini Project EXcel Clean'!G952:G1951," ",0)</f>
        <v>80.75</v>
      </c>
      <c r="G952" t="str">
        <f>_xlfn.XLOOKUP(A952,'Subbu- Mini Project EXcel Clean'!A952:A1951,'Subbu- Mini Project EXcel Clean'!H952:H1951," ",0)</f>
        <v>Pass</v>
      </c>
      <c r="H952" t="str">
        <f>VLOOKUP(A952,'Subbu- Mini Project EXcel Clean'!A951:R1951,18,)</f>
        <v>Master</v>
      </c>
    </row>
    <row r="953" spans="1:8" x14ac:dyDescent="0.25">
      <c r="A953" t="s">
        <v>981</v>
      </c>
      <c r="B953">
        <f>VLOOKUP(A953,'Subbu- Mini Project EXcel Clean'!A952:R1952,2,FALSE)</f>
        <v>74.8</v>
      </c>
      <c r="C953">
        <f>VLOOKUP(A953,'Subbu- Mini Project EXcel Clean'!A952:R1952,3,FALSE)</f>
        <v>85</v>
      </c>
      <c r="D953">
        <f>_xlfn.XLOOKUP(A953,'Subbu- Mini Project EXcel Clean'!A953:A1952,'Subbu- Mini Project EXcel Clean'!D953:D1952,"Entry Level",0)</f>
        <v>72.400000000000006</v>
      </c>
      <c r="E953">
        <f>_xlfn.XLOOKUP(A953,'Subbu- Mini Project EXcel Clean'!A953:A1952,'Subbu- Mini Project EXcel Clean'!F953:F1952,"Entry Level",0)</f>
        <v>91</v>
      </c>
      <c r="F953">
        <f>_xlfn.XLOOKUP(A953,'Subbu- Mini Project EXcel Clean'!A953:A1952,'Subbu- Mini Project EXcel Clean'!G953:G1952," ",0)</f>
        <v>83.8</v>
      </c>
      <c r="G953" t="str">
        <f>_xlfn.XLOOKUP(A953,'Subbu- Mini Project EXcel Clean'!A953:A1952,'Subbu- Mini Project EXcel Clean'!H953:H1952," ",0)</f>
        <v>Pass</v>
      </c>
      <c r="H953" t="str">
        <f>VLOOKUP(A953,'Subbu- Mini Project EXcel Clean'!A952:R1952,18,)</f>
        <v>Bachelor</v>
      </c>
    </row>
    <row r="954" spans="1:8" x14ac:dyDescent="0.25">
      <c r="A954" t="s">
        <v>982</v>
      </c>
      <c r="B954">
        <f>VLOOKUP(A954,'Subbu- Mini Project EXcel Clean'!A953:R1953,2,FALSE)</f>
        <v>49.5</v>
      </c>
      <c r="C954">
        <f>VLOOKUP(A954,'Subbu- Mini Project EXcel Clean'!A953:R1953,3,FALSE)</f>
        <v>52.5</v>
      </c>
      <c r="D954">
        <f>_xlfn.XLOOKUP(A954,'Subbu- Mini Project EXcel Clean'!A954:A1953,'Subbu- Mini Project EXcel Clean'!D954:D1953,"Entry Level",0)</f>
        <v>39.6</v>
      </c>
      <c r="E954">
        <f>_xlfn.XLOOKUP(A954,'Subbu- Mini Project EXcel Clean'!A954:A1953,'Subbu- Mini Project EXcel Clean'!F954:F1953,"Entry Level",0)</f>
        <v>70.099999999999994</v>
      </c>
      <c r="F954">
        <f>_xlfn.XLOOKUP(A954,'Subbu- Mini Project EXcel Clean'!A954:A1953,'Subbu- Mini Project EXcel Clean'!G954:G1953," ",0)</f>
        <v>59.85</v>
      </c>
      <c r="G954" t="str">
        <f>_xlfn.XLOOKUP(A954,'Subbu- Mini Project EXcel Clean'!A954:A1953,'Subbu- Mini Project EXcel Clean'!H954:H1953," ",0)</f>
        <v>Pass</v>
      </c>
      <c r="H954" t="str">
        <f>VLOOKUP(A954,'Subbu- Mini Project EXcel Clean'!A953:R1953,18,)</f>
        <v>Master</v>
      </c>
    </row>
    <row r="955" spans="1:8" x14ac:dyDescent="0.25">
      <c r="A955" t="s">
        <v>983</v>
      </c>
      <c r="B955">
        <f>VLOOKUP(A955,'Subbu- Mini Project EXcel Clean'!A954:R1954,2,FALSE)</f>
        <v>88.8</v>
      </c>
      <c r="C955">
        <f>VLOOKUP(A955,'Subbu- Mini Project EXcel Clean'!A954:R1954,3,FALSE)</f>
        <v>85.9</v>
      </c>
      <c r="D955">
        <f>_xlfn.XLOOKUP(A955,'Subbu- Mini Project EXcel Clean'!A955:A1954,'Subbu- Mini Project EXcel Clean'!D955:D1954,"Entry Level",0)</f>
        <v>91</v>
      </c>
      <c r="E955">
        <f>_xlfn.XLOOKUP(A955,'Subbu- Mini Project EXcel Clean'!A955:A1954,'Subbu- Mini Project EXcel Clean'!F955:F1954,"Entry Level",0)</f>
        <v>92.4</v>
      </c>
      <c r="F955">
        <f>_xlfn.XLOOKUP(A955,'Subbu- Mini Project EXcel Clean'!A955:A1954,'Subbu- Mini Project EXcel Clean'!G955:G1954," ",0)</f>
        <v>91.35</v>
      </c>
      <c r="G955" t="str">
        <f>_xlfn.XLOOKUP(A955,'Subbu- Mini Project EXcel Clean'!A955:A1954,'Subbu- Mini Project EXcel Clean'!H955:H1954," ",0)</f>
        <v>Pass</v>
      </c>
      <c r="H955" t="str">
        <f>VLOOKUP(A955,'Subbu- Mini Project EXcel Clean'!A954:R1954,18,)</f>
        <v>Bachelor</v>
      </c>
    </row>
    <row r="956" spans="1:8" x14ac:dyDescent="0.25">
      <c r="A956" t="s">
        <v>984</v>
      </c>
      <c r="B956">
        <f>VLOOKUP(A956,'Subbu- Mini Project EXcel Clean'!A955:R1955,2,FALSE)</f>
        <v>67</v>
      </c>
      <c r="C956">
        <f>VLOOKUP(A956,'Subbu- Mini Project EXcel Clean'!A955:R1955,3,FALSE)</f>
        <v>73</v>
      </c>
      <c r="D956">
        <f>_xlfn.XLOOKUP(A956,'Subbu- Mini Project EXcel Clean'!A956:A1955,'Subbu- Mini Project EXcel Clean'!D956:D1955,"Entry Level",0)</f>
        <v>67</v>
      </c>
      <c r="E956">
        <f>_xlfn.XLOOKUP(A956,'Subbu- Mini Project EXcel Clean'!A956:A1955,'Subbu- Mini Project EXcel Clean'!F956:F1955,"Entry Level",0)</f>
        <v>59.5</v>
      </c>
      <c r="F956">
        <f>_xlfn.XLOOKUP(A956,'Subbu- Mini Project EXcel Clean'!A956:A1955,'Subbu- Mini Project EXcel Clean'!G956:G1955," ",0)</f>
        <v>61.25</v>
      </c>
      <c r="G956" t="str">
        <f>_xlfn.XLOOKUP(A956,'Subbu- Mini Project EXcel Clean'!A956:A1955,'Subbu- Mini Project EXcel Clean'!H956:H1955," ",0)</f>
        <v>Pass</v>
      </c>
      <c r="H956" t="str">
        <f>VLOOKUP(A956,'Subbu- Mini Project EXcel Clean'!A955:R1955,18,)</f>
        <v>High School</v>
      </c>
    </row>
    <row r="957" spans="1:8" x14ac:dyDescent="0.25">
      <c r="A957" t="s">
        <v>985</v>
      </c>
      <c r="B957">
        <f>VLOOKUP(A957,'Subbu- Mini Project EXcel Clean'!A956:R1956,2,FALSE)</f>
        <v>53</v>
      </c>
      <c r="C957">
        <f>VLOOKUP(A957,'Subbu- Mini Project EXcel Clean'!A956:R1956,3,FALSE)</f>
        <v>58.4</v>
      </c>
      <c r="D957">
        <f>_xlfn.XLOOKUP(A957,'Subbu- Mini Project EXcel Clean'!A957:A1956,'Subbu- Mini Project EXcel Clean'!D957:D1956,"Entry Level",0)</f>
        <v>60.5</v>
      </c>
      <c r="E957">
        <f>_xlfn.XLOOKUP(A957,'Subbu- Mini Project EXcel Clean'!A957:A1956,'Subbu- Mini Project EXcel Clean'!F957:F1956,"Entry Level",0)</f>
        <v>54.4</v>
      </c>
      <c r="F957">
        <f>_xlfn.XLOOKUP(A957,'Subbu- Mini Project EXcel Clean'!A957:A1956,'Subbu- Mini Project EXcel Clean'!G957:G1956," ",0)</f>
        <v>57.75</v>
      </c>
      <c r="G957" t="str">
        <f>_xlfn.XLOOKUP(A957,'Subbu- Mini Project EXcel Clean'!A957:A1956,'Subbu- Mini Project EXcel Clean'!H957:H1956," ",0)</f>
        <v>Pass</v>
      </c>
      <c r="H957" t="str">
        <f>VLOOKUP(A957,'Subbu- Mini Project EXcel Clean'!A956:R1956,18,)</f>
        <v>Master</v>
      </c>
    </row>
    <row r="958" spans="1:8" x14ac:dyDescent="0.25">
      <c r="A958" t="s">
        <v>986</v>
      </c>
      <c r="B958">
        <f>VLOOKUP(A958,'Subbu- Mini Project EXcel Clean'!A957:R1957,2,FALSE)</f>
        <v>63.3</v>
      </c>
      <c r="C958">
        <f>VLOOKUP(A958,'Subbu- Mini Project EXcel Clean'!A957:R1957,3,FALSE)</f>
        <v>66.900000000000006</v>
      </c>
      <c r="D958">
        <f>_xlfn.XLOOKUP(A958,'Subbu- Mini Project EXcel Clean'!A958:A1957,'Subbu- Mini Project EXcel Clean'!D958:D1957,"Entry Level",0)</f>
        <v>66.3</v>
      </c>
      <c r="E958">
        <f>_xlfn.XLOOKUP(A958,'Subbu- Mini Project EXcel Clean'!A958:A1957,'Subbu- Mini Project EXcel Clean'!F958:F1957,"Entry Level",0)</f>
        <v>75.400000000000006</v>
      </c>
      <c r="F958">
        <f>_xlfn.XLOOKUP(A958,'Subbu- Mini Project EXcel Clean'!A958:A1957,'Subbu- Mini Project EXcel Clean'!G958:G1957," ",0)</f>
        <v>71.95</v>
      </c>
      <c r="G958" t="str">
        <f>_xlfn.XLOOKUP(A958,'Subbu- Mini Project EXcel Clean'!A958:A1957,'Subbu- Mini Project EXcel Clean'!H958:H1957," ",0)</f>
        <v>Pass</v>
      </c>
      <c r="H958" t="str">
        <f>VLOOKUP(A958,'Subbu- Mini Project EXcel Clean'!A957:R1957,18,)</f>
        <v>High School</v>
      </c>
    </row>
    <row r="959" spans="1:8" x14ac:dyDescent="0.25">
      <c r="A959" t="s">
        <v>987</v>
      </c>
      <c r="B959">
        <f>VLOOKUP(A959,'Subbu- Mini Project EXcel Clean'!A958:R1958,2,FALSE)</f>
        <v>37.200000000000003</v>
      </c>
      <c r="C959">
        <f>VLOOKUP(A959,'Subbu- Mini Project EXcel Clean'!A958:R1958,3,FALSE)</f>
        <v>44.3</v>
      </c>
      <c r="D959">
        <f>_xlfn.XLOOKUP(A959,'Subbu- Mini Project EXcel Clean'!A959:A1958,'Subbu- Mini Project EXcel Clean'!D959:D1958,"Entry Level",0)</f>
        <v>41.8</v>
      </c>
      <c r="E959">
        <f>_xlfn.XLOOKUP(A959,'Subbu- Mini Project EXcel Clean'!A959:A1958,'Subbu- Mini Project EXcel Clean'!F959:F1958,"Entry Level",0)</f>
        <v>60.5</v>
      </c>
      <c r="F959">
        <f>_xlfn.XLOOKUP(A959,'Subbu- Mini Project EXcel Clean'!A959:A1958,'Subbu- Mini Project EXcel Clean'!G959:G1958," ",0)</f>
        <v>51.55</v>
      </c>
      <c r="G959" t="str">
        <f>_xlfn.XLOOKUP(A959,'Subbu- Mini Project EXcel Clean'!A959:A1958,'Subbu- Mini Project EXcel Clean'!H959:H1958," ",0)</f>
        <v>Pass</v>
      </c>
      <c r="H959" t="str">
        <f>VLOOKUP(A959,'Subbu- Mini Project EXcel Clean'!A958:R1958,18,)</f>
        <v>Master</v>
      </c>
    </row>
    <row r="960" spans="1:8" x14ac:dyDescent="0.25">
      <c r="A960" t="s">
        <v>988</v>
      </c>
      <c r="B960">
        <f>VLOOKUP(A960,'Subbu- Mini Project EXcel Clean'!A959:R1959,2,FALSE)</f>
        <v>53.9</v>
      </c>
      <c r="C960">
        <f>VLOOKUP(A960,'Subbu- Mini Project EXcel Clean'!A959:R1959,3,FALSE)</f>
        <v>56.9</v>
      </c>
      <c r="D960">
        <f>_xlfn.XLOOKUP(A960,'Subbu- Mini Project EXcel Clean'!A960:A1959,'Subbu- Mini Project EXcel Clean'!D960:D1959,"Entry Level",0)</f>
        <v>47.3</v>
      </c>
      <c r="E960">
        <f>_xlfn.XLOOKUP(A960,'Subbu- Mini Project EXcel Clean'!A960:A1959,'Subbu- Mini Project EXcel Clean'!F960:F1959,"Entry Level",0)</f>
        <v>58.7</v>
      </c>
      <c r="F960">
        <f>_xlfn.XLOOKUP(A960,'Subbu- Mini Project EXcel Clean'!A960:A1959,'Subbu- Mini Project EXcel Clean'!G960:G1959," ",0)</f>
        <v>53.9</v>
      </c>
      <c r="G960" t="str">
        <f>_xlfn.XLOOKUP(A960,'Subbu- Mini Project EXcel Clean'!A960:A1959,'Subbu- Mini Project EXcel Clean'!H960:H1959," ",0)</f>
        <v>Pass</v>
      </c>
      <c r="H960" t="str">
        <f>VLOOKUP(A960,'Subbu- Mini Project EXcel Clean'!A959:R1959,18,)</f>
        <v>Master</v>
      </c>
    </row>
    <row r="961" spans="1:8" x14ac:dyDescent="0.25">
      <c r="A961" t="s">
        <v>989</v>
      </c>
      <c r="B961">
        <f>VLOOKUP(A961,'Subbu- Mini Project EXcel Clean'!A960:R1960,2,FALSE)</f>
        <v>89.1</v>
      </c>
      <c r="C961">
        <f>VLOOKUP(A961,'Subbu- Mini Project EXcel Clean'!A960:R1960,3,FALSE)</f>
        <v>84.9</v>
      </c>
      <c r="D961">
        <f>_xlfn.XLOOKUP(A961,'Subbu- Mini Project EXcel Clean'!A961:A1960,'Subbu- Mini Project EXcel Clean'!D961:D1960,"Entry Level",0)</f>
        <v>73.900000000000006</v>
      </c>
      <c r="E961">
        <f>_xlfn.XLOOKUP(A961,'Subbu- Mini Project EXcel Clean'!A961:A1960,'Subbu- Mini Project EXcel Clean'!F961:F1960,"Entry Level",0)</f>
        <v>79.599999999999994</v>
      </c>
      <c r="F961">
        <f>_xlfn.XLOOKUP(A961,'Subbu- Mini Project EXcel Clean'!A961:A1960,'Subbu- Mini Project EXcel Clean'!G961:G1960," ",0)</f>
        <v>80.099999999999994</v>
      </c>
      <c r="G961" t="str">
        <f>_xlfn.XLOOKUP(A961,'Subbu- Mini Project EXcel Clean'!A961:A1960,'Subbu- Mini Project EXcel Clean'!H961:H1960," ",0)</f>
        <v>Pass</v>
      </c>
      <c r="H961" t="str">
        <f>VLOOKUP(A961,'Subbu- Mini Project EXcel Clean'!A960:R1960,18,)</f>
        <v>High School</v>
      </c>
    </row>
    <row r="962" spans="1:8" x14ac:dyDescent="0.25">
      <c r="A962" t="s">
        <v>990</v>
      </c>
      <c r="B962">
        <f>VLOOKUP(A962,'Subbu- Mini Project EXcel Clean'!A961:R1961,2,FALSE)</f>
        <v>44</v>
      </c>
      <c r="C962">
        <f>VLOOKUP(A962,'Subbu- Mini Project EXcel Clean'!A961:R1961,3,FALSE)</f>
        <v>46.6</v>
      </c>
      <c r="D962">
        <f>_xlfn.XLOOKUP(A962,'Subbu- Mini Project EXcel Clean'!A962:A1961,'Subbu- Mini Project EXcel Clean'!D962:D1961,"Entry Level",0)</f>
        <v>41</v>
      </c>
      <c r="E962">
        <f>_xlfn.XLOOKUP(A962,'Subbu- Mini Project EXcel Clean'!A962:A1961,'Subbu- Mini Project EXcel Clean'!F962:F1961,"Entry Level",0)</f>
        <v>57.6</v>
      </c>
      <c r="F962">
        <f>_xlfn.XLOOKUP(A962,'Subbu- Mini Project EXcel Clean'!A962:A1961,'Subbu- Mini Project EXcel Clean'!G962:G1961," ",0)</f>
        <v>51.1</v>
      </c>
      <c r="G962" t="str">
        <f>_xlfn.XLOOKUP(A962,'Subbu- Mini Project EXcel Clean'!A962:A1961,'Subbu- Mini Project EXcel Clean'!H962:H1961," ",0)</f>
        <v>Pass</v>
      </c>
      <c r="H962" t="str">
        <f>VLOOKUP(A962,'Subbu- Mini Project EXcel Clean'!A961:R1961,18,)</f>
        <v>High School</v>
      </c>
    </row>
    <row r="963" spans="1:8" x14ac:dyDescent="0.25">
      <c r="A963" t="s">
        <v>991</v>
      </c>
      <c r="B963">
        <f>VLOOKUP(A963,'Subbu- Mini Project EXcel Clean'!A962:R1962,2,FALSE)</f>
        <v>72.3</v>
      </c>
      <c r="C963">
        <f>VLOOKUP(A963,'Subbu- Mini Project EXcel Clean'!A962:R1962,3,FALSE)</f>
        <v>75.5</v>
      </c>
      <c r="D963">
        <f>_xlfn.XLOOKUP(A963,'Subbu- Mini Project EXcel Clean'!A963:A1962,'Subbu- Mini Project EXcel Clean'!D963:D1962,"Entry Level",0)</f>
        <v>75.8</v>
      </c>
      <c r="E963">
        <f>_xlfn.XLOOKUP(A963,'Subbu- Mini Project EXcel Clean'!A963:A1962,'Subbu- Mini Project EXcel Clean'!F963:F1962,"Entry Level",0)</f>
        <v>78.2</v>
      </c>
      <c r="F963">
        <f>_xlfn.XLOOKUP(A963,'Subbu- Mini Project EXcel Clean'!A963:A1962,'Subbu- Mini Project EXcel Clean'!G963:G1962," ",0)</f>
        <v>75.7</v>
      </c>
      <c r="G963" t="str">
        <f>_xlfn.XLOOKUP(A963,'Subbu- Mini Project EXcel Clean'!A963:A1962,'Subbu- Mini Project EXcel Clean'!H963:H1962," ",0)</f>
        <v>Pass</v>
      </c>
      <c r="H963" t="str">
        <f>VLOOKUP(A963,'Subbu- Mini Project EXcel Clean'!A962:R1962,18,)</f>
        <v>High School</v>
      </c>
    </row>
    <row r="964" spans="1:8" x14ac:dyDescent="0.25">
      <c r="A964" t="s">
        <v>992</v>
      </c>
      <c r="B964">
        <f>VLOOKUP(A964,'Subbu- Mini Project EXcel Clean'!A963:R1963,2,FALSE)</f>
        <v>53.8</v>
      </c>
      <c r="C964">
        <f>VLOOKUP(A964,'Subbu- Mini Project EXcel Clean'!A963:R1963,3,FALSE)</f>
        <v>53.7</v>
      </c>
      <c r="D964">
        <f>_xlfn.XLOOKUP(A964,'Subbu- Mini Project EXcel Clean'!A964:A1963,'Subbu- Mini Project EXcel Clean'!D964:D1963,"Entry Level",0)</f>
        <v>55.1</v>
      </c>
      <c r="E964">
        <f>_xlfn.XLOOKUP(A964,'Subbu- Mini Project EXcel Clean'!A964:A1963,'Subbu- Mini Project EXcel Clean'!F964:F1963,"Entry Level",0)</f>
        <v>45.6</v>
      </c>
      <c r="F964">
        <f>_xlfn.XLOOKUP(A964,'Subbu- Mini Project EXcel Clean'!A964:A1963,'Subbu- Mini Project EXcel Clean'!G964:G1963," ",0)</f>
        <v>49.55</v>
      </c>
      <c r="G964" t="str">
        <f>_xlfn.XLOOKUP(A964,'Subbu- Mini Project EXcel Clean'!A964:A1963,'Subbu- Mini Project EXcel Clean'!H964:H1963," ",0)</f>
        <v>Fail</v>
      </c>
      <c r="H964" t="str">
        <f>VLOOKUP(A964,'Subbu- Mini Project EXcel Clean'!A963:R1963,18,)</f>
        <v>Bachelor</v>
      </c>
    </row>
    <row r="965" spans="1:8" x14ac:dyDescent="0.25">
      <c r="A965" t="s">
        <v>993</v>
      </c>
      <c r="B965">
        <f>VLOOKUP(A965,'Subbu- Mini Project EXcel Clean'!A964:R1964,2,FALSE)</f>
        <v>67.2</v>
      </c>
      <c r="C965">
        <f>VLOOKUP(A965,'Subbu- Mini Project EXcel Clean'!A964:R1964,3,FALSE)</f>
        <v>64.2</v>
      </c>
      <c r="D965">
        <f>_xlfn.XLOOKUP(A965,'Subbu- Mini Project EXcel Clean'!A965:A1964,'Subbu- Mini Project EXcel Clean'!D965:D1964,"Entry Level",0)</f>
        <v>62.3</v>
      </c>
      <c r="E965">
        <f>_xlfn.XLOOKUP(A965,'Subbu- Mini Project EXcel Clean'!A965:A1964,'Subbu- Mini Project EXcel Clean'!F965:F1964,"Entry Level",0)</f>
        <v>77.8</v>
      </c>
      <c r="F965">
        <f>_xlfn.XLOOKUP(A965,'Subbu- Mini Project EXcel Clean'!A965:A1964,'Subbu- Mini Project EXcel Clean'!G965:G1964," ",0)</f>
        <v>69.599999999999994</v>
      </c>
      <c r="G965" t="str">
        <f>_xlfn.XLOOKUP(A965,'Subbu- Mini Project EXcel Clean'!A965:A1964,'Subbu- Mini Project EXcel Clean'!H965:H1964," ",0)</f>
        <v>Pass</v>
      </c>
      <c r="H965" t="str">
        <f>VLOOKUP(A965,'Subbu- Mini Project EXcel Clean'!A964:R1964,18,)</f>
        <v>Master</v>
      </c>
    </row>
    <row r="966" spans="1:8" x14ac:dyDescent="0.25">
      <c r="A966" t="s">
        <v>994</v>
      </c>
      <c r="B966">
        <f>VLOOKUP(A966,'Subbu- Mini Project EXcel Clean'!A965:R1965,2,FALSE)</f>
        <v>51.2</v>
      </c>
      <c r="C966">
        <f>VLOOKUP(A966,'Subbu- Mini Project EXcel Clean'!A965:R1965,3,FALSE)</f>
        <v>43.2</v>
      </c>
      <c r="D966">
        <f>_xlfn.XLOOKUP(A966,'Subbu- Mini Project EXcel Clean'!A966:A1965,'Subbu- Mini Project EXcel Clean'!D966:D1965,"Entry Level",0)</f>
        <v>50.9</v>
      </c>
      <c r="E966">
        <f>_xlfn.XLOOKUP(A966,'Subbu- Mini Project EXcel Clean'!A966:A1965,'Subbu- Mini Project EXcel Clean'!F966:F1965,"Entry Level",0)</f>
        <v>64</v>
      </c>
      <c r="F966">
        <f>_xlfn.XLOOKUP(A966,'Subbu- Mini Project EXcel Clean'!A966:A1965,'Subbu- Mini Project EXcel Clean'!G966:G1965," ",0)</f>
        <v>59.95</v>
      </c>
      <c r="G966" t="str">
        <f>_xlfn.XLOOKUP(A966,'Subbu- Mini Project EXcel Clean'!A966:A1965,'Subbu- Mini Project EXcel Clean'!H966:H1965," ",0)</f>
        <v>Pass</v>
      </c>
      <c r="H966" t="str">
        <f>VLOOKUP(A966,'Subbu- Mini Project EXcel Clean'!A965:R1965,18,)</f>
        <v>Master</v>
      </c>
    </row>
    <row r="967" spans="1:8" x14ac:dyDescent="0.25">
      <c r="A967" t="s">
        <v>995</v>
      </c>
      <c r="B967">
        <f>VLOOKUP(A967,'Subbu- Mini Project EXcel Clean'!A966:R1966,2,FALSE)</f>
        <v>60.8</v>
      </c>
      <c r="C967">
        <f>VLOOKUP(A967,'Subbu- Mini Project EXcel Clean'!A966:R1966,3,FALSE)</f>
        <v>58.1</v>
      </c>
      <c r="D967">
        <f>_xlfn.XLOOKUP(A967,'Subbu- Mini Project EXcel Clean'!A967:A1966,'Subbu- Mini Project EXcel Clean'!D967:D1966,"Entry Level",0)</f>
        <v>58.7</v>
      </c>
      <c r="E967">
        <f>_xlfn.XLOOKUP(A967,'Subbu- Mini Project EXcel Clean'!A967:A1966,'Subbu- Mini Project EXcel Clean'!F967:F1966,"Entry Level",0)</f>
        <v>59</v>
      </c>
      <c r="F967">
        <f>_xlfn.XLOOKUP(A967,'Subbu- Mini Project EXcel Clean'!A967:A1966,'Subbu- Mini Project EXcel Clean'!G967:G1966," ",0)</f>
        <v>59.3</v>
      </c>
      <c r="G967" t="str">
        <f>_xlfn.XLOOKUP(A967,'Subbu- Mini Project EXcel Clean'!A967:A1966,'Subbu- Mini Project EXcel Clean'!H967:H1966," ",0)</f>
        <v>Pass</v>
      </c>
      <c r="H967" t="str">
        <f>VLOOKUP(A967,'Subbu- Mini Project EXcel Clean'!A966:R1966,18,)</f>
        <v>Master</v>
      </c>
    </row>
    <row r="968" spans="1:8" x14ac:dyDescent="0.25">
      <c r="A968" t="s">
        <v>996</v>
      </c>
      <c r="B968">
        <f>VLOOKUP(A968,'Subbu- Mini Project EXcel Clean'!A967:R1967,2,FALSE)</f>
        <v>84.4</v>
      </c>
      <c r="C968">
        <f>VLOOKUP(A968,'Subbu- Mini Project EXcel Clean'!A967:R1967,3,FALSE)</f>
        <v>80.8</v>
      </c>
      <c r="D968">
        <f>_xlfn.XLOOKUP(A968,'Subbu- Mini Project EXcel Clean'!A968:A1967,'Subbu- Mini Project EXcel Clean'!D968:D1967,"Entry Level",0)</f>
        <v>68.7</v>
      </c>
      <c r="E968">
        <f>_xlfn.XLOOKUP(A968,'Subbu- Mini Project EXcel Clean'!A968:A1967,'Subbu- Mini Project EXcel Clean'!F968:F1967,"Entry Level",0)</f>
        <v>84.4</v>
      </c>
      <c r="F968">
        <f>_xlfn.XLOOKUP(A968,'Subbu- Mini Project EXcel Clean'!A968:A1967,'Subbu- Mini Project EXcel Clean'!G968:G1967," ",0)</f>
        <v>81.95</v>
      </c>
      <c r="G968" t="str">
        <f>_xlfn.XLOOKUP(A968,'Subbu- Mini Project EXcel Clean'!A968:A1967,'Subbu- Mini Project EXcel Clean'!H968:H1967," ",0)</f>
        <v>Pass</v>
      </c>
      <c r="H968" t="str">
        <f>VLOOKUP(A968,'Subbu- Mini Project EXcel Clean'!A967:R1967,18,)</f>
        <v>High School</v>
      </c>
    </row>
    <row r="969" spans="1:8" x14ac:dyDescent="0.25">
      <c r="A969" t="s">
        <v>997</v>
      </c>
      <c r="B969">
        <f>VLOOKUP(A969,'Subbu- Mini Project EXcel Clean'!A968:R1968,2,FALSE)</f>
        <v>58.8</v>
      </c>
      <c r="C969">
        <f>VLOOKUP(A969,'Subbu- Mini Project EXcel Clean'!A968:R1968,3,FALSE)</f>
        <v>50.6</v>
      </c>
      <c r="D969">
        <f>_xlfn.XLOOKUP(A969,'Subbu- Mini Project EXcel Clean'!A969:A1968,'Subbu- Mini Project EXcel Clean'!D969:D1968,"Entry Level",0)</f>
        <v>57.2</v>
      </c>
      <c r="E969">
        <f>_xlfn.XLOOKUP(A969,'Subbu- Mini Project EXcel Clean'!A969:A1968,'Subbu- Mini Project EXcel Clean'!F969:F1968,"Entry Level",0)</f>
        <v>71.2</v>
      </c>
      <c r="F969">
        <f>_xlfn.XLOOKUP(A969,'Subbu- Mini Project EXcel Clean'!A969:A1968,'Subbu- Mini Project EXcel Clean'!G969:G1968," ",0)</f>
        <v>63.75</v>
      </c>
      <c r="G969" t="str">
        <f>_xlfn.XLOOKUP(A969,'Subbu- Mini Project EXcel Clean'!A969:A1968,'Subbu- Mini Project EXcel Clean'!H969:H1968," ",0)</f>
        <v>Pass</v>
      </c>
      <c r="H969" t="str">
        <f>VLOOKUP(A969,'Subbu- Mini Project EXcel Clean'!A968:R1968,18,)</f>
        <v>Master</v>
      </c>
    </row>
    <row r="970" spans="1:8" x14ac:dyDescent="0.25">
      <c r="A970" t="s">
        <v>998</v>
      </c>
      <c r="B970">
        <f>VLOOKUP(A970,'Subbu- Mini Project EXcel Clean'!A969:R1969,2,FALSE)</f>
        <v>72.099999999999994</v>
      </c>
      <c r="C970">
        <f>VLOOKUP(A970,'Subbu- Mini Project EXcel Clean'!A969:R1969,3,FALSE)</f>
        <v>73.099999999999994</v>
      </c>
      <c r="D970">
        <f>_xlfn.XLOOKUP(A970,'Subbu- Mini Project EXcel Clean'!A970:A1969,'Subbu- Mini Project EXcel Clean'!D970:D1969,"Entry Level",0)</f>
        <v>78.3</v>
      </c>
      <c r="E970">
        <f>_xlfn.XLOOKUP(A970,'Subbu- Mini Project EXcel Clean'!A970:A1969,'Subbu- Mini Project EXcel Clean'!F970:F1969,"Entry Level",0)</f>
        <v>71.8</v>
      </c>
      <c r="F970">
        <f>_xlfn.XLOOKUP(A970,'Subbu- Mini Project EXcel Clean'!A970:A1969,'Subbu- Mini Project EXcel Clean'!G970:G1969," ",0)</f>
        <v>71.5</v>
      </c>
      <c r="G970" t="str">
        <f>_xlfn.XLOOKUP(A970,'Subbu- Mini Project EXcel Clean'!A970:A1969,'Subbu- Mini Project EXcel Clean'!H970:H1969," ",0)</f>
        <v>Pass</v>
      </c>
      <c r="H970" t="str">
        <f>VLOOKUP(A970,'Subbu- Mini Project EXcel Clean'!A969:R1969,18,)</f>
        <v>Master</v>
      </c>
    </row>
    <row r="971" spans="1:8" x14ac:dyDescent="0.25">
      <c r="A971" t="s">
        <v>999</v>
      </c>
      <c r="B971">
        <f>VLOOKUP(A971,'Subbu- Mini Project EXcel Clean'!A970:R1970,2,FALSE)</f>
        <v>71.2</v>
      </c>
      <c r="C971">
        <f>VLOOKUP(A971,'Subbu- Mini Project EXcel Clean'!A970:R1970,3,FALSE)</f>
        <v>65.2</v>
      </c>
      <c r="D971">
        <f>_xlfn.XLOOKUP(A971,'Subbu- Mini Project EXcel Clean'!A971:A1970,'Subbu- Mini Project EXcel Clean'!D971:D1970,"Entry Level",0)</f>
        <v>58.8</v>
      </c>
      <c r="E971">
        <f>_xlfn.XLOOKUP(A971,'Subbu- Mini Project EXcel Clean'!A971:A1970,'Subbu- Mini Project EXcel Clean'!F971:F1970,"Entry Level",0)</f>
        <v>77.400000000000006</v>
      </c>
      <c r="F971">
        <f>_xlfn.XLOOKUP(A971,'Subbu- Mini Project EXcel Clean'!A971:A1970,'Subbu- Mini Project EXcel Clean'!G971:G1970," ",0)</f>
        <v>71.8</v>
      </c>
      <c r="G971" t="str">
        <f>_xlfn.XLOOKUP(A971,'Subbu- Mini Project EXcel Clean'!A971:A1970,'Subbu- Mini Project EXcel Clean'!H971:H1970," ",0)</f>
        <v>Pass</v>
      </c>
      <c r="H971" t="str">
        <f>VLOOKUP(A971,'Subbu- Mini Project EXcel Clean'!A970:R1970,18,)</f>
        <v>High School</v>
      </c>
    </row>
    <row r="972" spans="1:8" x14ac:dyDescent="0.25">
      <c r="A972" t="s">
        <v>1000</v>
      </c>
      <c r="B972">
        <f>VLOOKUP(A972,'Subbu- Mini Project EXcel Clean'!A971:R1971,2,FALSE)</f>
        <v>63</v>
      </c>
      <c r="C972">
        <f>VLOOKUP(A972,'Subbu- Mini Project EXcel Clean'!A971:R1971,3,FALSE)</f>
        <v>85.3</v>
      </c>
      <c r="D972">
        <f>_xlfn.XLOOKUP(A972,'Subbu- Mini Project EXcel Clean'!A972:A1971,'Subbu- Mini Project EXcel Clean'!D972:D1971,"Entry Level",0)</f>
        <v>73.599999999999994</v>
      </c>
      <c r="E972">
        <f>_xlfn.XLOOKUP(A972,'Subbu- Mini Project EXcel Clean'!A972:A1971,'Subbu- Mini Project EXcel Clean'!F972:F1971,"Entry Level",0)</f>
        <v>75.8</v>
      </c>
      <c r="F972">
        <f>_xlfn.XLOOKUP(A972,'Subbu- Mini Project EXcel Clean'!A972:A1971,'Subbu- Mini Project EXcel Clean'!G972:G1971," ",0)</f>
        <v>76.150000000000006</v>
      </c>
      <c r="G972" t="str">
        <f>_xlfn.XLOOKUP(A972,'Subbu- Mini Project EXcel Clean'!A972:A1971,'Subbu- Mini Project EXcel Clean'!H972:H1971," ",0)</f>
        <v>Pass</v>
      </c>
      <c r="H972" t="str">
        <f>VLOOKUP(A972,'Subbu- Mini Project EXcel Clean'!A971:R1971,18,)</f>
        <v>High School</v>
      </c>
    </row>
    <row r="973" spans="1:8" x14ac:dyDescent="0.25">
      <c r="A973" t="s">
        <v>1001</v>
      </c>
      <c r="B973">
        <f>VLOOKUP(A973,'Subbu- Mini Project EXcel Clean'!A972:R1972,2,FALSE)</f>
        <v>94.9</v>
      </c>
      <c r="C973">
        <f>VLOOKUP(A973,'Subbu- Mini Project EXcel Clean'!A972:R1972,3,FALSE)</f>
        <v>99.4</v>
      </c>
      <c r="D973">
        <f>_xlfn.XLOOKUP(A973,'Subbu- Mini Project EXcel Clean'!A973:A1972,'Subbu- Mini Project EXcel Clean'!D973:D1972,"Entry Level",0)</f>
        <v>93.2</v>
      </c>
      <c r="E973">
        <f>_xlfn.XLOOKUP(A973,'Subbu- Mini Project EXcel Clean'!A973:A1972,'Subbu- Mini Project EXcel Clean'!F973:F1972,"Entry Level",0)</f>
        <v>92.7</v>
      </c>
      <c r="F973">
        <f>_xlfn.XLOOKUP(A973,'Subbu- Mini Project EXcel Clean'!A973:A1972,'Subbu- Mini Project EXcel Clean'!G973:G1972," ",0)</f>
        <v>92.1</v>
      </c>
      <c r="G973" t="str">
        <f>_xlfn.XLOOKUP(A973,'Subbu- Mini Project EXcel Clean'!A973:A1972,'Subbu- Mini Project EXcel Clean'!H973:H1972," ",0)</f>
        <v>Pass</v>
      </c>
      <c r="H973" t="str">
        <f>VLOOKUP(A973,'Subbu- Mini Project EXcel Clean'!A972:R1972,18,)</f>
        <v>Master</v>
      </c>
    </row>
    <row r="974" spans="1:8" x14ac:dyDescent="0.25">
      <c r="A974" t="s">
        <v>1002</v>
      </c>
      <c r="B974">
        <f>VLOOKUP(A974,'Subbu- Mini Project EXcel Clean'!A973:R1973,2,FALSE)</f>
        <v>77</v>
      </c>
      <c r="C974">
        <f>VLOOKUP(A974,'Subbu- Mini Project EXcel Clean'!A973:R1973,3,FALSE)</f>
        <v>78</v>
      </c>
      <c r="D974">
        <f>_xlfn.XLOOKUP(A974,'Subbu- Mini Project EXcel Clean'!A974:A1973,'Subbu- Mini Project EXcel Clean'!D974:D1973,"Entry Level",0)</f>
        <v>86.6</v>
      </c>
      <c r="E974">
        <f>_xlfn.XLOOKUP(A974,'Subbu- Mini Project EXcel Clean'!A974:A1973,'Subbu- Mini Project EXcel Clean'!F974:F1973,"Entry Level",0)</f>
        <v>86.4</v>
      </c>
      <c r="F974">
        <f>_xlfn.XLOOKUP(A974,'Subbu- Mini Project EXcel Clean'!A974:A1973,'Subbu- Mini Project EXcel Clean'!G974:G1973," ",0)</f>
        <v>83.35</v>
      </c>
      <c r="G974" t="str">
        <f>_xlfn.XLOOKUP(A974,'Subbu- Mini Project EXcel Clean'!A974:A1973,'Subbu- Mini Project EXcel Clean'!H974:H1973," ",0)</f>
        <v>Pass</v>
      </c>
      <c r="H974" t="str">
        <f>VLOOKUP(A974,'Subbu- Mini Project EXcel Clean'!A973:R1973,18,)</f>
        <v>Bachelor</v>
      </c>
    </row>
    <row r="975" spans="1:8" x14ac:dyDescent="0.25">
      <c r="A975" t="s">
        <v>1003</v>
      </c>
      <c r="B975">
        <f>VLOOKUP(A975,'Subbu- Mini Project EXcel Clean'!A974:R1974,2,FALSE)</f>
        <v>42.7</v>
      </c>
      <c r="C975">
        <f>VLOOKUP(A975,'Subbu- Mini Project EXcel Clean'!A974:R1974,3,FALSE)</f>
        <v>51.1</v>
      </c>
      <c r="D975">
        <f>_xlfn.XLOOKUP(A975,'Subbu- Mini Project EXcel Clean'!A975:A1974,'Subbu- Mini Project EXcel Clean'!D975:D1974,"Entry Level",0)</f>
        <v>49.6</v>
      </c>
      <c r="E975">
        <f>_xlfn.XLOOKUP(A975,'Subbu- Mini Project EXcel Clean'!A975:A1974,'Subbu- Mini Project EXcel Clean'!F975:F1974,"Entry Level",0)</f>
        <v>53.8</v>
      </c>
      <c r="F975">
        <f>_xlfn.XLOOKUP(A975,'Subbu- Mini Project EXcel Clean'!A975:A1974,'Subbu- Mini Project EXcel Clean'!G975:G1974," ",0)</f>
        <v>52.8</v>
      </c>
      <c r="G975" t="str">
        <f>_xlfn.XLOOKUP(A975,'Subbu- Mini Project EXcel Clean'!A975:A1974,'Subbu- Mini Project EXcel Clean'!H975:H1974," ",0)</f>
        <v>Pass</v>
      </c>
      <c r="H975" t="str">
        <f>VLOOKUP(A975,'Subbu- Mini Project EXcel Clean'!A974:R1974,18,)</f>
        <v>High School</v>
      </c>
    </row>
    <row r="976" spans="1:8" x14ac:dyDescent="0.25">
      <c r="A976" t="s">
        <v>1004</v>
      </c>
      <c r="B976">
        <f>VLOOKUP(A976,'Subbu- Mini Project EXcel Clean'!A975:R1975,2,FALSE)</f>
        <v>44.3</v>
      </c>
      <c r="C976">
        <f>VLOOKUP(A976,'Subbu- Mini Project EXcel Clean'!A975:R1975,3,FALSE)</f>
        <v>41.3</v>
      </c>
      <c r="D976">
        <f>_xlfn.XLOOKUP(A976,'Subbu- Mini Project EXcel Clean'!A976:A1975,'Subbu- Mini Project EXcel Clean'!D976:D1975,"Entry Level",0)</f>
        <v>38.299999999999997</v>
      </c>
      <c r="E976">
        <f>_xlfn.XLOOKUP(A976,'Subbu- Mini Project EXcel Clean'!A976:A1975,'Subbu- Mini Project EXcel Clean'!F976:F1975,"Entry Level",0)</f>
        <v>61.2</v>
      </c>
      <c r="F976">
        <f>_xlfn.XLOOKUP(A976,'Subbu- Mini Project EXcel Clean'!A976:A1975,'Subbu- Mini Project EXcel Clean'!G976:G1975," ",0)</f>
        <v>51.45</v>
      </c>
      <c r="G976" t="str">
        <f>_xlfn.XLOOKUP(A976,'Subbu- Mini Project EXcel Clean'!A976:A1975,'Subbu- Mini Project EXcel Clean'!H976:H1975," ",0)</f>
        <v>Pass</v>
      </c>
      <c r="H976" t="str">
        <f>VLOOKUP(A976,'Subbu- Mini Project EXcel Clean'!A975:R1975,18,)</f>
        <v>Bachelor</v>
      </c>
    </row>
    <row r="977" spans="1:8" x14ac:dyDescent="0.25">
      <c r="A977" t="s">
        <v>1005</v>
      </c>
      <c r="B977">
        <f>VLOOKUP(A977,'Subbu- Mini Project EXcel Clean'!A976:R1976,2,FALSE)</f>
        <v>61.3</v>
      </c>
      <c r="C977">
        <f>VLOOKUP(A977,'Subbu- Mini Project EXcel Clean'!A976:R1976,3,FALSE)</f>
        <v>52.2</v>
      </c>
      <c r="D977">
        <f>_xlfn.XLOOKUP(A977,'Subbu- Mini Project EXcel Clean'!A977:A1976,'Subbu- Mini Project EXcel Clean'!D977:D1976,"Entry Level",0)</f>
        <v>44.6</v>
      </c>
      <c r="E977">
        <f>_xlfn.XLOOKUP(A977,'Subbu- Mini Project EXcel Clean'!A977:A1976,'Subbu- Mini Project EXcel Clean'!F977:F1976,"Entry Level",0)</f>
        <v>62.9</v>
      </c>
      <c r="F977">
        <f>_xlfn.XLOOKUP(A977,'Subbu- Mini Project EXcel Clean'!A977:A1976,'Subbu- Mini Project EXcel Clean'!G977:G1976," ",0)</f>
        <v>58.65</v>
      </c>
      <c r="G977" t="str">
        <f>_xlfn.XLOOKUP(A977,'Subbu- Mini Project EXcel Clean'!A977:A1976,'Subbu- Mini Project EXcel Clean'!H977:H1976," ",0)</f>
        <v>Pass</v>
      </c>
      <c r="H977" t="str">
        <f>VLOOKUP(A977,'Subbu- Mini Project EXcel Clean'!A976:R1976,18,)</f>
        <v>Bachelor</v>
      </c>
    </row>
    <row r="978" spans="1:8" x14ac:dyDescent="0.25">
      <c r="A978" t="s">
        <v>1006</v>
      </c>
      <c r="B978">
        <f>VLOOKUP(A978,'Subbu- Mini Project EXcel Clean'!A977:R1977,2,FALSE)</f>
        <v>72</v>
      </c>
      <c r="C978">
        <f>VLOOKUP(A978,'Subbu- Mini Project EXcel Clean'!A977:R1977,3,FALSE)</f>
        <v>73.7</v>
      </c>
      <c r="D978">
        <f>_xlfn.XLOOKUP(A978,'Subbu- Mini Project EXcel Clean'!A978:A1977,'Subbu- Mini Project EXcel Clean'!D978:D1977,"Entry Level",0)</f>
        <v>73.2</v>
      </c>
      <c r="E978">
        <f>_xlfn.XLOOKUP(A978,'Subbu- Mini Project EXcel Clean'!A978:A1977,'Subbu- Mini Project EXcel Clean'!F978:F1977,"Entry Level",0)</f>
        <v>68.099999999999994</v>
      </c>
      <c r="F978">
        <f>_xlfn.XLOOKUP(A978,'Subbu- Mini Project EXcel Clean'!A978:A1977,'Subbu- Mini Project EXcel Clean'!G978:G1977," ",0)</f>
        <v>70.400000000000006</v>
      </c>
      <c r="G978" t="str">
        <f>_xlfn.XLOOKUP(A978,'Subbu- Mini Project EXcel Clean'!A978:A1977,'Subbu- Mini Project EXcel Clean'!H978:H1977," ",0)</f>
        <v>Pass</v>
      </c>
      <c r="H978" t="str">
        <f>VLOOKUP(A978,'Subbu- Mini Project EXcel Clean'!A977:R1977,18,)</f>
        <v>Bachelor</v>
      </c>
    </row>
    <row r="979" spans="1:8" x14ac:dyDescent="0.25">
      <c r="A979" t="s">
        <v>1007</v>
      </c>
      <c r="B979">
        <f>VLOOKUP(A979,'Subbu- Mini Project EXcel Clean'!A978:R1978,2,FALSE)</f>
        <v>47.6</v>
      </c>
      <c r="C979">
        <f>VLOOKUP(A979,'Subbu- Mini Project EXcel Clean'!A978:R1978,3,FALSE)</f>
        <v>39</v>
      </c>
      <c r="D979">
        <f>_xlfn.XLOOKUP(A979,'Subbu- Mini Project EXcel Clean'!A979:A1978,'Subbu- Mini Project EXcel Clean'!D979:D1978,"Entry Level",0)</f>
        <v>53</v>
      </c>
      <c r="E979">
        <f>_xlfn.XLOOKUP(A979,'Subbu- Mini Project EXcel Clean'!A979:A1978,'Subbu- Mini Project EXcel Clean'!F979:F1978,"Entry Level",0)</f>
        <v>51.6</v>
      </c>
      <c r="F979">
        <f>_xlfn.XLOOKUP(A979,'Subbu- Mini Project EXcel Clean'!A979:A1978,'Subbu- Mini Project EXcel Clean'!G979:G1978," ",0)</f>
        <v>47.2</v>
      </c>
      <c r="G979" t="str">
        <f>_xlfn.XLOOKUP(A979,'Subbu- Mini Project EXcel Clean'!A979:A1978,'Subbu- Mini Project EXcel Clean'!H979:H1978," ",0)</f>
        <v>Fail</v>
      </c>
      <c r="H979" t="str">
        <f>VLOOKUP(A979,'Subbu- Mini Project EXcel Clean'!A978:R1978,18,)</f>
        <v>Bachelor</v>
      </c>
    </row>
    <row r="980" spans="1:8" x14ac:dyDescent="0.25">
      <c r="A980" t="s">
        <v>1008</v>
      </c>
      <c r="B980">
        <f>VLOOKUP(A980,'Subbu- Mini Project EXcel Clean'!A979:R1979,2,FALSE)</f>
        <v>75.400000000000006</v>
      </c>
      <c r="C980">
        <f>VLOOKUP(A980,'Subbu- Mini Project EXcel Clean'!A979:R1979,3,FALSE)</f>
        <v>61.6</v>
      </c>
      <c r="D980">
        <f>_xlfn.XLOOKUP(A980,'Subbu- Mini Project EXcel Clean'!A980:A1979,'Subbu- Mini Project EXcel Clean'!D980:D1979,"Entry Level",0)</f>
        <v>68.7</v>
      </c>
      <c r="E980">
        <f>_xlfn.XLOOKUP(A980,'Subbu- Mini Project EXcel Clean'!A980:A1979,'Subbu- Mini Project EXcel Clean'!F980:F1979,"Entry Level",0)</f>
        <v>74</v>
      </c>
      <c r="F980">
        <f>_xlfn.XLOOKUP(A980,'Subbu- Mini Project EXcel Clean'!A980:A1979,'Subbu- Mini Project EXcel Clean'!G980:G1979," ",0)</f>
        <v>70.650000000000006</v>
      </c>
      <c r="G980" t="str">
        <f>_xlfn.XLOOKUP(A980,'Subbu- Mini Project EXcel Clean'!A980:A1979,'Subbu- Mini Project EXcel Clean'!H980:H1979," ",0)</f>
        <v>Pass</v>
      </c>
      <c r="H980" t="str">
        <f>VLOOKUP(A980,'Subbu- Mini Project EXcel Clean'!A979:R1979,18,)</f>
        <v>High School</v>
      </c>
    </row>
    <row r="981" spans="1:8" x14ac:dyDescent="0.25">
      <c r="A981" t="s">
        <v>1009</v>
      </c>
      <c r="B981">
        <f>VLOOKUP(A981,'Subbu- Mini Project EXcel Clean'!A980:R1980,2,FALSE)</f>
        <v>79.400000000000006</v>
      </c>
      <c r="C981">
        <f>VLOOKUP(A981,'Subbu- Mini Project EXcel Clean'!A980:R1980,3,FALSE)</f>
        <v>75.900000000000006</v>
      </c>
      <c r="D981">
        <f>_xlfn.XLOOKUP(A981,'Subbu- Mini Project EXcel Clean'!A981:A1980,'Subbu- Mini Project EXcel Clean'!D981:D1980,"Entry Level",0)</f>
        <v>72.7</v>
      </c>
      <c r="E981">
        <f>_xlfn.XLOOKUP(A981,'Subbu- Mini Project EXcel Clean'!A981:A1980,'Subbu- Mini Project EXcel Clean'!F981:F1980,"Entry Level",0)</f>
        <v>79.5</v>
      </c>
      <c r="F981">
        <f>_xlfn.XLOOKUP(A981,'Subbu- Mini Project EXcel Clean'!A981:A1980,'Subbu- Mini Project EXcel Clean'!G981:G1980," ",0)</f>
        <v>76.150000000000006</v>
      </c>
      <c r="G981" t="str">
        <f>_xlfn.XLOOKUP(A981,'Subbu- Mini Project EXcel Clean'!A981:A1980,'Subbu- Mini Project EXcel Clean'!H981:H1980," ",0)</f>
        <v>Pass</v>
      </c>
      <c r="H981" t="str">
        <f>VLOOKUP(A981,'Subbu- Mini Project EXcel Clean'!A980:R1980,18,)</f>
        <v>Master</v>
      </c>
    </row>
    <row r="982" spans="1:8" x14ac:dyDescent="0.25">
      <c r="A982" t="s">
        <v>1010</v>
      </c>
      <c r="B982">
        <f>VLOOKUP(A982,'Subbu- Mini Project EXcel Clean'!A981:R1981,2,FALSE)</f>
        <v>66.599999999999994</v>
      </c>
      <c r="C982">
        <f>VLOOKUP(A982,'Subbu- Mini Project EXcel Clean'!A981:R1981,3,FALSE)</f>
        <v>61.5</v>
      </c>
      <c r="D982">
        <f>_xlfn.XLOOKUP(A982,'Subbu- Mini Project EXcel Clean'!A982:A1981,'Subbu- Mini Project EXcel Clean'!D982:D1981,"Entry Level",0)</f>
        <v>60</v>
      </c>
      <c r="E982">
        <f>_xlfn.XLOOKUP(A982,'Subbu- Mini Project EXcel Clean'!A982:A1981,'Subbu- Mini Project EXcel Clean'!F982:F1981,"Entry Level",0)</f>
        <v>58</v>
      </c>
      <c r="F982">
        <f>_xlfn.XLOOKUP(A982,'Subbu- Mini Project EXcel Clean'!A982:A1981,'Subbu- Mini Project EXcel Clean'!G982:G1981," ",0)</f>
        <v>58.2</v>
      </c>
      <c r="G982" t="str">
        <f>_xlfn.XLOOKUP(A982,'Subbu- Mini Project EXcel Clean'!A982:A1981,'Subbu- Mini Project EXcel Clean'!H982:H1981," ",0)</f>
        <v>Pass</v>
      </c>
      <c r="H982" t="str">
        <f>VLOOKUP(A982,'Subbu- Mini Project EXcel Clean'!A981:R1981,18,)</f>
        <v>Master</v>
      </c>
    </row>
    <row r="983" spans="1:8" x14ac:dyDescent="0.25">
      <c r="A983" t="s">
        <v>1011</v>
      </c>
      <c r="B983">
        <f>VLOOKUP(A983,'Subbu- Mini Project EXcel Clean'!A982:R1982,2,FALSE)</f>
        <v>86.1</v>
      </c>
      <c r="C983">
        <f>VLOOKUP(A983,'Subbu- Mini Project EXcel Clean'!A982:R1982,3,FALSE)</f>
        <v>78.400000000000006</v>
      </c>
      <c r="D983">
        <f>_xlfn.XLOOKUP(A983,'Subbu- Mini Project EXcel Clean'!A983:A1982,'Subbu- Mini Project EXcel Clean'!D983:D1982,"Entry Level",0)</f>
        <v>82.3</v>
      </c>
      <c r="E983">
        <f>_xlfn.XLOOKUP(A983,'Subbu- Mini Project EXcel Clean'!A983:A1982,'Subbu- Mini Project EXcel Clean'!F983:F1982,"Entry Level",0)</f>
        <v>70.2</v>
      </c>
      <c r="F983">
        <f>_xlfn.XLOOKUP(A983,'Subbu- Mini Project EXcel Clean'!A983:A1982,'Subbu- Mini Project EXcel Clean'!G983:G1982," ",0)</f>
        <v>76.3</v>
      </c>
      <c r="G983" t="str">
        <f>_xlfn.XLOOKUP(A983,'Subbu- Mini Project EXcel Clean'!A983:A1982,'Subbu- Mini Project EXcel Clean'!H983:H1982," ",0)</f>
        <v>Pass</v>
      </c>
      <c r="H983" t="str">
        <f>VLOOKUP(A983,'Subbu- Mini Project EXcel Clean'!A982:R1982,18,)</f>
        <v>High School</v>
      </c>
    </row>
    <row r="984" spans="1:8" x14ac:dyDescent="0.25">
      <c r="A984" t="s">
        <v>1012</v>
      </c>
      <c r="B984">
        <f>VLOOKUP(A984,'Subbu- Mini Project EXcel Clean'!A983:R1983,2,FALSE)</f>
        <v>46.2</v>
      </c>
      <c r="C984">
        <f>VLOOKUP(A984,'Subbu- Mini Project EXcel Clean'!A983:R1983,3,FALSE)</f>
        <v>50.3</v>
      </c>
      <c r="D984">
        <f>_xlfn.XLOOKUP(A984,'Subbu- Mini Project EXcel Clean'!A984:A1983,'Subbu- Mini Project EXcel Clean'!D984:D1983,"Entry Level",0)</f>
        <v>41.8</v>
      </c>
      <c r="E984">
        <f>_xlfn.XLOOKUP(A984,'Subbu- Mini Project EXcel Clean'!A984:A1983,'Subbu- Mini Project EXcel Clean'!F984:F1983,"Entry Level",0)</f>
        <v>44</v>
      </c>
      <c r="F984">
        <f>_xlfn.XLOOKUP(A984,'Subbu- Mini Project EXcel Clean'!A984:A1983,'Subbu- Mini Project EXcel Clean'!G984:G1983," ",0)</f>
        <v>44.95</v>
      </c>
      <c r="G984" t="str">
        <f>_xlfn.XLOOKUP(A984,'Subbu- Mini Project EXcel Clean'!A984:A1983,'Subbu- Mini Project EXcel Clean'!H984:H1983," ",0)</f>
        <v>Fail</v>
      </c>
      <c r="H984" t="str">
        <f>VLOOKUP(A984,'Subbu- Mini Project EXcel Clean'!A983:R1983,18,)</f>
        <v>High School</v>
      </c>
    </row>
    <row r="985" spans="1:8" x14ac:dyDescent="0.25">
      <c r="A985" t="s">
        <v>1013</v>
      </c>
      <c r="B985">
        <f>VLOOKUP(A985,'Subbu- Mini Project EXcel Clean'!A984:R1984,2,FALSE)</f>
        <v>36.1</v>
      </c>
      <c r="C985">
        <f>VLOOKUP(A985,'Subbu- Mini Project EXcel Clean'!A984:R1984,3,FALSE)</f>
        <v>41</v>
      </c>
      <c r="D985">
        <f>_xlfn.XLOOKUP(A985,'Subbu- Mini Project EXcel Clean'!A985:A1984,'Subbu- Mini Project EXcel Clean'!D985:D1984,"Entry Level",0)</f>
        <v>48.2</v>
      </c>
      <c r="E985">
        <f>_xlfn.XLOOKUP(A985,'Subbu- Mini Project EXcel Clean'!A985:A1984,'Subbu- Mini Project EXcel Clean'!F985:F1984,"Entry Level",0)</f>
        <v>58.6</v>
      </c>
      <c r="F985">
        <f>_xlfn.XLOOKUP(A985,'Subbu- Mini Project EXcel Clean'!A985:A1984,'Subbu- Mini Project EXcel Clean'!G985:G1984," ",0)</f>
        <v>51.35</v>
      </c>
      <c r="G985" t="str">
        <f>_xlfn.XLOOKUP(A985,'Subbu- Mini Project EXcel Clean'!A985:A1984,'Subbu- Mini Project EXcel Clean'!H985:H1984," ",0)</f>
        <v>Pass</v>
      </c>
      <c r="H985" t="str">
        <f>VLOOKUP(A985,'Subbu- Mini Project EXcel Clean'!A984:R1984,18,)</f>
        <v>Bachelor</v>
      </c>
    </row>
    <row r="986" spans="1:8" x14ac:dyDescent="0.25">
      <c r="A986" t="s">
        <v>1014</v>
      </c>
      <c r="B986">
        <f>VLOOKUP(A986,'Subbu- Mini Project EXcel Clean'!A985:R1985,2,FALSE)</f>
        <v>78.8</v>
      </c>
      <c r="C986">
        <f>VLOOKUP(A986,'Subbu- Mini Project EXcel Clean'!A985:R1985,3,FALSE)</f>
        <v>81.3</v>
      </c>
      <c r="D986">
        <f>_xlfn.XLOOKUP(A986,'Subbu- Mini Project EXcel Clean'!A986:A1985,'Subbu- Mini Project EXcel Clean'!D986:D1985,"Entry Level",0)</f>
        <v>81.2</v>
      </c>
      <c r="E986">
        <f>_xlfn.XLOOKUP(A986,'Subbu- Mini Project EXcel Clean'!A986:A1985,'Subbu- Mini Project EXcel Clean'!F986:F1985,"Entry Level",0)</f>
        <v>66.2</v>
      </c>
      <c r="F986">
        <f>_xlfn.XLOOKUP(A986,'Subbu- Mini Project EXcel Clean'!A986:A1985,'Subbu- Mini Project EXcel Clean'!G986:G1985," ",0)</f>
        <v>73.150000000000006</v>
      </c>
      <c r="G986" t="str">
        <f>_xlfn.XLOOKUP(A986,'Subbu- Mini Project EXcel Clean'!A986:A1985,'Subbu- Mini Project EXcel Clean'!H986:H1985," ",0)</f>
        <v>Pass</v>
      </c>
      <c r="H986" t="str">
        <f>VLOOKUP(A986,'Subbu- Mini Project EXcel Clean'!A985:R1985,18,)</f>
        <v>Bachelor</v>
      </c>
    </row>
    <row r="987" spans="1:8" x14ac:dyDescent="0.25">
      <c r="A987" t="s">
        <v>1015</v>
      </c>
      <c r="B987">
        <f>VLOOKUP(A987,'Subbu- Mini Project EXcel Clean'!A986:R1986,2,FALSE)</f>
        <v>63</v>
      </c>
      <c r="C987">
        <f>VLOOKUP(A987,'Subbu- Mini Project EXcel Clean'!A986:R1986,3,FALSE)</f>
        <v>71.400000000000006</v>
      </c>
      <c r="D987">
        <f>_xlfn.XLOOKUP(A987,'Subbu- Mini Project EXcel Clean'!A987:A1986,'Subbu- Mini Project EXcel Clean'!D987:D1986,"Entry Level",0)</f>
        <v>67.3</v>
      </c>
      <c r="E987">
        <f>_xlfn.XLOOKUP(A987,'Subbu- Mini Project EXcel Clean'!A987:A1986,'Subbu- Mini Project EXcel Clean'!F987:F1986,"Entry Level",0)</f>
        <v>64.900000000000006</v>
      </c>
      <c r="F987">
        <f>_xlfn.XLOOKUP(A987,'Subbu- Mini Project EXcel Clean'!A987:A1986,'Subbu- Mini Project EXcel Clean'!G987:G1986," ",0)</f>
        <v>66.099999999999994</v>
      </c>
      <c r="G987" t="str">
        <f>_xlfn.XLOOKUP(A987,'Subbu- Mini Project EXcel Clean'!A987:A1986,'Subbu- Mini Project EXcel Clean'!H987:H1986," ",0)</f>
        <v>Pass</v>
      </c>
      <c r="H987" t="str">
        <f>VLOOKUP(A987,'Subbu- Mini Project EXcel Clean'!A986:R1986,18,)</f>
        <v>High School</v>
      </c>
    </row>
    <row r="988" spans="1:8" x14ac:dyDescent="0.25">
      <c r="A988" t="s">
        <v>1016</v>
      </c>
      <c r="B988">
        <f>VLOOKUP(A988,'Subbu- Mini Project EXcel Clean'!A987:R1987,2,FALSE)</f>
        <v>88.7</v>
      </c>
      <c r="C988">
        <f>VLOOKUP(A988,'Subbu- Mini Project EXcel Clean'!A987:R1987,3,FALSE)</f>
        <v>77.7</v>
      </c>
      <c r="D988">
        <f>_xlfn.XLOOKUP(A988,'Subbu- Mini Project EXcel Clean'!A988:A1987,'Subbu- Mini Project EXcel Clean'!D988:D1987,"Entry Level",0)</f>
        <v>73</v>
      </c>
      <c r="E988">
        <f>_xlfn.XLOOKUP(A988,'Subbu- Mini Project EXcel Clean'!A988:A1987,'Subbu- Mini Project EXcel Clean'!F988:F1987,"Entry Level",0)</f>
        <v>83.5</v>
      </c>
      <c r="F988">
        <f>_xlfn.XLOOKUP(A988,'Subbu- Mini Project EXcel Clean'!A988:A1987,'Subbu- Mini Project EXcel Clean'!G988:G1987," ",0)</f>
        <v>80.7</v>
      </c>
      <c r="G988" t="str">
        <f>_xlfn.XLOOKUP(A988,'Subbu- Mini Project EXcel Clean'!A988:A1987,'Subbu- Mini Project EXcel Clean'!H988:H1987," ",0)</f>
        <v>Pass</v>
      </c>
      <c r="H988" t="str">
        <f>VLOOKUP(A988,'Subbu- Mini Project EXcel Clean'!A987:R1987,18,)</f>
        <v>Master</v>
      </c>
    </row>
    <row r="989" spans="1:8" x14ac:dyDescent="0.25">
      <c r="A989" t="s">
        <v>1017</v>
      </c>
      <c r="B989">
        <f>VLOOKUP(A989,'Subbu- Mini Project EXcel Clean'!A988:R1988,2,FALSE)</f>
        <v>63</v>
      </c>
      <c r="C989">
        <f>VLOOKUP(A989,'Subbu- Mini Project EXcel Clean'!A988:R1988,3,FALSE)</f>
        <v>66.2</v>
      </c>
      <c r="D989">
        <f>_xlfn.XLOOKUP(A989,'Subbu- Mini Project EXcel Clean'!A989:A1988,'Subbu- Mini Project EXcel Clean'!D989:D1988,"Entry Level",0)</f>
        <v>70.400000000000006</v>
      </c>
      <c r="E989">
        <f>_xlfn.XLOOKUP(A989,'Subbu- Mini Project EXcel Clean'!A989:A1988,'Subbu- Mini Project EXcel Clean'!F989:F1988,"Entry Level",0)</f>
        <v>64.900000000000006</v>
      </c>
      <c r="F989">
        <f>_xlfn.XLOOKUP(A989,'Subbu- Mini Project EXcel Clean'!A989:A1988,'Subbu- Mini Project EXcel Clean'!G989:G1988," ",0)</f>
        <v>64.400000000000006</v>
      </c>
      <c r="G989" t="str">
        <f>_xlfn.XLOOKUP(A989,'Subbu- Mini Project EXcel Clean'!A989:A1988,'Subbu- Mini Project EXcel Clean'!H989:H1988," ",0)</f>
        <v>Pass</v>
      </c>
      <c r="H989" t="str">
        <f>VLOOKUP(A989,'Subbu- Mini Project EXcel Clean'!A988:R1988,18,)</f>
        <v>Bachelor</v>
      </c>
    </row>
    <row r="990" spans="1:8" x14ac:dyDescent="0.25">
      <c r="A990" t="s">
        <v>1018</v>
      </c>
      <c r="B990">
        <f>VLOOKUP(A990,'Subbu- Mini Project EXcel Clean'!A989:R1989,2,FALSE)</f>
        <v>54.2</v>
      </c>
      <c r="C990">
        <f>VLOOKUP(A990,'Subbu- Mini Project EXcel Clean'!A989:R1989,3,FALSE)</f>
        <v>51</v>
      </c>
      <c r="D990">
        <f>_xlfn.XLOOKUP(A990,'Subbu- Mini Project EXcel Clean'!A990:A1989,'Subbu- Mini Project EXcel Clean'!D990:D1989,"Entry Level",0)</f>
        <v>56.9</v>
      </c>
      <c r="E990">
        <f>_xlfn.XLOOKUP(A990,'Subbu- Mini Project EXcel Clean'!A990:A1989,'Subbu- Mini Project EXcel Clean'!F990:F1989,"Entry Level",0)</f>
        <v>65.400000000000006</v>
      </c>
      <c r="F990">
        <f>_xlfn.XLOOKUP(A990,'Subbu- Mini Project EXcel Clean'!A990:A1989,'Subbu- Mini Project EXcel Clean'!G990:G1989," ",0)</f>
        <v>59.5</v>
      </c>
      <c r="G990" t="str">
        <f>_xlfn.XLOOKUP(A990,'Subbu- Mini Project EXcel Clean'!A990:A1989,'Subbu- Mini Project EXcel Clean'!H990:H1989," ",0)</f>
        <v>Pass</v>
      </c>
      <c r="H990" t="str">
        <f>VLOOKUP(A990,'Subbu- Mini Project EXcel Clean'!A989:R1989,18,)</f>
        <v>High School</v>
      </c>
    </row>
    <row r="991" spans="1:8" x14ac:dyDescent="0.25">
      <c r="A991" t="s">
        <v>1019</v>
      </c>
      <c r="B991">
        <f>VLOOKUP(A991,'Subbu- Mini Project EXcel Clean'!A990:R1990,2,FALSE)</f>
        <v>87.8</v>
      </c>
      <c r="C991">
        <f>VLOOKUP(A991,'Subbu- Mini Project EXcel Clean'!A990:R1990,3,FALSE)</f>
        <v>84.1</v>
      </c>
      <c r="D991">
        <f>_xlfn.XLOOKUP(A991,'Subbu- Mini Project EXcel Clean'!A991:A1990,'Subbu- Mini Project EXcel Clean'!D991:D1990,"Entry Level",0)</f>
        <v>82.3</v>
      </c>
      <c r="E991">
        <f>_xlfn.XLOOKUP(A991,'Subbu- Mini Project EXcel Clean'!A991:A1990,'Subbu- Mini Project EXcel Clean'!F991:F1990,"Entry Level",0)</f>
        <v>79.400000000000006</v>
      </c>
      <c r="F991">
        <f>_xlfn.XLOOKUP(A991,'Subbu- Mini Project EXcel Clean'!A991:A1990,'Subbu- Mini Project EXcel Clean'!G991:G1990," ",0)</f>
        <v>82.25</v>
      </c>
      <c r="G991" t="str">
        <f>_xlfn.XLOOKUP(A991,'Subbu- Mini Project EXcel Clean'!A991:A1990,'Subbu- Mini Project EXcel Clean'!H991:H1990," ",0)</f>
        <v>Pass</v>
      </c>
      <c r="H991" t="str">
        <f>VLOOKUP(A991,'Subbu- Mini Project EXcel Clean'!A990:R1990,18,)</f>
        <v>High School</v>
      </c>
    </row>
    <row r="992" spans="1:8" x14ac:dyDescent="0.25">
      <c r="A992" t="s">
        <v>1020</v>
      </c>
      <c r="B992">
        <f>VLOOKUP(A992,'Subbu- Mini Project EXcel Clean'!A991:R1991,2,FALSE)</f>
        <v>84.2</v>
      </c>
      <c r="C992">
        <f>VLOOKUP(A992,'Subbu- Mini Project EXcel Clean'!A991:R1991,3,FALSE)</f>
        <v>82.9</v>
      </c>
      <c r="D992">
        <f>_xlfn.XLOOKUP(A992,'Subbu- Mini Project EXcel Clean'!A992:A1991,'Subbu- Mini Project EXcel Clean'!D992:D1991,"Entry Level",0)</f>
        <v>89</v>
      </c>
      <c r="E992">
        <f>_xlfn.XLOOKUP(A992,'Subbu- Mini Project EXcel Clean'!A992:A1991,'Subbu- Mini Project EXcel Clean'!F992:F1991,"Entry Level",0)</f>
        <v>89.4</v>
      </c>
      <c r="F992">
        <f>_xlfn.XLOOKUP(A992,'Subbu- Mini Project EXcel Clean'!A992:A1991,'Subbu- Mini Project EXcel Clean'!G992:G1991," ",0)</f>
        <v>86.7</v>
      </c>
      <c r="G992" t="str">
        <f>_xlfn.XLOOKUP(A992,'Subbu- Mini Project EXcel Clean'!A992:A1991,'Subbu- Mini Project EXcel Clean'!H992:H1991," ",0)</f>
        <v>Pass</v>
      </c>
      <c r="H992" t="str">
        <f>VLOOKUP(A992,'Subbu- Mini Project EXcel Clean'!A991:R1991,18,)</f>
        <v>High School</v>
      </c>
    </row>
    <row r="993" spans="1:8" x14ac:dyDescent="0.25">
      <c r="A993" t="s">
        <v>1021</v>
      </c>
      <c r="B993">
        <f>VLOOKUP(A993,'Subbu- Mini Project EXcel Clean'!A992:R1992,2,FALSE)</f>
        <v>86.7</v>
      </c>
      <c r="C993">
        <f>VLOOKUP(A993,'Subbu- Mini Project EXcel Clean'!A992:R1992,3,FALSE)</f>
        <v>74.5</v>
      </c>
      <c r="D993">
        <f>_xlfn.XLOOKUP(A993,'Subbu- Mini Project EXcel Clean'!A993:A1992,'Subbu- Mini Project EXcel Clean'!D993:D1992,"Entry Level",0)</f>
        <v>75.7</v>
      </c>
      <c r="E993">
        <f>_xlfn.XLOOKUP(A993,'Subbu- Mini Project EXcel Clean'!A993:A1992,'Subbu- Mini Project EXcel Clean'!F993:F1992,"Entry Level",0)</f>
        <v>71.7</v>
      </c>
      <c r="F993">
        <f>_xlfn.XLOOKUP(A993,'Subbu- Mini Project EXcel Clean'!A993:A1992,'Subbu- Mini Project EXcel Clean'!G993:G1992," ",0)</f>
        <v>74.95</v>
      </c>
      <c r="G993" t="str">
        <f>_xlfn.XLOOKUP(A993,'Subbu- Mini Project EXcel Clean'!A993:A1992,'Subbu- Mini Project EXcel Clean'!H993:H1992," ",0)</f>
        <v>Pass</v>
      </c>
      <c r="H993" t="str">
        <f>VLOOKUP(A993,'Subbu- Mini Project EXcel Clean'!A992:R1992,18,)</f>
        <v>Bachelor</v>
      </c>
    </row>
    <row r="994" spans="1:8" x14ac:dyDescent="0.25">
      <c r="A994" t="s">
        <v>1022</v>
      </c>
      <c r="B994">
        <f>VLOOKUP(A994,'Subbu- Mini Project EXcel Clean'!A993:R1993,2,FALSE)</f>
        <v>51.9</v>
      </c>
      <c r="C994">
        <f>VLOOKUP(A994,'Subbu- Mini Project EXcel Clean'!A993:R1993,3,FALSE)</f>
        <v>54.1</v>
      </c>
      <c r="D994">
        <f>_xlfn.XLOOKUP(A994,'Subbu- Mini Project EXcel Clean'!A994:A1993,'Subbu- Mini Project EXcel Clean'!D994:D1993,"Entry Level",0)</f>
        <v>51.1</v>
      </c>
      <c r="E994">
        <f>_xlfn.XLOOKUP(A994,'Subbu- Mini Project EXcel Clean'!A994:A1993,'Subbu- Mini Project EXcel Clean'!F994:F1993,"Entry Level",0)</f>
        <v>61.3</v>
      </c>
      <c r="F994">
        <f>_xlfn.XLOOKUP(A994,'Subbu- Mini Project EXcel Clean'!A994:A1993,'Subbu- Mini Project EXcel Clean'!G994:G1993," ",0)</f>
        <v>58.15</v>
      </c>
      <c r="G994" t="str">
        <f>_xlfn.XLOOKUP(A994,'Subbu- Mini Project EXcel Clean'!A994:A1993,'Subbu- Mini Project EXcel Clean'!H994:H1993," ",0)</f>
        <v>Pass</v>
      </c>
      <c r="H994" t="str">
        <f>VLOOKUP(A994,'Subbu- Mini Project EXcel Clean'!A993:R1993,18,)</f>
        <v>High School</v>
      </c>
    </row>
    <row r="995" spans="1:8" x14ac:dyDescent="0.25">
      <c r="A995" t="s">
        <v>1023</v>
      </c>
      <c r="B995">
        <f>VLOOKUP(A995,'Subbu- Mini Project EXcel Clean'!A994:R1994,2,FALSE)</f>
        <v>73.400000000000006</v>
      </c>
      <c r="C995">
        <f>VLOOKUP(A995,'Subbu- Mini Project EXcel Clean'!A994:R1994,3,FALSE)</f>
        <v>64.7</v>
      </c>
      <c r="D995">
        <f>_xlfn.XLOOKUP(A995,'Subbu- Mini Project EXcel Clean'!A995:A1994,'Subbu- Mini Project EXcel Clean'!D995:D1994,"Entry Level",0)</f>
        <v>68.7</v>
      </c>
      <c r="E995">
        <f>_xlfn.XLOOKUP(A995,'Subbu- Mini Project EXcel Clean'!A995:A1994,'Subbu- Mini Project EXcel Clean'!F995:F1994,"Entry Level",0)</f>
        <v>71.7</v>
      </c>
      <c r="F995">
        <f>_xlfn.XLOOKUP(A995,'Subbu- Mini Project EXcel Clean'!A995:A1994,'Subbu- Mini Project EXcel Clean'!G995:G1994," ",0)</f>
        <v>72.099999999999994</v>
      </c>
      <c r="G995" t="str">
        <f>_xlfn.XLOOKUP(A995,'Subbu- Mini Project EXcel Clean'!A995:A1994,'Subbu- Mini Project EXcel Clean'!H995:H1994," ",0)</f>
        <v>Pass</v>
      </c>
      <c r="H995" t="str">
        <f>VLOOKUP(A995,'Subbu- Mini Project EXcel Clean'!A994:R1994,18,)</f>
        <v>Master</v>
      </c>
    </row>
    <row r="996" spans="1:8" x14ac:dyDescent="0.25">
      <c r="A996" t="s">
        <v>1024</v>
      </c>
      <c r="B996">
        <f>VLOOKUP(A996,'Subbu- Mini Project EXcel Clean'!A995:R1995,2,FALSE)</f>
        <v>56.1</v>
      </c>
      <c r="C996">
        <f>VLOOKUP(A996,'Subbu- Mini Project EXcel Clean'!A995:R1995,3,FALSE)</f>
        <v>57.4</v>
      </c>
      <c r="D996">
        <f>_xlfn.XLOOKUP(A996,'Subbu- Mini Project EXcel Clean'!A996:A1995,'Subbu- Mini Project EXcel Clean'!D996:D1995,"Entry Level",0)</f>
        <v>51</v>
      </c>
      <c r="E996">
        <f>_xlfn.XLOOKUP(A996,'Subbu- Mini Project EXcel Clean'!A996:A1995,'Subbu- Mini Project EXcel Clean'!F996:F1995,"Entry Level",0)</f>
        <v>51.6</v>
      </c>
      <c r="F996">
        <f>_xlfn.XLOOKUP(A996,'Subbu- Mini Project EXcel Clean'!A996:A1995,'Subbu- Mini Project EXcel Clean'!G996:G1995," ",0)</f>
        <v>55.75</v>
      </c>
      <c r="G996" t="str">
        <f>_xlfn.XLOOKUP(A996,'Subbu- Mini Project EXcel Clean'!A996:A1995,'Subbu- Mini Project EXcel Clean'!H996:H1995," ",0)</f>
        <v>Pass</v>
      </c>
      <c r="H996" t="str">
        <f>VLOOKUP(A996,'Subbu- Mini Project EXcel Clean'!A995:R1995,18,)</f>
        <v>High School</v>
      </c>
    </row>
    <row r="997" spans="1:8" x14ac:dyDescent="0.25">
      <c r="A997" t="s">
        <v>1025</v>
      </c>
      <c r="B997">
        <f>VLOOKUP(A997,'Subbu- Mini Project EXcel Clean'!A996:R1996,2,FALSE)</f>
        <v>38.4</v>
      </c>
      <c r="C997">
        <f>VLOOKUP(A997,'Subbu- Mini Project EXcel Clean'!A996:R1996,3,FALSE)</f>
        <v>43.6</v>
      </c>
      <c r="D997">
        <f>_xlfn.XLOOKUP(A997,'Subbu- Mini Project EXcel Clean'!A997:A1996,'Subbu- Mini Project EXcel Clean'!D997:D1996,"Entry Level",0)</f>
        <v>47.4</v>
      </c>
      <c r="E997">
        <f>_xlfn.XLOOKUP(A997,'Subbu- Mini Project EXcel Clean'!A997:A1996,'Subbu- Mini Project EXcel Clean'!F997:F1996,"Entry Level",0)</f>
        <v>59.2</v>
      </c>
      <c r="F997">
        <f>_xlfn.XLOOKUP(A997,'Subbu- Mini Project EXcel Clean'!A997:A1996,'Subbu- Mini Project EXcel Clean'!G997:G1996," ",0)</f>
        <v>52.1</v>
      </c>
      <c r="G997" t="str">
        <f>_xlfn.XLOOKUP(A997,'Subbu- Mini Project EXcel Clean'!A997:A1996,'Subbu- Mini Project EXcel Clean'!H997:H1996," ",0)</f>
        <v>Pass</v>
      </c>
      <c r="H997" t="str">
        <f>VLOOKUP(A997,'Subbu- Mini Project EXcel Clean'!A996:R1996,18,)</f>
        <v>Bachelor</v>
      </c>
    </row>
    <row r="998" spans="1:8" x14ac:dyDescent="0.25">
      <c r="A998" t="s">
        <v>1026</v>
      </c>
      <c r="B998">
        <f>VLOOKUP(A998,'Subbu- Mini Project EXcel Clean'!A997:R1997,2,FALSE)</f>
        <v>87.4</v>
      </c>
      <c r="C998">
        <f>VLOOKUP(A998,'Subbu- Mini Project EXcel Clean'!A997:R1997,3,FALSE)</f>
        <v>89.2</v>
      </c>
      <c r="D998">
        <f>_xlfn.XLOOKUP(A998,'Subbu- Mini Project EXcel Clean'!A998:A1997,'Subbu- Mini Project EXcel Clean'!D998:D1997,"Entry Level",0)</f>
        <v>81.3</v>
      </c>
      <c r="E998">
        <f>_xlfn.XLOOKUP(A998,'Subbu- Mini Project EXcel Clean'!A998:A1997,'Subbu- Mini Project EXcel Clean'!F998:F1997,"Entry Level",0)</f>
        <v>79.099999999999994</v>
      </c>
      <c r="F998">
        <f>_xlfn.XLOOKUP(A998,'Subbu- Mini Project EXcel Clean'!A998:A1997,'Subbu- Mini Project EXcel Clean'!G998:G1997," ",0)</f>
        <v>84.8</v>
      </c>
      <c r="G998" t="str">
        <f>_xlfn.XLOOKUP(A998,'Subbu- Mini Project EXcel Clean'!A998:A1997,'Subbu- Mini Project EXcel Clean'!H998:H1997," ",0)</f>
        <v>Pass</v>
      </c>
      <c r="H998" t="str">
        <f>VLOOKUP(A998,'Subbu- Mini Project EXcel Clean'!A997:R1997,18,)</f>
        <v>Master</v>
      </c>
    </row>
    <row r="999" spans="1:8" x14ac:dyDescent="0.25">
      <c r="A999" t="s">
        <v>1027</v>
      </c>
      <c r="B999">
        <f>VLOOKUP(A999,'Subbu- Mini Project EXcel Clean'!A998:R1998,2,FALSE)</f>
        <v>47.3</v>
      </c>
      <c r="C999">
        <f>VLOOKUP(A999,'Subbu- Mini Project EXcel Clean'!A998:R1998,3,FALSE)</f>
        <v>46.3</v>
      </c>
      <c r="D999">
        <f>_xlfn.XLOOKUP(A999,'Subbu- Mini Project EXcel Clean'!A999:A1998,'Subbu- Mini Project EXcel Clean'!D999:D1998,"Entry Level",0)</f>
        <v>41.4</v>
      </c>
      <c r="E999">
        <f>_xlfn.XLOOKUP(A999,'Subbu- Mini Project EXcel Clean'!A999:A1998,'Subbu- Mini Project EXcel Clean'!F999:F1998,"Entry Level",0)</f>
        <v>50.6</v>
      </c>
      <c r="F999">
        <f>_xlfn.XLOOKUP(A999,'Subbu- Mini Project EXcel Clean'!A999:A1998,'Subbu- Mini Project EXcel Clean'!G999:G1998," ",0)</f>
        <v>49.05</v>
      </c>
      <c r="G999" t="str">
        <f>_xlfn.XLOOKUP(A999,'Subbu- Mini Project EXcel Clean'!A999:A1998,'Subbu- Mini Project EXcel Clean'!H999:H1998," ",0)</f>
        <v>Fail</v>
      </c>
      <c r="H999" t="str">
        <f>VLOOKUP(A999,'Subbu- Mini Project EXcel Clean'!A998:R1998,18,)</f>
        <v>Master</v>
      </c>
    </row>
    <row r="1000" spans="1:8" x14ac:dyDescent="0.25">
      <c r="A1000" t="s">
        <v>1028</v>
      </c>
      <c r="B1000">
        <f>VLOOKUP(A1000,'Subbu- Mini Project EXcel Clean'!A999:R1999,2,FALSE)</f>
        <v>90.1</v>
      </c>
      <c r="C1000">
        <f>VLOOKUP(A1000,'Subbu- Mini Project EXcel Clean'!A999:R1999,3,FALSE)</f>
        <v>92</v>
      </c>
      <c r="D1000">
        <f>_xlfn.XLOOKUP(A1000,'Subbu- Mini Project EXcel Clean'!A1000:A1999,'Subbu- Mini Project EXcel Clean'!D1000:D1999,"Entry Level",0)</f>
        <v>81.900000000000006</v>
      </c>
      <c r="E1000">
        <f>_xlfn.XLOOKUP(A1000,'Subbu- Mini Project EXcel Clean'!A1000:A1999,'Subbu- Mini Project EXcel Clean'!F1000:F1999,"Entry Level",0)</f>
        <v>89.3</v>
      </c>
      <c r="F1000">
        <f>_xlfn.XLOOKUP(A1000,'Subbu- Mini Project EXcel Clean'!A1000:A1999,'Subbu- Mini Project EXcel Clean'!G1000:G1999," ",0)</f>
        <v>90.8</v>
      </c>
      <c r="G1000" t="str">
        <f>_xlfn.XLOOKUP(A1000,'Subbu- Mini Project EXcel Clean'!A1000:A1999,'Subbu- Mini Project EXcel Clean'!H1000:H1999," ",0)</f>
        <v>Pass</v>
      </c>
      <c r="H1000" t="str">
        <f>VLOOKUP(A1000,'Subbu- Mini Project EXcel Clean'!A999:R1999,18,)</f>
        <v>High School</v>
      </c>
    </row>
    <row r="1001" spans="1:8" x14ac:dyDescent="0.25">
      <c r="A1001" t="s">
        <v>1029</v>
      </c>
      <c r="B1001">
        <f>VLOOKUP(A1001,'Subbu- Mini Project EXcel Clean'!A1000:R2000,2,FALSE)</f>
        <v>61.1</v>
      </c>
      <c r="C1001">
        <f>VLOOKUP(A1001,'Subbu- Mini Project EXcel Clean'!A1000:R2000,3,FALSE)</f>
        <v>66.900000000000006</v>
      </c>
      <c r="D1001">
        <f>_xlfn.XLOOKUP(A1001,'Subbu- Mini Project EXcel Clean'!A1001:A2000,'Subbu- Mini Project EXcel Clean'!D1001:D2000,"Entry Level",0)</f>
        <v>64.099999999999994</v>
      </c>
      <c r="E1001">
        <f>_xlfn.XLOOKUP(A1001,'Subbu- Mini Project EXcel Clean'!A1001:A2000,'Subbu- Mini Project EXcel Clean'!F1001:F2000,"Entry Level",0)</f>
        <v>64.400000000000006</v>
      </c>
      <c r="F1001">
        <f>_xlfn.XLOOKUP(A1001,'Subbu- Mini Project EXcel Clean'!A1001:A2000,'Subbu- Mini Project EXcel Clean'!G1001:G2000," ",0)</f>
        <v>64.45</v>
      </c>
      <c r="G1001" t="str">
        <f>_xlfn.XLOOKUP(A1001,'Subbu- Mini Project EXcel Clean'!A1001:A2000,'Subbu- Mini Project EXcel Clean'!H1001:H2000," ",0)</f>
        <v>Pass</v>
      </c>
      <c r="H1001" t="str">
        <f>VLOOKUP(A1001,'Subbu- Mini Project EXcel Clean'!A1000:R2000,18,)</f>
        <v>High School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3.140625" customWidth="1"/>
    <col min="6" max="6" width="12.7109375" bestFit="1" customWidth="1"/>
    <col min="7" max="7" width="14.7109375" customWidth="1"/>
  </cols>
  <sheetData>
    <row r="1" spans="1:8" x14ac:dyDescent="0.25">
      <c r="A1" t="s">
        <v>0</v>
      </c>
      <c r="B1" t="s">
        <v>1035</v>
      </c>
      <c r="C1" t="s">
        <v>1036</v>
      </c>
      <c r="D1" t="s">
        <v>1037</v>
      </c>
      <c r="E1" t="s">
        <v>1038</v>
      </c>
      <c r="F1" t="s">
        <v>1039</v>
      </c>
      <c r="G1" t="s">
        <v>1040</v>
      </c>
      <c r="H1" t="s">
        <v>1043</v>
      </c>
    </row>
    <row r="2" spans="1:8" x14ac:dyDescent="0.25">
      <c r="A2" t="s">
        <v>18</v>
      </c>
      <c r="B2">
        <f>_xlfn.XLOOKUP(A2,'Subbu- Mini Project EXcel Clean'!A2:A1001,'Subbu- Mini Project EXcel Clean'!I2:I1001,"Entry Level",0)</f>
        <v>1</v>
      </c>
      <c r="C2" t="str">
        <f>_xlfn.XLOOKUP(A2,'Subbu- Mini Project EXcel Clean'!A2:A1001,'Subbu- Mini Project EXcel Clean'!J2:J1001," ",0)</f>
        <v>Consistent</v>
      </c>
      <c r="D2">
        <f>_xlfn.XLOOKUP(A2,'Subbu- Mini Project EXcel Clean'!A2:A1001,'Subbu- Mini Project EXcel Clean'!N2:N1001,"entry Level",0)</f>
        <v>6.8</v>
      </c>
      <c r="E2">
        <f>_xlfn.XLOOKUP(A2,'Subbu- Mini Project EXcel Clean'!A2:A1001,'Subbu- Mini Project EXcel Clean'!M2:M1001," ",0)</f>
        <v>68.5</v>
      </c>
      <c r="F2">
        <f>_xlfn.XLOOKUP(A2,'Subbu- Mini Project EXcel Clean'!A2:A1001,'Subbu- Mini Project EXcel Clean'!P2:P1001," ",0)</f>
        <v>6</v>
      </c>
      <c r="G2" t="str">
        <f>_xlfn.XLOOKUP(A2,'Subbu- Mini Project EXcel Clean'!A2:A1001,'Subbu- Mini Project EXcel Clean'!Q2:Q1001," ",0)</f>
        <v>High</v>
      </c>
      <c r="H2">
        <f>VLOOKUP(A2,'Subbu- Mini Project EXcel Clean'!A1:R1001,15,FALSE)</f>
        <v>3.3</v>
      </c>
    </row>
    <row r="3" spans="1:8" x14ac:dyDescent="0.25">
      <c r="A3" t="s">
        <v>23</v>
      </c>
      <c r="B3">
        <f>_xlfn.XLOOKUP(A3,'Subbu- Mini Project EXcel Clean'!A3:A1002,'Subbu- Mini Project EXcel Clean'!I3:I1002,"Entry Level",0)</f>
        <v>5</v>
      </c>
      <c r="C3" t="str">
        <f>_xlfn.XLOOKUP(A3,'Subbu- Mini Project EXcel Clean'!A3:A1002,'Subbu- Mini Project EXcel Clean'!J3:J1002," ",0)</f>
        <v>Good</v>
      </c>
      <c r="D3">
        <f>_xlfn.XLOOKUP(A3,'Subbu- Mini Project EXcel Clean'!A3:A1002,'Subbu- Mini Project EXcel Clean'!N3:N1002,"entry Level",0)</f>
        <v>5.6</v>
      </c>
      <c r="E3">
        <f>_xlfn.XLOOKUP(A3,'Subbu- Mini Project EXcel Clean'!A3:A1002,'Subbu- Mini Project EXcel Clean'!M3:M1002," ",0)</f>
        <v>92</v>
      </c>
      <c r="F3">
        <f>_xlfn.XLOOKUP(A3,'Subbu- Mini Project EXcel Clean'!A3:A1002,'Subbu- Mini Project EXcel Clean'!P3:P1002," ",0)</f>
        <v>2</v>
      </c>
      <c r="G3" t="str">
        <f>_xlfn.XLOOKUP(A3,'Subbu- Mini Project EXcel Clean'!A3:A1002,'Subbu- Mini Project EXcel Clean'!Q3:Q1002," ",0)</f>
        <v>Low</v>
      </c>
      <c r="H3">
        <f>VLOOKUP(A3,'Subbu- Mini Project EXcel Clean'!A2:R1002,15,FALSE)</f>
        <v>4.9000000000000004</v>
      </c>
    </row>
    <row r="4" spans="1:8" x14ac:dyDescent="0.25">
      <c r="A4" t="s">
        <v>27</v>
      </c>
      <c r="B4">
        <f>_xlfn.XLOOKUP(A4,'Subbu- Mini Project EXcel Clean'!A4:A1003,'Subbu- Mini Project EXcel Clean'!I4:I1003,"Entry Level",0)</f>
        <v>1</v>
      </c>
      <c r="C4" t="str">
        <f>_xlfn.XLOOKUP(A4,'Subbu- Mini Project EXcel Clean'!A4:A1003,'Subbu- Mini Project EXcel Clean'!J4:J1003," ",0)</f>
        <v>Consistent</v>
      </c>
      <c r="D4">
        <f>_xlfn.XLOOKUP(A4,'Subbu- Mini Project EXcel Clean'!A4:A1003,'Subbu- Mini Project EXcel Clean'!N4:N1003,"entry Level",0)</f>
        <v>6.7</v>
      </c>
      <c r="E4">
        <f>_xlfn.XLOOKUP(A4,'Subbu- Mini Project EXcel Clean'!A4:A1003,'Subbu- Mini Project EXcel Clean'!M4:M1003," ",0)</f>
        <v>69.7</v>
      </c>
      <c r="F4">
        <f>_xlfn.XLOOKUP(A4,'Subbu- Mini Project EXcel Clean'!A4:A1003,'Subbu- Mini Project EXcel Clean'!P4:P1003," ",0)</f>
        <v>5</v>
      </c>
      <c r="G4" t="str">
        <f>_xlfn.XLOOKUP(A4,'Subbu- Mini Project EXcel Clean'!A4:A1003,'Subbu- Mini Project EXcel Clean'!Q4:Q1003," ",0)</f>
        <v>Moderate</v>
      </c>
      <c r="H4">
        <f>VLOOKUP(A4,'Subbu- Mini Project EXcel Clean'!A3:R1003,15,FALSE)</f>
        <v>5.0999999999999996</v>
      </c>
    </row>
    <row r="5" spans="1:8" x14ac:dyDescent="0.25">
      <c r="A5" t="s">
        <v>29</v>
      </c>
      <c r="B5">
        <f>_xlfn.XLOOKUP(A5,'Subbu- Mini Project EXcel Clean'!A5:A1004,'Subbu- Mini Project EXcel Clean'!I5:I1004,"Entry Level",0)</f>
        <v>2</v>
      </c>
      <c r="C5" t="str">
        <f>_xlfn.XLOOKUP(A5,'Subbu- Mini Project EXcel Clean'!A5:A1004,'Subbu- Mini Project EXcel Clean'!J5:J1004," ",0)</f>
        <v>Consistent</v>
      </c>
      <c r="D5">
        <f>_xlfn.XLOOKUP(A5,'Subbu- Mini Project EXcel Clean'!A5:A1004,'Subbu- Mini Project EXcel Clean'!N5:N1004,"entry Level",0)</f>
        <v>7.9</v>
      </c>
      <c r="E5">
        <f>_xlfn.XLOOKUP(A5,'Subbu- Mini Project EXcel Clean'!A5:A1004,'Subbu- Mini Project EXcel Clean'!M5:M1004," ",0)</f>
        <v>72</v>
      </c>
      <c r="F5">
        <f>_xlfn.XLOOKUP(A5,'Subbu- Mini Project EXcel Clean'!A5:A1004,'Subbu- Mini Project EXcel Clean'!P5:P1004," ",0)</f>
        <v>5</v>
      </c>
      <c r="G5" t="str">
        <f>_xlfn.XLOOKUP(A5,'Subbu- Mini Project EXcel Clean'!A5:A1004,'Subbu- Mini Project EXcel Clean'!Q5:Q1004," ",0)</f>
        <v>Moderate</v>
      </c>
      <c r="H5">
        <f>VLOOKUP(A5,'Subbu- Mini Project EXcel Clean'!A4:R1004,15,FALSE)</f>
        <v>3.8</v>
      </c>
    </row>
    <row r="6" spans="1:8" x14ac:dyDescent="0.25">
      <c r="A6" t="s">
        <v>30</v>
      </c>
      <c r="B6">
        <f>_xlfn.XLOOKUP(A6,'Subbu- Mini Project EXcel Clean'!A6:A1005,'Subbu- Mini Project EXcel Clean'!I6:I1005,"Entry Level",0)</f>
        <v>2</v>
      </c>
      <c r="C6" t="str">
        <f>_xlfn.XLOOKUP(A6,'Subbu- Mini Project EXcel Clean'!A6:A1005,'Subbu- Mini Project EXcel Clean'!J6:J1005," ",0)</f>
        <v>Consistent</v>
      </c>
      <c r="D6">
        <f>_xlfn.XLOOKUP(A6,'Subbu- Mini Project EXcel Clean'!A6:A1005,'Subbu- Mini Project EXcel Clean'!N6:N1005,"entry Level",0)</f>
        <v>7.7</v>
      </c>
      <c r="E6">
        <f>_xlfn.XLOOKUP(A6,'Subbu- Mini Project EXcel Clean'!A6:A1005,'Subbu- Mini Project EXcel Clean'!M6:M1005," ",0)</f>
        <v>68.900000000000006</v>
      </c>
      <c r="F6">
        <f>_xlfn.XLOOKUP(A6,'Subbu- Mini Project EXcel Clean'!A6:A1005,'Subbu- Mini Project EXcel Clean'!P6:P1005," ",0)</f>
        <v>1</v>
      </c>
      <c r="G6" t="str">
        <f>_xlfn.XLOOKUP(A6,'Subbu- Mini Project EXcel Clean'!A6:A1005,'Subbu- Mini Project EXcel Clean'!Q6:Q1005," ",0)</f>
        <v>Low</v>
      </c>
      <c r="H6">
        <f>VLOOKUP(A6,'Subbu- Mini Project EXcel Clean'!A5:R1005,15,FALSE)</f>
        <v>1.9</v>
      </c>
    </row>
    <row r="7" spans="1:8" x14ac:dyDescent="0.25">
      <c r="A7" t="s">
        <v>31</v>
      </c>
      <c r="B7">
        <f>_xlfn.XLOOKUP(A7,'Subbu- Mini Project EXcel Clean'!A7:A1006,'Subbu- Mini Project EXcel Clean'!I7:I1006,"Entry Level",0)</f>
        <v>2</v>
      </c>
      <c r="C7" t="str">
        <f>_xlfn.XLOOKUP(A7,'Subbu- Mini Project EXcel Clean'!A7:A1006,'Subbu- Mini Project EXcel Clean'!J7:J1006," ",0)</f>
        <v>Consistent</v>
      </c>
      <c r="D7">
        <f>_xlfn.XLOOKUP(A7,'Subbu- Mini Project EXcel Clean'!A7:A1006,'Subbu- Mini Project EXcel Clean'!N7:N1006,"entry Level",0)</f>
        <v>7.3</v>
      </c>
      <c r="E7">
        <f>_xlfn.XLOOKUP(A7,'Subbu- Mini Project EXcel Clean'!A7:A1006,'Subbu- Mini Project EXcel Clean'!M7:M1006," ",0)</f>
        <v>71.3</v>
      </c>
      <c r="F7">
        <f>_xlfn.XLOOKUP(A7,'Subbu- Mini Project EXcel Clean'!A7:A1006,'Subbu- Mini Project EXcel Clean'!P7:P1006," ",0)</f>
        <v>6</v>
      </c>
      <c r="G7" t="str">
        <f>_xlfn.XLOOKUP(A7,'Subbu- Mini Project EXcel Clean'!A7:A1006,'Subbu- Mini Project EXcel Clean'!Q7:Q1006," ",0)</f>
        <v>Moderate</v>
      </c>
      <c r="H7">
        <f>VLOOKUP(A7,'Subbu- Mini Project EXcel Clean'!A6:R1006,15,FALSE)</f>
        <v>3.3</v>
      </c>
    </row>
    <row r="8" spans="1:8" x14ac:dyDescent="0.25">
      <c r="A8" t="s">
        <v>34</v>
      </c>
      <c r="B8">
        <f>_xlfn.XLOOKUP(A8,'Subbu- Mini Project EXcel Clean'!A8:A1007,'Subbu- Mini Project EXcel Clean'!I8:I1007,"Entry Level",0)</f>
        <v>2</v>
      </c>
      <c r="C8" t="str">
        <f>_xlfn.XLOOKUP(A8,'Subbu- Mini Project EXcel Clean'!A8:A1007,'Subbu- Mini Project EXcel Clean'!J8:J1007," ",0)</f>
        <v>Consistent</v>
      </c>
      <c r="D8">
        <f>_xlfn.XLOOKUP(A8,'Subbu- Mini Project EXcel Clean'!A8:A1007,'Subbu- Mini Project EXcel Clean'!N8:N1007,"entry Level",0)</f>
        <v>6.5</v>
      </c>
      <c r="E8">
        <f>_xlfn.XLOOKUP(A8,'Subbu- Mini Project EXcel Clean'!A8:A1007,'Subbu- Mini Project EXcel Clean'!M8:M1007," ",0)</f>
        <v>70.599999999999994</v>
      </c>
      <c r="F8">
        <f>_xlfn.XLOOKUP(A8,'Subbu- Mini Project EXcel Clean'!A8:A1007,'Subbu- Mini Project EXcel Clean'!P8:P1007," ",0)</f>
        <v>2</v>
      </c>
      <c r="G8" t="str">
        <f>_xlfn.XLOOKUP(A8,'Subbu- Mini Project EXcel Clean'!A8:A1007,'Subbu- Mini Project EXcel Clean'!Q8:Q1007," ",0)</f>
        <v>Low</v>
      </c>
      <c r="H8">
        <f>VLOOKUP(A8,'Subbu- Mini Project EXcel Clean'!A7:R1007,15,FALSE)</f>
        <v>5.8</v>
      </c>
    </row>
    <row r="9" spans="1:8" x14ac:dyDescent="0.25">
      <c r="A9" t="s">
        <v>35</v>
      </c>
      <c r="B9">
        <f>_xlfn.XLOOKUP(A9,'Subbu- Mini Project EXcel Clean'!A9:A1008,'Subbu- Mini Project EXcel Clean'!I9:I1008,"Entry Level",0)</f>
        <v>4</v>
      </c>
      <c r="C9" t="str">
        <f>_xlfn.XLOOKUP(A9,'Subbu- Mini Project EXcel Clean'!A9:A1008,'Subbu- Mini Project EXcel Clean'!J9:J1008," ",0)</f>
        <v>Good</v>
      </c>
      <c r="D9">
        <f>_xlfn.XLOOKUP(A9,'Subbu- Mini Project EXcel Clean'!A9:A1008,'Subbu- Mini Project EXcel Clean'!N9:N1008,"entry Level",0)</f>
        <v>6.8</v>
      </c>
      <c r="E9">
        <f>_xlfn.XLOOKUP(A9,'Subbu- Mini Project EXcel Clean'!A9:A1008,'Subbu- Mini Project EXcel Clean'!M9:M1008," ",0)</f>
        <v>88.4</v>
      </c>
      <c r="F9">
        <f>_xlfn.XLOOKUP(A9,'Subbu- Mini Project EXcel Clean'!A9:A1008,'Subbu- Mini Project EXcel Clean'!P9:P1008," ",0)</f>
        <v>4</v>
      </c>
      <c r="G9" t="str">
        <f>_xlfn.XLOOKUP(A9,'Subbu- Mini Project EXcel Clean'!A9:A1008,'Subbu- Mini Project EXcel Clean'!Q9:Q1008," ",0)</f>
        <v>Moderate</v>
      </c>
      <c r="H9">
        <f>VLOOKUP(A9,'Subbu- Mini Project EXcel Clean'!A8:R1008,15,FALSE)</f>
        <v>4.8</v>
      </c>
    </row>
    <row r="10" spans="1:8" x14ac:dyDescent="0.25">
      <c r="A10" t="s">
        <v>36</v>
      </c>
      <c r="B10">
        <f>_xlfn.XLOOKUP(A10,'Subbu- Mini Project EXcel Clean'!A10:A1009,'Subbu- Mini Project EXcel Clean'!I10:I1009,"Entry Level",0)</f>
        <v>2</v>
      </c>
      <c r="C10" t="str">
        <f>_xlfn.XLOOKUP(A10,'Subbu- Mini Project EXcel Clean'!A10:A1009,'Subbu- Mini Project EXcel Clean'!J10:J1009," ",0)</f>
        <v>Consistent</v>
      </c>
      <c r="D10">
        <f>_xlfn.XLOOKUP(A10,'Subbu- Mini Project EXcel Clean'!A10:A1009,'Subbu- Mini Project EXcel Clean'!N10:N1009,"entry Level",0)</f>
        <v>6.9</v>
      </c>
      <c r="E10">
        <f>_xlfn.XLOOKUP(A10,'Subbu- Mini Project EXcel Clean'!A10:A1009,'Subbu- Mini Project EXcel Clean'!M10:M1009," ",0)</f>
        <v>61.2</v>
      </c>
      <c r="F10">
        <f>_xlfn.XLOOKUP(A10,'Subbu- Mini Project EXcel Clean'!A10:A1009,'Subbu- Mini Project EXcel Clean'!P10:P1009," ",0)</f>
        <v>6</v>
      </c>
      <c r="G10" t="str">
        <f>_xlfn.XLOOKUP(A10,'Subbu- Mini Project EXcel Clean'!A10:A1009,'Subbu- Mini Project EXcel Clean'!Q10:Q1009," ",0)</f>
        <v>High</v>
      </c>
      <c r="H10">
        <f>VLOOKUP(A10,'Subbu- Mini Project EXcel Clean'!A9:R1009,15,FALSE)</f>
        <v>5.0999999999999996</v>
      </c>
    </row>
    <row r="11" spans="1:8" x14ac:dyDescent="0.25">
      <c r="A11" t="s">
        <v>37</v>
      </c>
      <c r="B11">
        <f>_xlfn.XLOOKUP(A11,'Subbu- Mini Project EXcel Clean'!A11:A1010,'Subbu- Mini Project EXcel Clean'!I11:I1010,"Entry Level",0)</f>
        <v>4</v>
      </c>
      <c r="C11" t="str">
        <f>_xlfn.XLOOKUP(A11,'Subbu- Mini Project EXcel Clean'!A11:A1010,'Subbu- Mini Project EXcel Clean'!J11:J1010," ",0)</f>
        <v>Excellent</v>
      </c>
      <c r="D11">
        <f>_xlfn.XLOOKUP(A11,'Subbu- Mini Project EXcel Clean'!A11:A1010,'Subbu- Mini Project EXcel Clean'!N11:N1010,"entry Level",0)</f>
        <v>7.8</v>
      </c>
      <c r="E11">
        <f>_xlfn.XLOOKUP(A11,'Subbu- Mini Project EXcel Clean'!A11:A1010,'Subbu- Mini Project EXcel Clean'!M11:M1010," ",0)</f>
        <v>84.3</v>
      </c>
      <c r="F11">
        <f>_xlfn.XLOOKUP(A11,'Subbu- Mini Project EXcel Clean'!A11:A1010,'Subbu- Mini Project EXcel Clean'!P11:P1010," ",0)</f>
        <v>6</v>
      </c>
      <c r="G11" t="str">
        <f>_xlfn.XLOOKUP(A11,'Subbu- Mini Project EXcel Clean'!A11:A1010,'Subbu- Mini Project EXcel Clean'!Q11:Q1010," ",0)</f>
        <v>Moderate</v>
      </c>
      <c r="H11">
        <f>VLOOKUP(A11,'Subbu- Mini Project EXcel Clean'!A10:R1010,15,FALSE)</f>
        <v>1.2</v>
      </c>
    </row>
    <row r="12" spans="1:8" x14ac:dyDescent="0.25">
      <c r="A12" t="s">
        <v>39</v>
      </c>
      <c r="B12">
        <f>_xlfn.XLOOKUP(A12,'Subbu- Mini Project EXcel Clean'!A12:A1011,'Subbu- Mini Project EXcel Clean'!I12:I1011,"Entry Level",0)</f>
        <v>2</v>
      </c>
      <c r="C12" t="str">
        <f>_xlfn.XLOOKUP(A12,'Subbu- Mini Project EXcel Clean'!A12:A1011,'Subbu- Mini Project EXcel Clean'!J12:J1011," ",0)</f>
        <v>Consistent</v>
      </c>
      <c r="D12">
        <f>_xlfn.XLOOKUP(A12,'Subbu- Mini Project EXcel Clean'!A12:A1011,'Subbu- Mini Project EXcel Clean'!N12:N1011,"entry Level",0)</f>
        <v>6.8</v>
      </c>
      <c r="E12">
        <f>_xlfn.XLOOKUP(A12,'Subbu- Mini Project EXcel Clean'!A12:A1011,'Subbu- Mini Project EXcel Clean'!M12:M1011," ",0)</f>
        <v>59.1</v>
      </c>
      <c r="F12">
        <f>_xlfn.XLOOKUP(A12,'Subbu- Mini Project EXcel Clean'!A12:A1011,'Subbu- Mini Project EXcel Clean'!P12:P1011," ",0)</f>
        <v>7</v>
      </c>
      <c r="G12" t="str">
        <f>_xlfn.XLOOKUP(A12,'Subbu- Mini Project EXcel Clean'!A12:A1011,'Subbu- Mini Project EXcel Clean'!Q12:Q1011," ",0)</f>
        <v>High</v>
      </c>
      <c r="H12">
        <f>VLOOKUP(A12,'Subbu- Mini Project EXcel Clean'!A11:R1011,15,FALSE)</f>
        <v>3.3</v>
      </c>
    </row>
    <row r="13" spans="1:8" x14ac:dyDescent="0.25">
      <c r="A13" t="s">
        <v>40</v>
      </c>
      <c r="B13">
        <f>_xlfn.XLOOKUP(A13,'Subbu- Mini Project EXcel Clean'!A13:A1012,'Subbu- Mini Project EXcel Clean'!I13:I1012,"Entry Level",0)</f>
        <v>1</v>
      </c>
      <c r="C13" t="str">
        <f>_xlfn.XLOOKUP(A13,'Subbu- Mini Project EXcel Clean'!A13:A1012,'Subbu- Mini Project EXcel Clean'!J13:J1012," ",0)</f>
        <v>Consistent</v>
      </c>
      <c r="D13">
        <f>_xlfn.XLOOKUP(A13,'Subbu- Mini Project EXcel Clean'!A13:A1012,'Subbu- Mini Project EXcel Clean'!N13:N1012,"entry Level",0)</f>
        <v>6.3</v>
      </c>
      <c r="E13">
        <f>_xlfn.XLOOKUP(A13,'Subbu- Mini Project EXcel Clean'!A13:A1012,'Subbu- Mini Project EXcel Clean'!M13:M1012," ",0)</f>
        <v>71.900000000000006</v>
      </c>
      <c r="F13">
        <f>_xlfn.XLOOKUP(A13,'Subbu- Mini Project EXcel Clean'!A13:A1012,'Subbu- Mini Project EXcel Clean'!P13:P1012," ",0)</f>
        <v>6</v>
      </c>
      <c r="G13" t="str">
        <f>_xlfn.XLOOKUP(A13,'Subbu- Mini Project EXcel Clean'!A13:A1012,'Subbu- Mini Project EXcel Clean'!Q13:Q1012," ",0)</f>
        <v>High</v>
      </c>
      <c r="H13">
        <f>VLOOKUP(A13,'Subbu- Mini Project EXcel Clean'!A12:R1012,15,FALSE)</f>
        <v>4.2</v>
      </c>
    </row>
    <row r="14" spans="1:8" x14ac:dyDescent="0.25">
      <c r="A14" t="s">
        <v>41</v>
      </c>
      <c r="B14">
        <f>_xlfn.XLOOKUP(A14,'Subbu- Mini Project EXcel Clean'!A14:A1013,'Subbu- Mini Project EXcel Clean'!I14:I1013,"Entry Level",0)</f>
        <v>5</v>
      </c>
      <c r="C14" t="str">
        <f>_xlfn.XLOOKUP(A14,'Subbu- Mini Project EXcel Clean'!A14:A1013,'Subbu- Mini Project EXcel Clean'!J14:J1013," ",0)</f>
        <v>Good</v>
      </c>
      <c r="D14">
        <f>_xlfn.XLOOKUP(A14,'Subbu- Mini Project EXcel Clean'!A14:A1013,'Subbu- Mini Project EXcel Clean'!N14:N1013,"entry Level",0)</f>
        <v>6.3</v>
      </c>
      <c r="E14">
        <f>_xlfn.XLOOKUP(A14,'Subbu- Mini Project EXcel Clean'!A14:A1013,'Subbu- Mini Project EXcel Clean'!M14:M1013," ",0)</f>
        <v>93.5</v>
      </c>
      <c r="F14">
        <f>_xlfn.XLOOKUP(A14,'Subbu- Mini Project EXcel Clean'!A14:A1013,'Subbu- Mini Project EXcel Clean'!P14:P1013," ",0)</f>
        <v>1</v>
      </c>
      <c r="G14" t="str">
        <f>_xlfn.XLOOKUP(A14,'Subbu- Mini Project EXcel Clean'!A14:A1013,'Subbu- Mini Project EXcel Clean'!Q14:Q1013," ",0)</f>
        <v>Low</v>
      </c>
      <c r="H14">
        <f>VLOOKUP(A14,'Subbu- Mini Project EXcel Clean'!A13:R1013,15,FALSE)</f>
        <v>5.2</v>
      </c>
    </row>
    <row r="15" spans="1:8" x14ac:dyDescent="0.25">
      <c r="A15" t="s">
        <v>42</v>
      </c>
      <c r="B15">
        <f>_xlfn.XLOOKUP(A15,'Subbu- Mini Project EXcel Clean'!A15:A1014,'Subbu- Mini Project EXcel Clean'!I15:I1014,"Entry Level",0)</f>
        <v>2</v>
      </c>
      <c r="C15" t="str">
        <f>_xlfn.XLOOKUP(A15,'Subbu- Mini Project EXcel Clean'!A15:A1014,'Subbu- Mini Project EXcel Clean'!J15:J1014," ",0)</f>
        <v>Consistent</v>
      </c>
      <c r="D15">
        <f>_xlfn.XLOOKUP(A15,'Subbu- Mini Project EXcel Clean'!A15:A1014,'Subbu- Mini Project EXcel Clean'!N15:N1014,"entry Level",0)</f>
        <v>7.8</v>
      </c>
      <c r="E15">
        <f>_xlfn.XLOOKUP(A15,'Subbu- Mini Project EXcel Clean'!A15:A1014,'Subbu- Mini Project EXcel Clean'!M15:M1014," ",0)</f>
        <v>71.8</v>
      </c>
      <c r="F15">
        <f>_xlfn.XLOOKUP(A15,'Subbu- Mini Project EXcel Clean'!A15:A1014,'Subbu- Mini Project EXcel Clean'!P15:P1014," ",0)</f>
        <v>3</v>
      </c>
      <c r="G15" t="str">
        <f>_xlfn.XLOOKUP(A15,'Subbu- Mini Project EXcel Clean'!A15:A1014,'Subbu- Mini Project EXcel Clean'!Q15:Q1014," ",0)</f>
        <v>Moderate</v>
      </c>
      <c r="H15">
        <f>VLOOKUP(A15,'Subbu- Mini Project EXcel Clean'!A14:R1014,15,FALSE)</f>
        <v>1.2</v>
      </c>
    </row>
    <row r="16" spans="1:8" x14ac:dyDescent="0.25">
      <c r="A16" t="s">
        <v>43</v>
      </c>
      <c r="B16">
        <f>_xlfn.XLOOKUP(A16,'Subbu- Mini Project EXcel Clean'!A16:A1015,'Subbu- Mini Project EXcel Clean'!I16:I1015,"Entry Level",0)</f>
        <v>4</v>
      </c>
      <c r="C16" t="str">
        <f>_xlfn.XLOOKUP(A16,'Subbu- Mini Project EXcel Clean'!A16:A1015,'Subbu- Mini Project EXcel Clean'!J16:J1015," ",0)</f>
        <v>Good</v>
      </c>
      <c r="D16">
        <f>_xlfn.XLOOKUP(A16,'Subbu- Mini Project EXcel Clean'!A16:A1015,'Subbu- Mini Project EXcel Clean'!N16:N1015,"entry Level",0)</f>
        <v>6.3</v>
      </c>
      <c r="E16">
        <f>_xlfn.XLOOKUP(A16,'Subbu- Mini Project EXcel Clean'!A16:A1015,'Subbu- Mini Project EXcel Clean'!M16:M1015," ",0)</f>
        <v>93.9</v>
      </c>
      <c r="F16">
        <f>_xlfn.XLOOKUP(A16,'Subbu- Mini Project EXcel Clean'!A16:A1015,'Subbu- Mini Project EXcel Clean'!P16:P1015," ",0)</f>
        <v>4</v>
      </c>
      <c r="G16" t="str">
        <f>_xlfn.XLOOKUP(A16,'Subbu- Mini Project EXcel Clean'!A16:A1015,'Subbu- Mini Project EXcel Clean'!Q16:Q1015," ",0)</f>
        <v>Moderate</v>
      </c>
      <c r="H16">
        <f>VLOOKUP(A16,'Subbu- Mini Project EXcel Clean'!A15:R1015,15,FALSE)</f>
        <v>5.3</v>
      </c>
    </row>
    <row r="17" spans="1:8" x14ac:dyDescent="0.25">
      <c r="A17" t="s">
        <v>44</v>
      </c>
      <c r="B17">
        <f>_xlfn.XLOOKUP(A17,'Subbu- Mini Project EXcel Clean'!A17:A1016,'Subbu- Mini Project EXcel Clean'!I17:I1016,"Entry Level",0)</f>
        <v>3</v>
      </c>
      <c r="C17" t="str">
        <f>_xlfn.XLOOKUP(A17,'Subbu- Mini Project EXcel Clean'!A17:A1016,'Subbu- Mini Project EXcel Clean'!J17:J1016," ",0)</f>
        <v>Excellent</v>
      </c>
      <c r="D17">
        <f>_xlfn.XLOOKUP(A17,'Subbu- Mini Project EXcel Clean'!A17:A1016,'Subbu- Mini Project EXcel Clean'!N17:N1016,"entry Level",0)</f>
        <v>7</v>
      </c>
      <c r="E17">
        <f>_xlfn.XLOOKUP(A17,'Subbu- Mini Project EXcel Clean'!A17:A1016,'Subbu- Mini Project EXcel Clean'!M17:M1016," ",0)</f>
        <v>76.900000000000006</v>
      </c>
      <c r="F17">
        <f>_xlfn.XLOOKUP(A17,'Subbu- Mini Project EXcel Clean'!A17:A1016,'Subbu- Mini Project EXcel Clean'!P17:P1016," ",0)</f>
        <v>3</v>
      </c>
      <c r="G17" t="str">
        <f>_xlfn.XLOOKUP(A17,'Subbu- Mini Project EXcel Clean'!A17:A1016,'Subbu- Mini Project EXcel Clean'!Q17:Q1016," ",0)</f>
        <v>Low</v>
      </c>
      <c r="H17">
        <f>VLOOKUP(A17,'Subbu- Mini Project EXcel Clean'!A16:R1016,15,FALSE)</f>
        <v>3.7</v>
      </c>
    </row>
    <row r="18" spans="1:8" x14ac:dyDescent="0.25">
      <c r="A18" t="s">
        <v>45</v>
      </c>
      <c r="B18">
        <f>_xlfn.XLOOKUP(A18,'Subbu- Mini Project EXcel Clean'!A18:A1017,'Subbu- Mini Project EXcel Clean'!I18:I1017,"Entry Level",0)</f>
        <v>1</v>
      </c>
      <c r="C18" t="str">
        <f>_xlfn.XLOOKUP(A18,'Subbu- Mini Project EXcel Clean'!A18:A1017,'Subbu- Mini Project EXcel Clean'!J18:J1017," ",0)</f>
        <v>Consistent</v>
      </c>
      <c r="D18">
        <f>_xlfn.XLOOKUP(A18,'Subbu- Mini Project EXcel Clean'!A18:A1017,'Subbu- Mini Project EXcel Clean'!N18:N1017,"entry Level",0)</f>
        <v>7.6</v>
      </c>
      <c r="E18">
        <f>_xlfn.XLOOKUP(A18,'Subbu- Mini Project EXcel Clean'!A18:A1017,'Subbu- Mini Project EXcel Clean'!M18:M1017," ",0)</f>
        <v>63.1</v>
      </c>
      <c r="F18">
        <f>_xlfn.XLOOKUP(A18,'Subbu- Mini Project EXcel Clean'!A18:A1017,'Subbu- Mini Project EXcel Clean'!P18:P1017," ",0)</f>
        <v>1</v>
      </c>
      <c r="G18" t="str">
        <f>_xlfn.XLOOKUP(A18,'Subbu- Mini Project EXcel Clean'!A18:A1017,'Subbu- Mini Project EXcel Clean'!Q18:Q1017," ",0)</f>
        <v>Low</v>
      </c>
      <c r="H18">
        <f>VLOOKUP(A18,'Subbu- Mini Project EXcel Clean'!A17:R1017,15,FALSE)</f>
        <v>2</v>
      </c>
    </row>
    <row r="19" spans="1:8" x14ac:dyDescent="0.25">
      <c r="A19" t="s">
        <v>46</v>
      </c>
      <c r="B19">
        <f>_xlfn.XLOOKUP(A19,'Subbu- Mini Project EXcel Clean'!A19:A1018,'Subbu- Mini Project EXcel Clean'!I19:I1018,"Entry Level",0)</f>
        <v>5</v>
      </c>
      <c r="C19" t="str">
        <f>_xlfn.XLOOKUP(A19,'Subbu- Mini Project EXcel Clean'!A19:A1018,'Subbu- Mini Project EXcel Clean'!J19:J1018," ",0)</f>
        <v>Good</v>
      </c>
      <c r="D19">
        <f>_xlfn.XLOOKUP(A19,'Subbu- Mini Project EXcel Clean'!A19:A1018,'Subbu- Mini Project EXcel Clean'!N19:N1018,"entry Level",0)</f>
        <v>7.6</v>
      </c>
      <c r="E19">
        <f>_xlfn.XLOOKUP(A19,'Subbu- Mini Project EXcel Clean'!A19:A1018,'Subbu- Mini Project EXcel Clean'!M19:M1018," ",0)</f>
        <v>102.1</v>
      </c>
      <c r="F19">
        <f>_xlfn.XLOOKUP(A19,'Subbu- Mini Project EXcel Clean'!A19:A1018,'Subbu- Mini Project EXcel Clean'!P19:P1018," ",0)</f>
        <v>1</v>
      </c>
      <c r="G19" t="str">
        <f>_xlfn.XLOOKUP(A19,'Subbu- Mini Project EXcel Clean'!A19:A1018,'Subbu- Mini Project EXcel Clean'!Q19:Q1018," ",0)</f>
        <v>Low</v>
      </c>
      <c r="H19">
        <f>VLOOKUP(A19,'Subbu- Mini Project EXcel Clean'!A18:R1018,15,FALSE)</f>
        <v>2.6</v>
      </c>
    </row>
    <row r="20" spans="1:8" x14ac:dyDescent="0.25">
      <c r="A20" t="s">
        <v>47</v>
      </c>
      <c r="B20">
        <f>_xlfn.XLOOKUP(A20,'Subbu- Mini Project EXcel Clean'!A20:A1019,'Subbu- Mini Project EXcel Clean'!I20:I1019,"Entry Level",0)</f>
        <v>2</v>
      </c>
      <c r="C20" t="str">
        <f>_xlfn.XLOOKUP(A20,'Subbu- Mini Project EXcel Clean'!A20:A1019,'Subbu- Mini Project EXcel Clean'!J20:J1019," ",0)</f>
        <v>Consistent</v>
      </c>
      <c r="D20">
        <f>_xlfn.XLOOKUP(A20,'Subbu- Mini Project EXcel Clean'!A20:A1019,'Subbu- Mini Project EXcel Clean'!N20:N1019,"entry Level",0)</f>
        <v>7.9</v>
      </c>
      <c r="E20">
        <f>_xlfn.XLOOKUP(A20,'Subbu- Mini Project EXcel Clean'!A20:A1019,'Subbu- Mini Project EXcel Clean'!M20:M1019," ",0)</f>
        <v>68.900000000000006</v>
      </c>
      <c r="F20">
        <f>_xlfn.XLOOKUP(A20,'Subbu- Mini Project EXcel Clean'!A20:A1019,'Subbu- Mini Project EXcel Clean'!P20:P1019," ",0)</f>
        <v>3</v>
      </c>
      <c r="G20" t="str">
        <f>_xlfn.XLOOKUP(A20,'Subbu- Mini Project EXcel Clean'!A20:A1019,'Subbu- Mini Project EXcel Clean'!Q20:Q1019," ",0)</f>
        <v>Low</v>
      </c>
      <c r="H20">
        <f>VLOOKUP(A20,'Subbu- Mini Project EXcel Clean'!A19:R1019,15,FALSE)</f>
        <v>2.4</v>
      </c>
    </row>
    <row r="21" spans="1:8" x14ac:dyDescent="0.25">
      <c r="A21" t="s">
        <v>48</v>
      </c>
      <c r="B21">
        <f>_xlfn.XLOOKUP(A21,'Subbu- Mini Project EXcel Clean'!A21:A1020,'Subbu- Mini Project EXcel Clean'!I21:I1020,"Entry Level",0)</f>
        <v>4</v>
      </c>
      <c r="C21" t="str">
        <f>_xlfn.XLOOKUP(A21,'Subbu- Mini Project EXcel Clean'!A21:A1020,'Subbu- Mini Project EXcel Clean'!J21:J1020," ",0)</f>
        <v>Good</v>
      </c>
      <c r="D21">
        <f>_xlfn.XLOOKUP(A21,'Subbu- Mini Project EXcel Clean'!A21:A1020,'Subbu- Mini Project EXcel Clean'!N21:N1020,"entry Level",0)</f>
        <v>6.9</v>
      </c>
      <c r="E21">
        <f>_xlfn.XLOOKUP(A21,'Subbu- Mini Project EXcel Clean'!A21:A1020,'Subbu- Mini Project EXcel Clean'!M21:M1020," ",0)</f>
        <v>100.4</v>
      </c>
      <c r="F21">
        <f>_xlfn.XLOOKUP(A21,'Subbu- Mini Project EXcel Clean'!A21:A1020,'Subbu- Mini Project EXcel Clean'!P21:P1020," ",0)</f>
        <v>1</v>
      </c>
      <c r="G21" t="str">
        <f>_xlfn.XLOOKUP(A21,'Subbu- Mini Project EXcel Clean'!A21:A1020,'Subbu- Mini Project EXcel Clean'!Q21:Q1020," ",0)</f>
        <v>Low</v>
      </c>
      <c r="H21">
        <f>VLOOKUP(A21,'Subbu- Mini Project EXcel Clean'!A20:R1020,15,FALSE)</f>
        <v>3.7</v>
      </c>
    </row>
    <row r="22" spans="1:8" x14ac:dyDescent="0.25">
      <c r="A22" t="s">
        <v>49</v>
      </c>
      <c r="B22">
        <f>_xlfn.XLOOKUP(A22,'Subbu- Mini Project EXcel Clean'!A22:A1021,'Subbu- Mini Project EXcel Clean'!I22:I1021,"Entry Level",0)</f>
        <v>2</v>
      </c>
      <c r="C22" t="str">
        <f>_xlfn.XLOOKUP(A22,'Subbu- Mini Project EXcel Clean'!A22:A1021,'Subbu- Mini Project EXcel Clean'!J22:J1021," ",0)</f>
        <v>Consistent</v>
      </c>
      <c r="D22">
        <f>_xlfn.XLOOKUP(A22,'Subbu- Mini Project EXcel Clean'!A22:A1021,'Subbu- Mini Project EXcel Clean'!N22:N1021,"entry Level",0)</f>
        <v>7</v>
      </c>
      <c r="E22">
        <f>_xlfn.XLOOKUP(A22,'Subbu- Mini Project EXcel Clean'!A22:A1021,'Subbu- Mini Project EXcel Clean'!M22:M1021," ",0)</f>
        <v>71.900000000000006</v>
      </c>
      <c r="F22">
        <f>_xlfn.XLOOKUP(A22,'Subbu- Mini Project EXcel Clean'!A22:A1021,'Subbu- Mini Project EXcel Clean'!P22:P1021," ",0)</f>
        <v>6</v>
      </c>
      <c r="G22" t="str">
        <f>_xlfn.XLOOKUP(A22,'Subbu- Mini Project EXcel Clean'!A22:A1021,'Subbu- Mini Project EXcel Clean'!Q22:Q1021," ",0)</f>
        <v>Moderate</v>
      </c>
      <c r="H22">
        <f>VLOOKUP(A22,'Subbu- Mini Project EXcel Clean'!A21:R1021,15,FALSE)</f>
        <v>1.3</v>
      </c>
    </row>
    <row r="23" spans="1:8" x14ac:dyDescent="0.25">
      <c r="A23" t="s">
        <v>50</v>
      </c>
      <c r="B23">
        <f>_xlfn.XLOOKUP(A23,'Subbu- Mini Project EXcel Clean'!A23:A1022,'Subbu- Mini Project EXcel Clean'!I23:I1022,"Entry Level",0)</f>
        <v>4</v>
      </c>
      <c r="C23" t="str">
        <f>_xlfn.XLOOKUP(A23,'Subbu- Mini Project EXcel Clean'!A23:A1022,'Subbu- Mini Project EXcel Clean'!J23:J1022," ",0)</f>
        <v>Good</v>
      </c>
      <c r="D23">
        <f>_xlfn.XLOOKUP(A23,'Subbu- Mini Project EXcel Clean'!A23:A1022,'Subbu- Mini Project EXcel Clean'!N23:N1022,"entry Level",0)</f>
        <v>7.3</v>
      </c>
      <c r="E23">
        <f>_xlfn.XLOOKUP(A23,'Subbu- Mini Project EXcel Clean'!A23:A1022,'Subbu- Mini Project EXcel Clean'!M23:M1022," ",0)</f>
        <v>98.8</v>
      </c>
      <c r="F23">
        <f>_xlfn.XLOOKUP(A23,'Subbu- Mini Project EXcel Clean'!A23:A1022,'Subbu- Mini Project EXcel Clean'!P23:P1022," ",0)</f>
        <v>3</v>
      </c>
      <c r="G23" t="str">
        <f>_xlfn.XLOOKUP(A23,'Subbu- Mini Project EXcel Clean'!A23:A1022,'Subbu- Mini Project EXcel Clean'!Q23:Q1022," ",0)</f>
        <v>Moderate</v>
      </c>
      <c r="H23">
        <f>VLOOKUP(A23,'Subbu- Mini Project EXcel Clean'!A22:R1022,15,FALSE)</f>
        <v>1.8</v>
      </c>
    </row>
    <row r="24" spans="1:8" x14ac:dyDescent="0.25">
      <c r="A24" t="s">
        <v>51</v>
      </c>
      <c r="B24">
        <f>_xlfn.XLOOKUP(A24,'Subbu- Mini Project EXcel Clean'!A24:A1023,'Subbu- Mini Project EXcel Clean'!I24:I1023,"Entry Level",0)</f>
        <v>1</v>
      </c>
      <c r="C24" t="str">
        <f>_xlfn.XLOOKUP(A24,'Subbu- Mini Project EXcel Clean'!A24:A1023,'Subbu- Mini Project EXcel Clean'!J24:J1023," ",0)</f>
        <v>Consistent</v>
      </c>
      <c r="D24">
        <f>_xlfn.XLOOKUP(A24,'Subbu- Mini Project EXcel Clean'!A24:A1023,'Subbu- Mini Project EXcel Clean'!N24:N1023,"entry Level",0)</f>
        <v>6.5</v>
      </c>
      <c r="E24">
        <f>_xlfn.XLOOKUP(A24,'Subbu- Mini Project EXcel Clean'!A24:A1023,'Subbu- Mini Project EXcel Clean'!M24:M1023," ",0)</f>
        <v>58.2</v>
      </c>
      <c r="F24">
        <f>_xlfn.XLOOKUP(A24,'Subbu- Mini Project EXcel Clean'!A24:A1023,'Subbu- Mini Project EXcel Clean'!P24:P1023," ",0)</f>
        <v>4</v>
      </c>
      <c r="G24" t="str">
        <f>_xlfn.XLOOKUP(A24,'Subbu- Mini Project EXcel Clean'!A24:A1023,'Subbu- Mini Project EXcel Clean'!Q24:Q1023," ",0)</f>
        <v>Moderate</v>
      </c>
      <c r="H24">
        <f>VLOOKUP(A24,'Subbu- Mini Project EXcel Clean'!A23:R1023,15,FALSE)</f>
        <v>5.0999999999999996</v>
      </c>
    </row>
    <row r="25" spans="1:8" x14ac:dyDescent="0.25">
      <c r="A25" t="s">
        <v>52</v>
      </c>
      <c r="B25">
        <f>_xlfn.XLOOKUP(A25,'Subbu- Mini Project EXcel Clean'!A25:A1024,'Subbu- Mini Project EXcel Clean'!I25:I1024,"Entry Level",0)</f>
        <v>3</v>
      </c>
      <c r="C25" t="str">
        <f>_xlfn.XLOOKUP(A25,'Subbu- Mini Project EXcel Clean'!A25:A1024,'Subbu- Mini Project EXcel Clean'!J25:J1024," ",0)</f>
        <v>Consistent</v>
      </c>
      <c r="D25">
        <f>_xlfn.XLOOKUP(A25,'Subbu- Mini Project EXcel Clean'!A25:A1024,'Subbu- Mini Project EXcel Clean'!N25:N1024,"entry Level",0)</f>
        <v>6.6</v>
      </c>
      <c r="E25">
        <f>_xlfn.XLOOKUP(A25,'Subbu- Mini Project EXcel Clean'!A25:A1024,'Subbu- Mini Project EXcel Clean'!M25:M1024," ",0)</f>
        <v>75.099999999999994</v>
      </c>
      <c r="F25">
        <f>_xlfn.XLOOKUP(A25,'Subbu- Mini Project EXcel Clean'!A25:A1024,'Subbu- Mini Project EXcel Clean'!P25:P1024," ",0)</f>
        <v>1</v>
      </c>
      <c r="G25" t="str">
        <f>_xlfn.XLOOKUP(A25,'Subbu- Mini Project EXcel Clean'!A25:A1024,'Subbu- Mini Project EXcel Clean'!Q25:Q1024," ",0)</f>
        <v>Low</v>
      </c>
      <c r="H25">
        <f>VLOOKUP(A25,'Subbu- Mini Project EXcel Clean'!A24:R1024,15,FALSE)</f>
        <v>1.7</v>
      </c>
    </row>
    <row r="26" spans="1:8" x14ac:dyDescent="0.25">
      <c r="A26" t="s">
        <v>53</v>
      </c>
      <c r="B26">
        <f>_xlfn.XLOOKUP(A26,'Subbu- Mini Project EXcel Clean'!A26:A1025,'Subbu- Mini Project EXcel Clean'!I26:I1025,"Entry Level",0)</f>
        <v>4</v>
      </c>
      <c r="C26" t="str">
        <f>_xlfn.XLOOKUP(A26,'Subbu- Mini Project EXcel Clean'!A26:A1025,'Subbu- Mini Project EXcel Clean'!J26:J1025," ",0)</f>
        <v>Good</v>
      </c>
      <c r="D26">
        <f>_xlfn.XLOOKUP(A26,'Subbu- Mini Project EXcel Clean'!A26:A1025,'Subbu- Mini Project EXcel Clean'!N26:N1025,"entry Level",0)</f>
        <v>8</v>
      </c>
      <c r="E26">
        <f>_xlfn.XLOOKUP(A26,'Subbu- Mini Project EXcel Clean'!A26:A1025,'Subbu- Mini Project EXcel Clean'!M26:M1025," ",0)</f>
        <v>87.7</v>
      </c>
      <c r="F26">
        <f>_xlfn.XLOOKUP(A26,'Subbu- Mini Project EXcel Clean'!A26:A1025,'Subbu- Mini Project EXcel Clean'!P26:P1025," ",0)</f>
        <v>2</v>
      </c>
      <c r="G26" t="str">
        <f>_xlfn.XLOOKUP(A26,'Subbu- Mini Project EXcel Clean'!A26:A1025,'Subbu- Mini Project EXcel Clean'!Q26:Q1025," ",0)</f>
        <v>Low</v>
      </c>
      <c r="H26">
        <f>VLOOKUP(A26,'Subbu- Mini Project EXcel Clean'!A25:R1025,15,FALSE)</f>
        <v>2.2000000000000002</v>
      </c>
    </row>
    <row r="27" spans="1:8" x14ac:dyDescent="0.25">
      <c r="A27" t="s">
        <v>54</v>
      </c>
      <c r="B27">
        <f>_xlfn.XLOOKUP(A27,'Subbu- Mini Project EXcel Clean'!A27:A1026,'Subbu- Mini Project EXcel Clean'!I27:I1026,"Entry Level",0)</f>
        <v>5</v>
      </c>
      <c r="C27" t="str">
        <f>_xlfn.XLOOKUP(A27,'Subbu- Mini Project EXcel Clean'!A27:A1026,'Subbu- Mini Project EXcel Clean'!J27:J1026," ",0)</f>
        <v>Good</v>
      </c>
      <c r="D27">
        <f>_xlfn.XLOOKUP(A27,'Subbu- Mini Project EXcel Clean'!A27:A1026,'Subbu- Mini Project EXcel Clean'!N27:N1026,"entry Level",0)</f>
        <v>7.1</v>
      </c>
      <c r="E27">
        <f>_xlfn.XLOOKUP(A27,'Subbu- Mini Project EXcel Clean'!A27:A1026,'Subbu- Mini Project EXcel Clean'!M27:M1026," ",0)</f>
        <v>98.4</v>
      </c>
      <c r="F27">
        <f>_xlfn.XLOOKUP(A27,'Subbu- Mini Project EXcel Clean'!A27:A1026,'Subbu- Mini Project EXcel Clean'!P27:P1026," ",0)</f>
        <v>2</v>
      </c>
      <c r="G27" t="str">
        <f>_xlfn.XLOOKUP(A27,'Subbu- Mini Project EXcel Clean'!A27:A1026,'Subbu- Mini Project EXcel Clean'!Q27:Q1026," ",0)</f>
        <v>Low</v>
      </c>
      <c r="H27">
        <f>VLOOKUP(A27,'Subbu- Mini Project EXcel Clean'!A26:R1026,15,FALSE)</f>
        <v>3.3</v>
      </c>
    </row>
    <row r="28" spans="1:8" x14ac:dyDescent="0.25">
      <c r="A28" t="s">
        <v>55</v>
      </c>
      <c r="B28">
        <f>_xlfn.XLOOKUP(A28,'Subbu- Mini Project EXcel Clean'!A28:A1027,'Subbu- Mini Project EXcel Clean'!I28:I1027,"Entry Level",0)</f>
        <v>5</v>
      </c>
      <c r="C28" t="str">
        <f>_xlfn.XLOOKUP(A28,'Subbu- Mini Project EXcel Clean'!A28:A1027,'Subbu- Mini Project EXcel Clean'!J28:J1027," ",0)</f>
        <v>Good</v>
      </c>
      <c r="D28">
        <f>_xlfn.XLOOKUP(A28,'Subbu- Mini Project EXcel Clean'!A28:A1027,'Subbu- Mini Project EXcel Clean'!N28:N1027,"entry Level",0)</f>
        <v>7.1</v>
      </c>
      <c r="E28">
        <f>_xlfn.XLOOKUP(A28,'Subbu- Mini Project EXcel Clean'!A28:A1027,'Subbu- Mini Project EXcel Clean'!M28:M1027," ",0)</f>
        <v>99.1</v>
      </c>
      <c r="F28">
        <f>_xlfn.XLOOKUP(A28,'Subbu- Mini Project EXcel Clean'!A28:A1027,'Subbu- Mini Project EXcel Clean'!P28:P1027," ",0)</f>
        <v>1</v>
      </c>
      <c r="G28" t="str">
        <f>_xlfn.XLOOKUP(A28,'Subbu- Mini Project EXcel Clean'!A28:A1027,'Subbu- Mini Project EXcel Clean'!Q28:Q1027," ",0)</f>
        <v>Low</v>
      </c>
      <c r="H28">
        <f>VLOOKUP(A28,'Subbu- Mini Project EXcel Clean'!A27:R1027,15,FALSE)</f>
        <v>3.6</v>
      </c>
    </row>
    <row r="29" spans="1:8" x14ac:dyDescent="0.25">
      <c r="A29" t="s">
        <v>56</v>
      </c>
      <c r="B29">
        <f>_xlfn.XLOOKUP(A29,'Subbu- Mini Project EXcel Clean'!A29:A1028,'Subbu- Mini Project EXcel Clean'!I29:I1028,"Entry Level",0)</f>
        <v>4</v>
      </c>
      <c r="C29" t="str">
        <f>_xlfn.XLOOKUP(A29,'Subbu- Mini Project EXcel Clean'!A29:A1028,'Subbu- Mini Project EXcel Clean'!J29:J1028," ",0)</f>
        <v>Good</v>
      </c>
      <c r="D29">
        <f>_xlfn.XLOOKUP(A29,'Subbu- Mini Project EXcel Clean'!A29:A1028,'Subbu- Mini Project EXcel Clean'!N29:N1028,"entry Level",0)</f>
        <v>7.2</v>
      </c>
      <c r="E29">
        <f>_xlfn.XLOOKUP(A29,'Subbu- Mini Project EXcel Clean'!A29:A1028,'Subbu- Mini Project EXcel Clean'!M29:M1028," ",0)</f>
        <v>81.900000000000006</v>
      </c>
      <c r="F29">
        <f>_xlfn.XLOOKUP(A29,'Subbu- Mini Project EXcel Clean'!A29:A1028,'Subbu- Mini Project EXcel Clean'!P29:P1028," ",0)</f>
        <v>1</v>
      </c>
      <c r="G29" t="str">
        <f>_xlfn.XLOOKUP(A29,'Subbu- Mini Project EXcel Clean'!A29:A1028,'Subbu- Mini Project EXcel Clean'!Q29:Q1028," ",0)</f>
        <v>Low</v>
      </c>
      <c r="H29">
        <f>VLOOKUP(A29,'Subbu- Mini Project EXcel Clean'!A28:R1028,15,FALSE)</f>
        <v>4.8</v>
      </c>
    </row>
    <row r="30" spans="1:8" x14ac:dyDescent="0.25">
      <c r="A30" t="s">
        <v>57</v>
      </c>
      <c r="B30">
        <f>_xlfn.XLOOKUP(A30,'Subbu- Mini Project EXcel Clean'!A30:A1029,'Subbu- Mini Project EXcel Clean'!I30:I1029,"Entry Level",0)</f>
        <v>5</v>
      </c>
      <c r="C30" t="str">
        <f>_xlfn.XLOOKUP(A30,'Subbu- Mini Project EXcel Clean'!A30:A1029,'Subbu- Mini Project EXcel Clean'!J30:J1029," ",0)</f>
        <v>Good</v>
      </c>
      <c r="D30">
        <f>_xlfn.XLOOKUP(A30,'Subbu- Mini Project EXcel Clean'!A30:A1029,'Subbu- Mini Project EXcel Clean'!N30:N1029,"entry Level",0)</f>
        <v>6.7</v>
      </c>
      <c r="E30">
        <f>_xlfn.XLOOKUP(A30,'Subbu- Mini Project EXcel Clean'!A30:A1029,'Subbu- Mini Project EXcel Clean'!M30:M1029," ",0)</f>
        <v>95.5</v>
      </c>
      <c r="F30">
        <f>_xlfn.XLOOKUP(A30,'Subbu- Mini Project EXcel Clean'!A30:A1029,'Subbu- Mini Project EXcel Clean'!P30:P1029," ",0)</f>
        <v>4</v>
      </c>
      <c r="G30" t="str">
        <f>_xlfn.XLOOKUP(A30,'Subbu- Mini Project EXcel Clean'!A30:A1029,'Subbu- Mini Project EXcel Clean'!Q30:Q1029," ",0)</f>
        <v>Moderate</v>
      </c>
      <c r="H30">
        <f>VLOOKUP(A30,'Subbu- Mini Project EXcel Clean'!A29:R1029,15,FALSE)</f>
        <v>3.2</v>
      </c>
    </row>
    <row r="31" spans="1:8" x14ac:dyDescent="0.25">
      <c r="A31" t="s">
        <v>58</v>
      </c>
      <c r="B31">
        <f>_xlfn.XLOOKUP(A31,'Subbu- Mini Project EXcel Clean'!A31:A1030,'Subbu- Mini Project EXcel Clean'!I31:I1030,"Entry Level",0)</f>
        <v>2</v>
      </c>
      <c r="C31" t="str">
        <f>_xlfn.XLOOKUP(A31,'Subbu- Mini Project EXcel Clean'!A31:A1030,'Subbu- Mini Project EXcel Clean'!J31:J1030," ",0)</f>
        <v>Consistent</v>
      </c>
      <c r="D31">
        <f>_xlfn.XLOOKUP(A31,'Subbu- Mini Project EXcel Clean'!A31:A1030,'Subbu- Mini Project EXcel Clean'!N31:N1030,"entry Level",0)</f>
        <v>6.8</v>
      </c>
      <c r="E31">
        <f>_xlfn.XLOOKUP(A31,'Subbu- Mini Project EXcel Clean'!A31:A1030,'Subbu- Mini Project EXcel Clean'!M31:M1030," ",0)</f>
        <v>68.8</v>
      </c>
      <c r="F31">
        <f>_xlfn.XLOOKUP(A31,'Subbu- Mini Project EXcel Clean'!A31:A1030,'Subbu- Mini Project EXcel Clean'!P31:P1030," ",0)</f>
        <v>2</v>
      </c>
      <c r="G31" t="str">
        <f>_xlfn.XLOOKUP(A31,'Subbu- Mini Project EXcel Clean'!A31:A1030,'Subbu- Mini Project EXcel Clean'!Q31:Q1030," ",0)</f>
        <v>Low</v>
      </c>
      <c r="H31">
        <f>VLOOKUP(A31,'Subbu- Mini Project EXcel Clean'!A30:R1030,15,FALSE)</f>
        <v>4.9000000000000004</v>
      </c>
    </row>
    <row r="32" spans="1:8" x14ac:dyDescent="0.25">
      <c r="A32" t="s">
        <v>59</v>
      </c>
      <c r="B32">
        <f>_xlfn.XLOOKUP(A32,'Subbu- Mini Project EXcel Clean'!A32:A1031,'Subbu- Mini Project EXcel Clean'!I32:I1031,"Entry Level",0)</f>
        <v>2</v>
      </c>
      <c r="C32" t="str">
        <f>_xlfn.XLOOKUP(A32,'Subbu- Mini Project EXcel Clean'!A32:A1031,'Subbu- Mini Project EXcel Clean'!J32:J1031," ",0)</f>
        <v>Consistent</v>
      </c>
      <c r="D32">
        <f>_xlfn.XLOOKUP(A32,'Subbu- Mini Project EXcel Clean'!A32:A1031,'Subbu- Mini Project EXcel Clean'!N32:N1031,"entry Level",0)</f>
        <v>6.7</v>
      </c>
      <c r="E32">
        <f>_xlfn.XLOOKUP(A32,'Subbu- Mini Project EXcel Clean'!A32:A1031,'Subbu- Mini Project EXcel Clean'!M32:M1031," ",0)</f>
        <v>70</v>
      </c>
      <c r="F32">
        <f>_xlfn.XLOOKUP(A32,'Subbu- Mini Project EXcel Clean'!A32:A1031,'Subbu- Mini Project EXcel Clean'!P32:P1031," ",0)</f>
        <v>3</v>
      </c>
      <c r="G32" t="str">
        <f>_xlfn.XLOOKUP(A32,'Subbu- Mini Project EXcel Clean'!A32:A1031,'Subbu- Mini Project EXcel Clean'!Q32:Q1031," ",0)</f>
        <v>Moderate</v>
      </c>
      <c r="H32">
        <f>VLOOKUP(A32,'Subbu- Mini Project EXcel Clean'!A31:R1031,15,FALSE)</f>
        <v>4.0999999999999996</v>
      </c>
    </row>
    <row r="33" spans="1:8" x14ac:dyDescent="0.25">
      <c r="A33" t="s">
        <v>60</v>
      </c>
      <c r="B33">
        <f>_xlfn.XLOOKUP(A33,'Subbu- Mini Project EXcel Clean'!A33:A1032,'Subbu- Mini Project EXcel Clean'!I33:I1032,"Entry Level",0)</f>
        <v>2</v>
      </c>
      <c r="C33" t="str">
        <f>_xlfn.XLOOKUP(A33,'Subbu- Mini Project EXcel Clean'!A33:A1032,'Subbu- Mini Project EXcel Clean'!J33:J1032," ",0)</f>
        <v>Consistent</v>
      </c>
      <c r="D33">
        <f>_xlfn.XLOOKUP(A33,'Subbu- Mini Project EXcel Clean'!A33:A1032,'Subbu- Mini Project EXcel Clean'!N33:N1032,"entry Level",0)</f>
        <v>7.4</v>
      </c>
      <c r="E33">
        <f>_xlfn.XLOOKUP(A33,'Subbu- Mini Project EXcel Clean'!A33:A1032,'Subbu- Mini Project EXcel Clean'!M33:M1032," ",0)</f>
        <v>78</v>
      </c>
      <c r="F33">
        <f>_xlfn.XLOOKUP(A33,'Subbu- Mini Project EXcel Clean'!A33:A1032,'Subbu- Mini Project EXcel Clean'!P33:P1032," ",0)</f>
        <v>5</v>
      </c>
      <c r="G33" t="str">
        <f>_xlfn.XLOOKUP(A33,'Subbu- Mini Project EXcel Clean'!A33:A1032,'Subbu- Mini Project EXcel Clean'!Q33:Q1032," ",0)</f>
        <v>Moderate</v>
      </c>
      <c r="H33">
        <f>VLOOKUP(A33,'Subbu- Mini Project EXcel Clean'!A32:R1032,15,FALSE)</f>
        <v>1.6</v>
      </c>
    </row>
    <row r="34" spans="1:8" x14ac:dyDescent="0.25">
      <c r="A34" t="s">
        <v>61</v>
      </c>
      <c r="B34">
        <f>_xlfn.XLOOKUP(A34,'Subbu- Mini Project EXcel Clean'!A34:A1033,'Subbu- Mini Project EXcel Clean'!I34:I1033,"Entry Level",0)</f>
        <v>3</v>
      </c>
      <c r="C34" t="str">
        <f>_xlfn.XLOOKUP(A34,'Subbu- Mini Project EXcel Clean'!A34:A1033,'Subbu- Mini Project EXcel Clean'!J34:J1033," ",0)</f>
        <v>Consistent</v>
      </c>
      <c r="D34">
        <f>_xlfn.XLOOKUP(A34,'Subbu- Mini Project EXcel Clean'!A34:A1033,'Subbu- Mini Project EXcel Clean'!N34:N1033,"entry Level",0)</f>
        <v>7.1</v>
      </c>
      <c r="E34">
        <f>_xlfn.XLOOKUP(A34,'Subbu- Mini Project EXcel Clean'!A34:A1033,'Subbu- Mini Project EXcel Clean'!M34:M1033," ",0)</f>
        <v>77.2</v>
      </c>
      <c r="F34">
        <f>_xlfn.XLOOKUP(A34,'Subbu- Mini Project EXcel Clean'!A34:A1033,'Subbu- Mini Project EXcel Clean'!P34:P1033," ",0)</f>
        <v>4</v>
      </c>
      <c r="G34" t="str">
        <f>_xlfn.XLOOKUP(A34,'Subbu- Mini Project EXcel Clean'!A34:A1033,'Subbu- Mini Project EXcel Clean'!Q34:Q1033," ",0)</f>
        <v>Moderate</v>
      </c>
      <c r="H34">
        <f>VLOOKUP(A34,'Subbu- Mini Project EXcel Clean'!A33:R1033,15,FALSE)</f>
        <v>1.8</v>
      </c>
    </row>
    <row r="35" spans="1:8" x14ac:dyDescent="0.25">
      <c r="A35" t="s">
        <v>62</v>
      </c>
      <c r="B35">
        <f>_xlfn.XLOOKUP(A35,'Subbu- Mini Project EXcel Clean'!A35:A1034,'Subbu- Mini Project EXcel Clean'!I35:I1034,"Entry Level",0)</f>
        <v>3</v>
      </c>
      <c r="C35" t="str">
        <f>_xlfn.XLOOKUP(A35,'Subbu- Mini Project EXcel Clean'!A35:A1034,'Subbu- Mini Project EXcel Clean'!J35:J1034," ",0)</f>
        <v>Consistent</v>
      </c>
      <c r="D35">
        <f>_xlfn.XLOOKUP(A35,'Subbu- Mini Project EXcel Clean'!A35:A1034,'Subbu- Mini Project EXcel Clean'!N35:N1034,"entry Level",0)</f>
        <v>7.9</v>
      </c>
      <c r="E35">
        <f>_xlfn.XLOOKUP(A35,'Subbu- Mini Project EXcel Clean'!A35:A1034,'Subbu- Mini Project EXcel Clean'!M35:M1034," ",0)</f>
        <v>82.3</v>
      </c>
      <c r="F35">
        <f>_xlfn.XLOOKUP(A35,'Subbu- Mini Project EXcel Clean'!A35:A1034,'Subbu- Mini Project EXcel Clean'!P35:P1034," ",0)</f>
        <v>2</v>
      </c>
      <c r="G35" t="str">
        <f>_xlfn.XLOOKUP(A35,'Subbu- Mini Project EXcel Clean'!A35:A1034,'Subbu- Mini Project EXcel Clean'!Q35:Q1034," ",0)</f>
        <v>Low</v>
      </c>
      <c r="H35">
        <f>VLOOKUP(A35,'Subbu- Mini Project EXcel Clean'!A34:R1034,15,FALSE)</f>
        <v>3.2</v>
      </c>
    </row>
    <row r="36" spans="1:8" x14ac:dyDescent="0.25">
      <c r="A36" t="s">
        <v>63</v>
      </c>
      <c r="B36">
        <f>_xlfn.XLOOKUP(A36,'Subbu- Mini Project EXcel Clean'!A36:A1035,'Subbu- Mini Project EXcel Clean'!I36:I1035,"Entry Level",0)</f>
        <v>3</v>
      </c>
      <c r="C36" t="str">
        <f>_xlfn.XLOOKUP(A36,'Subbu- Mini Project EXcel Clean'!A36:A1035,'Subbu- Mini Project EXcel Clean'!J36:J1035," ",0)</f>
        <v>Excellent</v>
      </c>
      <c r="D36">
        <f>_xlfn.XLOOKUP(A36,'Subbu- Mini Project EXcel Clean'!A36:A1035,'Subbu- Mini Project EXcel Clean'!N36:N1035,"entry Level",0)</f>
        <v>6.9</v>
      </c>
      <c r="E36">
        <f>_xlfn.XLOOKUP(A36,'Subbu- Mini Project EXcel Clean'!A36:A1035,'Subbu- Mini Project EXcel Clean'!M36:M1035," ",0)</f>
        <v>80.7</v>
      </c>
      <c r="F36">
        <f>_xlfn.XLOOKUP(A36,'Subbu- Mini Project EXcel Clean'!A36:A1035,'Subbu- Mini Project EXcel Clean'!P36:P1035," ",0)</f>
        <v>5</v>
      </c>
      <c r="G36" t="str">
        <f>_xlfn.XLOOKUP(A36,'Subbu- Mini Project EXcel Clean'!A36:A1035,'Subbu- Mini Project EXcel Clean'!Q36:Q1035," ",0)</f>
        <v>Moderate</v>
      </c>
      <c r="H36">
        <f>VLOOKUP(A36,'Subbu- Mini Project EXcel Clean'!A35:R1035,15,FALSE)</f>
        <v>3</v>
      </c>
    </row>
    <row r="37" spans="1:8" x14ac:dyDescent="0.25">
      <c r="A37" t="s">
        <v>64</v>
      </c>
      <c r="B37">
        <f>_xlfn.XLOOKUP(A37,'Subbu- Mini Project EXcel Clean'!A37:A1036,'Subbu- Mini Project EXcel Clean'!I37:I1036,"Entry Level",0)</f>
        <v>2</v>
      </c>
      <c r="C37" t="str">
        <f>_xlfn.XLOOKUP(A37,'Subbu- Mini Project EXcel Clean'!A37:A1036,'Subbu- Mini Project EXcel Clean'!J37:J1036," ",0)</f>
        <v>Consistent</v>
      </c>
      <c r="D37">
        <f>_xlfn.XLOOKUP(A37,'Subbu- Mini Project EXcel Clean'!A37:A1036,'Subbu- Mini Project EXcel Clean'!N37:N1036,"entry Level",0)</f>
        <v>6.9</v>
      </c>
      <c r="E37">
        <f>_xlfn.XLOOKUP(A37,'Subbu- Mini Project EXcel Clean'!A37:A1036,'Subbu- Mini Project EXcel Clean'!M37:M1036," ",0)</f>
        <v>71.099999999999994</v>
      </c>
      <c r="F37">
        <f>_xlfn.XLOOKUP(A37,'Subbu- Mini Project EXcel Clean'!A37:A1036,'Subbu- Mini Project EXcel Clean'!P37:P1036," ",0)</f>
        <v>1</v>
      </c>
      <c r="G37" t="str">
        <f>_xlfn.XLOOKUP(A37,'Subbu- Mini Project EXcel Clean'!A37:A1036,'Subbu- Mini Project EXcel Clean'!Q37:Q1036," ",0)</f>
        <v>Low</v>
      </c>
      <c r="H37">
        <f>VLOOKUP(A37,'Subbu- Mini Project EXcel Clean'!A36:R1036,15,FALSE)</f>
        <v>4.7</v>
      </c>
    </row>
    <row r="38" spans="1:8" x14ac:dyDescent="0.25">
      <c r="A38" t="s">
        <v>65</v>
      </c>
      <c r="B38">
        <f>_xlfn.XLOOKUP(A38,'Subbu- Mini Project EXcel Clean'!A38:A1037,'Subbu- Mini Project EXcel Clean'!I38:I1037,"Entry Level",0)</f>
        <v>4</v>
      </c>
      <c r="C38" t="str">
        <f>_xlfn.XLOOKUP(A38,'Subbu- Mini Project EXcel Clean'!A38:A1037,'Subbu- Mini Project EXcel Clean'!J38:J1037," ",0)</f>
        <v>Excellent</v>
      </c>
      <c r="D38">
        <f>_xlfn.XLOOKUP(A38,'Subbu- Mini Project EXcel Clean'!A38:A1037,'Subbu- Mini Project EXcel Clean'!N38:N1037,"entry Level",0)</f>
        <v>5.9</v>
      </c>
      <c r="E38">
        <f>_xlfn.XLOOKUP(A38,'Subbu- Mini Project EXcel Clean'!A38:A1037,'Subbu- Mini Project EXcel Clean'!M38:M1037," ",0)</f>
        <v>95.8</v>
      </c>
      <c r="F38">
        <f>_xlfn.XLOOKUP(A38,'Subbu- Mini Project EXcel Clean'!A38:A1037,'Subbu- Mini Project EXcel Clean'!P38:P1037," ",0)</f>
        <v>5</v>
      </c>
      <c r="G38" t="str">
        <f>_xlfn.XLOOKUP(A38,'Subbu- Mini Project EXcel Clean'!A38:A1037,'Subbu- Mini Project EXcel Clean'!Q38:Q1037," ",0)</f>
        <v>Moderate</v>
      </c>
      <c r="H38">
        <f>VLOOKUP(A38,'Subbu- Mini Project EXcel Clean'!A37:R1037,15,FALSE)</f>
        <v>3.9</v>
      </c>
    </row>
    <row r="39" spans="1:8" x14ac:dyDescent="0.25">
      <c r="A39" t="s">
        <v>66</v>
      </c>
      <c r="B39">
        <f>_xlfn.XLOOKUP(A39,'Subbu- Mini Project EXcel Clean'!A39:A1038,'Subbu- Mini Project EXcel Clean'!I39:I1038,"Entry Level",0)</f>
        <v>2</v>
      </c>
      <c r="C39" t="str">
        <f>_xlfn.XLOOKUP(A39,'Subbu- Mini Project EXcel Clean'!A39:A1038,'Subbu- Mini Project EXcel Clean'!J39:J1038," ",0)</f>
        <v>Consistent</v>
      </c>
      <c r="D39">
        <f>_xlfn.XLOOKUP(A39,'Subbu- Mini Project EXcel Clean'!A39:A1038,'Subbu- Mini Project EXcel Clean'!N39:N1038,"entry Level",0)</f>
        <v>7.7</v>
      </c>
      <c r="E39">
        <f>_xlfn.XLOOKUP(A39,'Subbu- Mini Project EXcel Clean'!A39:A1038,'Subbu- Mini Project EXcel Clean'!M39:M1038," ",0)</f>
        <v>73.3</v>
      </c>
      <c r="F39">
        <f>_xlfn.XLOOKUP(A39,'Subbu- Mini Project EXcel Clean'!A39:A1038,'Subbu- Mini Project EXcel Clean'!P39:P1038," ",0)</f>
        <v>3</v>
      </c>
      <c r="G39" t="str">
        <f>_xlfn.XLOOKUP(A39,'Subbu- Mini Project EXcel Clean'!A39:A1038,'Subbu- Mini Project EXcel Clean'!Q39:Q1038," ",0)</f>
        <v>Low</v>
      </c>
      <c r="H39">
        <f>VLOOKUP(A39,'Subbu- Mini Project EXcel Clean'!A38:R1038,15,FALSE)</f>
        <v>2.9</v>
      </c>
    </row>
    <row r="40" spans="1:8" x14ac:dyDescent="0.25">
      <c r="A40" t="s">
        <v>67</v>
      </c>
      <c r="B40">
        <f>_xlfn.XLOOKUP(A40,'Subbu- Mini Project EXcel Clean'!A40:A1039,'Subbu- Mini Project EXcel Clean'!I40:I1039,"Entry Level",0)</f>
        <v>2</v>
      </c>
      <c r="C40" t="str">
        <f>_xlfn.XLOOKUP(A40,'Subbu- Mini Project EXcel Clean'!A40:A1039,'Subbu- Mini Project EXcel Clean'!J40:J1039," ",0)</f>
        <v>Consistent</v>
      </c>
      <c r="D40">
        <f>_xlfn.XLOOKUP(A40,'Subbu- Mini Project EXcel Clean'!A40:A1039,'Subbu- Mini Project EXcel Clean'!N40:N1039,"entry Level",0)</f>
        <v>8</v>
      </c>
      <c r="E40">
        <f>_xlfn.XLOOKUP(A40,'Subbu- Mini Project EXcel Clean'!A40:A1039,'Subbu- Mini Project EXcel Clean'!M40:M1039," ",0)</f>
        <v>67</v>
      </c>
      <c r="F40">
        <f>_xlfn.XLOOKUP(A40,'Subbu- Mini Project EXcel Clean'!A40:A1039,'Subbu- Mini Project EXcel Clean'!P40:P1039," ",0)</f>
        <v>6</v>
      </c>
      <c r="G40" t="str">
        <f>_xlfn.XLOOKUP(A40,'Subbu- Mini Project EXcel Clean'!A40:A1039,'Subbu- Mini Project EXcel Clean'!Q40:Q1039," ",0)</f>
        <v>High</v>
      </c>
      <c r="H40">
        <f>VLOOKUP(A40,'Subbu- Mini Project EXcel Clean'!A39:R1039,15,FALSE)</f>
        <v>1.9</v>
      </c>
    </row>
    <row r="41" spans="1:8" x14ac:dyDescent="0.25">
      <c r="A41" t="s">
        <v>68</v>
      </c>
      <c r="B41">
        <f>_xlfn.XLOOKUP(A41,'Subbu- Mini Project EXcel Clean'!A41:A1040,'Subbu- Mini Project EXcel Clean'!I41:I1040,"Entry Level",0)</f>
        <v>3</v>
      </c>
      <c r="C41" t="str">
        <f>_xlfn.XLOOKUP(A41,'Subbu- Mini Project EXcel Clean'!A41:A1040,'Subbu- Mini Project EXcel Clean'!J41:J1040," ",0)</f>
        <v>Consistent</v>
      </c>
      <c r="D41">
        <f>_xlfn.XLOOKUP(A41,'Subbu- Mini Project EXcel Clean'!A41:A1040,'Subbu- Mini Project EXcel Clean'!N41:N1040,"entry Level",0)</f>
        <v>7.4</v>
      </c>
      <c r="E41">
        <f>_xlfn.XLOOKUP(A41,'Subbu- Mini Project EXcel Clean'!A41:A1040,'Subbu- Mini Project EXcel Clean'!M41:M1040," ",0)</f>
        <v>78.900000000000006</v>
      </c>
      <c r="F41">
        <f>_xlfn.XLOOKUP(A41,'Subbu- Mini Project EXcel Clean'!A41:A1040,'Subbu- Mini Project EXcel Clean'!P41:P1040," ",0)</f>
        <v>4</v>
      </c>
      <c r="G41" t="str">
        <f>_xlfn.XLOOKUP(A41,'Subbu- Mini Project EXcel Clean'!A41:A1040,'Subbu- Mini Project EXcel Clean'!Q41:Q1040," ",0)</f>
        <v>Moderate</v>
      </c>
      <c r="H41">
        <f>VLOOKUP(A41,'Subbu- Mini Project EXcel Clean'!A40:R1040,15,FALSE)</f>
        <v>2.1</v>
      </c>
    </row>
    <row r="42" spans="1:8" x14ac:dyDescent="0.25">
      <c r="A42" t="s">
        <v>69</v>
      </c>
      <c r="B42">
        <f>_xlfn.XLOOKUP(A42,'Subbu- Mini Project EXcel Clean'!A42:A1041,'Subbu- Mini Project EXcel Clean'!I42:I1041,"Entry Level",0)</f>
        <v>4</v>
      </c>
      <c r="C42" t="str">
        <f>_xlfn.XLOOKUP(A42,'Subbu- Mini Project EXcel Clean'!A42:A1041,'Subbu- Mini Project EXcel Clean'!J42:J1041," ",0)</f>
        <v>Good</v>
      </c>
      <c r="D42">
        <f>_xlfn.XLOOKUP(A42,'Subbu- Mini Project EXcel Clean'!A42:A1041,'Subbu- Mini Project EXcel Clean'!N42:N1041,"entry Level",0)</f>
        <v>6.7</v>
      </c>
      <c r="E42">
        <f>_xlfn.XLOOKUP(A42,'Subbu- Mini Project EXcel Clean'!A42:A1041,'Subbu- Mini Project EXcel Clean'!M42:M1041," ",0)</f>
        <v>90.1</v>
      </c>
      <c r="F42">
        <f>_xlfn.XLOOKUP(A42,'Subbu- Mini Project EXcel Clean'!A42:A1041,'Subbu- Mini Project EXcel Clean'!P42:P1041," ",0)</f>
        <v>2</v>
      </c>
      <c r="G42" t="str">
        <f>_xlfn.XLOOKUP(A42,'Subbu- Mini Project EXcel Clean'!A42:A1041,'Subbu- Mini Project EXcel Clean'!Q42:Q1041," ",0)</f>
        <v>Low</v>
      </c>
      <c r="H42">
        <f>VLOOKUP(A42,'Subbu- Mini Project EXcel Clean'!A41:R1041,15,FALSE)</f>
        <v>3.9</v>
      </c>
    </row>
    <row r="43" spans="1:8" x14ac:dyDescent="0.25">
      <c r="A43" t="s">
        <v>70</v>
      </c>
      <c r="B43">
        <f>_xlfn.XLOOKUP(A43,'Subbu- Mini Project EXcel Clean'!A43:A1042,'Subbu- Mini Project EXcel Clean'!I43:I1042,"Entry Level",0)</f>
        <v>4</v>
      </c>
      <c r="C43" t="str">
        <f>_xlfn.XLOOKUP(A43,'Subbu- Mini Project EXcel Clean'!A43:A1042,'Subbu- Mini Project EXcel Clean'!J43:J1042," ",0)</f>
        <v>Excellent</v>
      </c>
      <c r="D43">
        <f>_xlfn.XLOOKUP(A43,'Subbu- Mini Project EXcel Clean'!A43:A1042,'Subbu- Mini Project EXcel Clean'!N43:N1042,"entry Level",0)</f>
        <v>7.3</v>
      </c>
      <c r="E43">
        <f>_xlfn.XLOOKUP(A43,'Subbu- Mini Project EXcel Clean'!A43:A1042,'Subbu- Mini Project EXcel Clean'!M43:M1042," ",0)</f>
        <v>92</v>
      </c>
      <c r="F43">
        <f>_xlfn.XLOOKUP(A43,'Subbu- Mini Project EXcel Clean'!A43:A1042,'Subbu- Mini Project EXcel Clean'!P43:P1042," ",0)</f>
        <v>4</v>
      </c>
      <c r="G43" t="str">
        <f>_xlfn.XLOOKUP(A43,'Subbu- Mini Project EXcel Clean'!A43:A1042,'Subbu- Mini Project EXcel Clean'!Q43:Q1042," ",0)</f>
        <v>Moderate</v>
      </c>
      <c r="H43">
        <f>VLOOKUP(A43,'Subbu- Mini Project EXcel Clean'!A42:R1042,15,FALSE)</f>
        <v>3.1</v>
      </c>
    </row>
    <row r="44" spans="1:8" x14ac:dyDescent="0.25">
      <c r="A44" t="s">
        <v>71</v>
      </c>
      <c r="B44">
        <f>_xlfn.XLOOKUP(A44,'Subbu- Mini Project EXcel Clean'!A44:A1043,'Subbu- Mini Project EXcel Clean'!I44:I1043,"Entry Level",0)</f>
        <v>4</v>
      </c>
      <c r="C44" t="str">
        <f>_xlfn.XLOOKUP(A44,'Subbu- Mini Project EXcel Clean'!A44:A1043,'Subbu- Mini Project EXcel Clean'!J44:J1043," ",0)</f>
        <v>Excellent</v>
      </c>
      <c r="D44">
        <f>_xlfn.XLOOKUP(A44,'Subbu- Mini Project EXcel Clean'!A44:A1043,'Subbu- Mini Project EXcel Clean'!N44:N1043,"entry Level",0)</f>
        <v>8.1</v>
      </c>
      <c r="E44">
        <f>_xlfn.XLOOKUP(A44,'Subbu- Mini Project EXcel Clean'!A44:A1043,'Subbu- Mini Project EXcel Clean'!M44:M1043," ",0)</f>
        <v>89.3</v>
      </c>
      <c r="F44">
        <f>_xlfn.XLOOKUP(A44,'Subbu- Mini Project EXcel Clean'!A44:A1043,'Subbu- Mini Project EXcel Clean'!P44:P1043," ",0)</f>
        <v>1</v>
      </c>
      <c r="G44" t="str">
        <f>_xlfn.XLOOKUP(A44,'Subbu- Mini Project EXcel Clean'!A44:A1043,'Subbu- Mini Project EXcel Clean'!Q44:Q1043," ",0)</f>
        <v>Low</v>
      </c>
      <c r="H44">
        <f>VLOOKUP(A44,'Subbu- Mini Project EXcel Clean'!A43:R1043,15,FALSE)</f>
        <v>3.6</v>
      </c>
    </row>
    <row r="45" spans="1:8" x14ac:dyDescent="0.25">
      <c r="A45" t="s">
        <v>72</v>
      </c>
      <c r="B45">
        <f>_xlfn.XLOOKUP(A45,'Subbu- Mini Project EXcel Clean'!A45:A1044,'Subbu- Mini Project EXcel Clean'!I45:I1044,"Entry Level",0)</f>
        <v>2</v>
      </c>
      <c r="C45" t="str">
        <f>_xlfn.XLOOKUP(A45,'Subbu- Mini Project EXcel Clean'!A45:A1044,'Subbu- Mini Project EXcel Clean'!J45:J1044," ",0)</f>
        <v>Consistent</v>
      </c>
      <c r="D45">
        <f>_xlfn.XLOOKUP(A45,'Subbu- Mini Project EXcel Clean'!A45:A1044,'Subbu- Mini Project EXcel Clean'!N45:N1044,"entry Level",0)</f>
        <v>6.6</v>
      </c>
      <c r="E45">
        <f>_xlfn.XLOOKUP(A45,'Subbu- Mini Project EXcel Clean'!A45:A1044,'Subbu- Mini Project EXcel Clean'!M45:M1044," ",0)</f>
        <v>62</v>
      </c>
      <c r="F45">
        <f>_xlfn.XLOOKUP(A45,'Subbu- Mini Project EXcel Clean'!A45:A1044,'Subbu- Mini Project EXcel Clean'!P45:P1044," ",0)</f>
        <v>1</v>
      </c>
      <c r="G45" t="str">
        <f>_xlfn.XLOOKUP(A45,'Subbu- Mini Project EXcel Clean'!A45:A1044,'Subbu- Mini Project EXcel Clean'!Q45:Q1044," ",0)</f>
        <v>Low</v>
      </c>
      <c r="H45">
        <f>VLOOKUP(A45,'Subbu- Mini Project EXcel Clean'!A44:R1044,15,FALSE)</f>
        <v>1.9</v>
      </c>
    </row>
    <row r="46" spans="1:8" x14ac:dyDescent="0.25">
      <c r="A46" t="s">
        <v>73</v>
      </c>
      <c r="B46">
        <f>_xlfn.XLOOKUP(A46,'Subbu- Mini Project EXcel Clean'!A46:A1045,'Subbu- Mini Project EXcel Clean'!I46:I1045,"Entry Level",0)</f>
        <v>3</v>
      </c>
      <c r="C46" t="str">
        <f>_xlfn.XLOOKUP(A46,'Subbu- Mini Project EXcel Clean'!A46:A1045,'Subbu- Mini Project EXcel Clean'!J46:J1045," ",0)</f>
        <v>Excellent</v>
      </c>
      <c r="D46">
        <f>_xlfn.XLOOKUP(A46,'Subbu- Mini Project EXcel Clean'!A46:A1045,'Subbu- Mini Project EXcel Clean'!N46:N1045,"entry Level",0)</f>
        <v>7.1</v>
      </c>
      <c r="E46">
        <f>_xlfn.XLOOKUP(A46,'Subbu- Mini Project EXcel Clean'!A46:A1045,'Subbu- Mini Project EXcel Clean'!M46:M1045," ",0)</f>
        <v>82.2</v>
      </c>
      <c r="F46">
        <f>_xlfn.XLOOKUP(A46,'Subbu- Mini Project EXcel Clean'!A46:A1045,'Subbu- Mini Project EXcel Clean'!P46:P1045," ",0)</f>
        <v>4</v>
      </c>
      <c r="G46" t="str">
        <f>_xlfn.XLOOKUP(A46,'Subbu- Mini Project EXcel Clean'!A46:A1045,'Subbu- Mini Project EXcel Clean'!Q46:Q1045," ",0)</f>
        <v>Moderate</v>
      </c>
      <c r="H46">
        <f>VLOOKUP(A46,'Subbu- Mini Project EXcel Clean'!A45:R1045,15,FALSE)</f>
        <v>4.3</v>
      </c>
    </row>
    <row r="47" spans="1:8" x14ac:dyDescent="0.25">
      <c r="A47" t="s">
        <v>74</v>
      </c>
      <c r="B47">
        <f>_xlfn.XLOOKUP(A47,'Subbu- Mini Project EXcel Clean'!A47:A1046,'Subbu- Mini Project EXcel Clean'!I47:I1046,"Entry Level",0)</f>
        <v>1</v>
      </c>
      <c r="C47" t="str">
        <f>_xlfn.XLOOKUP(A47,'Subbu- Mini Project EXcel Clean'!A47:A1046,'Subbu- Mini Project EXcel Clean'!J47:J1046," ",0)</f>
        <v>Consistent</v>
      </c>
      <c r="D47">
        <f>_xlfn.XLOOKUP(A47,'Subbu- Mini Project EXcel Clean'!A47:A1046,'Subbu- Mini Project EXcel Clean'!N47:N1046,"entry Level",0)</f>
        <v>6</v>
      </c>
      <c r="E47">
        <f>_xlfn.XLOOKUP(A47,'Subbu- Mini Project EXcel Clean'!A47:A1046,'Subbu- Mini Project EXcel Clean'!M47:M1046," ",0)</f>
        <v>53.4</v>
      </c>
      <c r="F47">
        <f>_xlfn.XLOOKUP(A47,'Subbu- Mini Project EXcel Clean'!A47:A1046,'Subbu- Mini Project EXcel Clean'!P47:P1046," ",0)</f>
        <v>5</v>
      </c>
      <c r="G47" t="str">
        <f>_xlfn.XLOOKUP(A47,'Subbu- Mini Project EXcel Clean'!A47:A1046,'Subbu- Mini Project EXcel Clean'!Q47:Q1046," ",0)</f>
        <v>Moderate</v>
      </c>
      <c r="H47">
        <f>VLOOKUP(A47,'Subbu- Mini Project EXcel Clean'!A46:R1046,15,FALSE)</f>
        <v>5.3</v>
      </c>
    </row>
    <row r="48" spans="1:8" x14ac:dyDescent="0.25">
      <c r="A48" t="s">
        <v>75</v>
      </c>
      <c r="B48">
        <f>_xlfn.XLOOKUP(A48,'Subbu- Mini Project EXcel Clean'!A48:A1047,'Subbu- Mini Project EXcel Clean'!I48:I1047,"Entry Level",0)</f>
        <v>3</v>
      </c>
      <c r="C48" t="str">
        <f>_xlfn.XLOOKUP(A48,'Subbu- Mini Project EXcel Clean'!A48:A1047,'Subbu- Mini Project EXcel Clean'!J48:J1047," ",0)</f>
        <v>Consistent</v>
      </c>
      <c r="D48">
        <f>_xlfn.XLOOKUP(A48,'Subbu- Mini Project EXcel Clean'!A48:A1047,'Subbu- Mini Project EXcel Clean'!N48:N1047,"entry Level",0)</f>
        <v>7.3</v>
      </c>
      <c r="E48">
        <f>_xlfn.XLOOKUP(A48,'Subbu- Mini Project EXcel Clean'!A48:A1047,'Subbu- Mini Project EXcel Clean'!M48:M1047," ",0)</f>
        <v>82.3</v>
      </c>
      <c r="F48">
        <f>_xlfn.XLOOKUP(A48,'Subbu- Mini Project EXcel Clean'!A48:A1047,'Subbu- Mini Project EXcel Clean'!P48:P1047," ",0)</f>
        <v>1</v>
      </c>
      <c r="G48" t="str">
        <f>_xlfn.XLOOKUP(A48,'Subbu- Mini Project EXcel Clean'!A48:A1047,'Subbu- Mini Project EXcel Clean'!Q48:Q1047," ",0)</f>
        <v>Low</v>
      </c>
      <c r="H48">
        <f>VLOOKUP(A48,'Subbu- Mini Project EXcel Clean'!A47:R1047,15,FALSE)</f>
        <v>2.2999999999999998</v>
      </c>
    </row>
    <row r="49" spans="1:8" x14ac:dyDescent="0.25">
      <c r="A49" t="s">
        <v>76</v>
      </c>
      <c r="B49">
        <f>_xlfn.XLOOKUP(A49,'Subbu- Mini Project EXcel Clean'!A49:A1048,'Subbu- Mini Project EXcel Clean'!I49:I1048,"Entry Level",0)</f>
        <v>3</v>
      </c>
      <c r="C49" t="str">
        <f>_xlfn.XLOOKUP(A49,'Subbu- Mini Project EXcel Clean'!A49:A1048,'Subbu- Mini Project EXcel Clean'!J49:J1048," ",0)</f>
        <v>Consistent</v>
      </c>
      <c r="D49">
        <f>_xlfn.XLOOKUP(A49,'Subbu- Mini Project EXcel Clean'!A49:A1048,'Subbu- Mini Project EXcel Clean'!N49:N1048,"entry Level",0)</f>
        <v>6.8</v>
      </c>
      <c r="E49">
        <f>_xlfn.XLOOKUP(A49,'Subbu- Mini Project EXcel Clean'!A49:A1048,'Subbu- Mini Project EXcel Clean'!M49:M1048," ",0)</f>
        <v>74</v>
      </c>
      <c r="F49">
        <f>_xlfn.XLOOKUP(A49,'Subbu- Mini Project EXcel Clean'!A49:A1048,'Subbu- Mini Project EXcel Clean'!P49:P1048," ",0)</f>
        <v>1</v>
      </c>
      <c r="G49" t="str">
        <f>_xlfn.XLOOKUP(A49,'Subbu- Mini Project EXcel Clean'!A49:A1048,'Subbu- Mini Project EXcel Clean'!Q49:Q1048," ",0)</f>
        <v>Low</v>
      </c>
      <c r="H49">
        <f>VLOOKUP(A49,'Subbu- Mini Project EXcel Clean'!A48:R1048,15,FALSE)</f>
        <v>3.5</v>
      </c>
    </row>
    <row r="50" spans="1:8" x14ac:dyDescent="0.25">
      <c r="A50" t="s">
        <v>77</v>
      </c>
      <c r="B50">
        <f>_xlfn.XLOOKUP(A50,'Subbu- Mini Project EXcel Clean'!A50:A1049,'Subbu- Mini Project EXcel Clean'!I50:I1049,"Entry Level",0)</f>
        <v>1</v>
      </c>
      <c r="C50" t="str">
        <f>_xlfn.XLOOKUP(A50,'Subbu- Mini Project EXcel Clean'!A50:A1049,'Subbu- Mini Project EXcel Clean'!J50:J1049," ",0)</f>
        <v>Consistent</v>
      </c>
      <c r="D50">
        <f>_xlfn.XLOOKUP(A50,'Subbu- Mini Project EXcel Clean'!A50:A1049,'Subbu- Mini Project EXcel Clean'!N50:N1049,"entry Level",0)</f>
        <v>6</v>
      </c>
      <c r="E50">
        <f>_xlfn.XLOOKUP(A50,'Subbu- Mini Project EXcel Clean'!A50:A1049,'Subbu- Mini Project EXcel Clean'!M50:M1049," ",0)</f>
        <v>61.9</v>
      </c>
      <c r="F50">
        <f>_xlfn.XLOOKUP(A50,'Subbu- Mini Project EXcel Clean'!A50:A1049,'Subbu- Mini Project EXcel Clean'!P50:P1049," ",0)</f>
        <v>2</v>
      </c>
      <c r="G50" t="str">
        <f>_xlfn.XLOOKUP(A50,'Subbu- Mini Project EXcel Clean'!A50:A1049,'Subbu- Mini Project EXcel Clean'!Q50:Q1049," ",0)</f>
        <v>Low</v>
      </c>
      <c r="H50">
        <f>VLOOKUP(A50,'Subbu- Mini Project EXcel Clean'!A49:R1049,15,FALSE)</f>
        <v>5.9</v>
      </c>
    </row>
    <row r="51" spans="1:8" x14ac:dyDescent="0.25">
      <c r="A51" t="s">
        <v>78</v>
      </c>
      <c r="B51">
        <f>_xlfn.XLOOKUP(A51,'Subbu- Mini Project EXcel Clean'!A51:A1050,'Subbu- Mini Project EXcel Clean'!I51:I1050,"Entry Level",0)</f>
        <v>2</v>
      </c>
      <c r="C51" t="str">
        <f>_xlfn.XLOOKUP(A51,'Subbu- Mini Project EXcel Clean'!A51:A1050,'Subbu- Mini Project EXcel Clean'!J51:J1050," ",0)</f>
        <v>Consistent</v>
      </c>
      <c r="D51">
        <f>_xlfn.XLOOKUP(A51,'Subbu- Mini Project EXcel Clean'!A51:A1050,'Subbu- Mini Project EXcel Clean'!N51:N1050,"entry Level",0)</f>
        <v>7.2</v>
      </c>
      <c r="E51">
        <f>_xlfn.XLOOKUP(A51,'Subbu- Mini Project EXcel Clean'!A51:A1050,'Subbu- Mini Project EXcel Clean'!M51:M1050," ",0)</f>
        <v>69.400000000000006</v>
      </c>
      <c r="F51">
        <f>_xlfn.XLOOKUP(A51,'Subbu- Mini Project EXcel Clean'!A51:A1050,'Subbu- Mini Project EXcel Clean'!P51:P1050," ",0)</f>
        <v>1</v>
      </c>
      <c r="G51" t="str">
        <f>_xlfn.XLOOKUP(A51,'Subbu- Mini Project EXcel Clean'!A51:A1050,'Subbu- Mini Project EXcel Clean'!Q51:Q1050," ",0)</f>
        <v>Low</v>
      </c>
      <c r="H51">
        <f>VLOOKUP(A51,'Subbu- Mini Project EXcel Clean'!A50:R1050,15,FALSE)</f>
        <v>2.7</v>
      </c>
    </row>
    <row r="52" spans="1:8" x14ac:dyDescent="0.25">
      <c r="A52" t="s">
        <v>79</v>
      </c>
      <c r="B52">
        <f>_xlfn.XLOOKUP(A52,'Subbu- Mini Project EXcel Clean'!A52:A1051,'Subbu- Mini Project EXcel Clean'!I52:I1051,"Entry Level",0)</f>
        <v>5</v>
      </c>
      <c r="C52" t="str">
        <f>_xlfn.XLOOKUP(A52,'Subbu- Mini Project EXcel Clean'!A52:A1051,'Subbu- Mini Project EXcel Clean'!J52:J1051," ",0)</f>
        <v>Good</v>
      </c>
      <c r="D52">
        <f>_xlfn.XLOOKUP(A52,'Subbu- Mini Project EXcel Clean'!A52:A1051,'Subbu- Mini Project EXcel Clean'!N52:N1051,"entry Level",0)</f>
        <v>6.2</v>
      </c>
      <c r="E52">
        <f>_xlfn.XLOOKUP(A52,'Subbu- Mini Project EXcel Clean'!A52:A1051,'Subbu- Mini Project EXcel Clean'!M52:M1051," ",0)</f>
        <v>104</v>
      </c>
      <c r="F52">
        <f>_xlfn.XLOOKUP(A52,'Subbu- Mini Project EXcel Clean'!A52:A1051,'Subbu- Mini Project EXcel Clean'!P52:P1051," ",0)</f>
        <v>3</v>
      </c>
      <c r="G52" t="str">
        <f>_xlfn.XLOOKUP(A52,'Subbu- Mini Project EXcel Clean'!A52:A1051,'Subbu- Mini Project EXcel Clean'!Q52:Q1051," ",0)</f>
        <v>Low</v>
      </c>
      <c r="H52">
        <f>VLOOKUP(A52,'Subbu- Mini Project EXcel Clean'!A51:R1051,15,FALSE)</f>
        <v>4</v>
      </c>
    </row>
    <row r="53" spans="1:8" x14ac:dyDescent="0.25">
      <c r="A53" t="s">
        <v>80</v>
      </c>
      <c r="B53">
        <f>_xlfn.XLOOKUP(A53,'Subbu- Mini Project EXcel Clean'!A53:A1052,'Subbu- Mini Project EXcel Clean'!I53:I1052,"Entry Level",0)</f>
        <v>5</v>
      </c>
      <c r="C53" t="str">
        <f>_xlfn.XLOOKUP(A53,'Subbu- Mini Project EXcel Clean'!A53:A1052,'Subbu- Mini Project EXcel Clean'!J53:J1052," ",0)</f>
        <v>Good</v>
      </c>
      <c r="D53">
        <f>_xlfn.XLOOKUP(A53,'Subbu- Mini Project EXcel Clean'!A53:A1052,'Subbu- Mini Project EXcel Clean'!N53:N1052,"entry Level",0)</f>
        <v>8.1</v>
      </c>
      <c r="E53">
        <f>_xlfn.XLOOKUP(A53,'Subbu- Mini Project EXcel Clean'!A53:A1052,'Subbu- Mini Project EXcel Clean'!M53:M1052," ",0)</f>
        <v>84</v>
      </c>
      <c r="F53">
        <f>_xlfn.XLOOKUP(A53,'Subbu- Mini Project EXcel Clean'!A53:A1052,'Subbu- Mini Project EXcel Clean'!P53:P1052," ",0)</f>
        <v>3</v>
      </c>
      <c r="G53" t="str">
        <f>_xlfn.XLOOKUP(A53,'Subbu- Mini Project EXcel Clean'!A53:A1052,'Subbu- Mini Project EXcel Clean'!Q53:Q1052," ",0)</f>
        <v>Moderate</v>
      </c>
      <c r="H53">
        <f>VLOOKUP(A53,'Subbu- Mini Project EXcel Clean'!A52:R1052,15,FALSE)</f>
        <v>1.5</v>
      </c>
    </row>
    <row r="54" spans="1:8" x14ac:dyDescent="0.25">
      <c r="A54" t="s">
        <v>81</v>
      </c>
      <c r="B54">
        <f>_xlfn.XLOOKUP(A54,'Subbu- Mini Project EXcel Clean'!A54:A1053,'Subbu- Mini Project EXcel Clean'!I54:I1053,"Entry Level",0)</f>
        <v>2</v>
      </c>
      <c r="C54" t="str">
        <f>_xlfn.XLOOKUP(A54,'Subbu- Mini Project EXcel Clean'!A54:A1053,'Subbu- Mini Project EXcel Clean'!J54:J1053," ",0)</f>
        <v>Consistent</v>
      </c>
      <c r="D54">
        <f>_xlfn.XLOOKUP(A54,'Subbu- Mini Project EXcel Clean'!A54:A1053,'Subbu- Mini Project EXcel Clean'!N54:N1053,"entry Level",0)</f>
        <v>5.9</v>
      </c>
      <c r="E54">
        <f>_xlfn.XLOOKUP(A54,'Subbu- Mini Project EXcel Clean'!A54:A1053,'Subbu- Mini Project EXcel Clean'!M54:M1053," ",0)</f>
        <v>74</v>
      </c>
      <c r="F54">
        <f>_xlfn.XLOOKUP(A54,'Subbu- Mini Project EXcel Clean'!A54:A1053,'Subbu- Mini Project EXcel Clean'!P54:P1053," ",0)</f>
        <v>4</v>
      </c>
      <c r="G54" t="str">
        <f>_xlfn.XLOOKUP(A54,'Subbu- Mini Project EXcel Clean'!A54:A1053,'Subbu- Mini Project EXcel Clean'!Q54:Q1053," ",0)</f>
        <v>Moderate</v>
      </c>
      <c r="H54">
        <f>VLOOKUP(A54,'Subbu- Mini Project EXcel Clean'!A53:R1053,15,FALSE)</f>
        <v>4</v>
      </c>
    </row>
    <row r="55" spans="1:8" x14ac:dyDescent="0.25">
      <c r="A55" t="s">
        <v>82</v>
      </c>
      <c r="B55">
        <f>_xlfn.XLOOKUP(A55,'Subbu- Mini Project EXcel Clean'!A55:A1054,'Subbu- Mini Project EXcel Clean'!I55:I1054,"Entry Level",0)</f>
        <v>1</v>
      </c>
      <c r="C55" t="str">
        <f>_xlfn.XLOOKUP(A55,'Subbu- Mini Project EXcel Clean'!A55:A1054,'Subbu- Mini Project EXcel Clean'!J55:J1054," ",0)</f>
        <v>Consistent</v>
      </c>
      <c r="D55">
        <f>_xlfn.XLOOKUP(A55,'Subbu- Mini Project EXcel Clean'!A55:A1054,'Subbu- Mini Project EXcel Clean'!N55:N1054,"entry Level",0)</f>
        <v>7.8</v>
      </c>
      <c r="E55">
        <f>_xlfn.XLOOKUP(A55,'Subbu- Mini Project EXcel Clean'!A55:A1054,'Subbu- Mini Project EXcel Clean'!M55:M1054," ",0)</f>
        <v>61.2</v>
      </c>
      <c r="F55">
        <f>_xlfn.XLOOKUP(A55,'Subbu- Mini Project EXcel Clean'!A55:A1054,'Subbu- Mini Project EXcel Clean'!P55:P1054," ",0)</f>
        <v>1</v>
      </c>
      <c r="G55" t="str">
        <f>_xlfn.XLOOKUP(A55,'Subbu- Mini Project EXcel Clean'!A55:A1054,'Subbu- Mini Project EXcel Clean'!Q55:Q1054," ",0)</f>
        <v>Low</v>
      </c>
      <c r="H55">
        <f>VLOOKUP(A55,'Subbu- Mini Project EXcel Clean'!A54:R1054,15,FALSE)</f>
        <v>1.4</v>
      </c>
    </row>
    <row r="56" spans="1:8" x14ac:dyDescent="0.25">
      <c r="A56" t="s">
        <v>83</v>
      </c>
      <c r="B56">
        <f>_xlfn.XLOOKUP(A56,'Subbu- Mini Project EXcel Clean'!A56:A1055,'Subbu- Mini Project EXcel Clean'!I56:I1055,"Entry Level",0)</f>
        <v>2</v>
      </c>
      <c r="C56" t="str">
        <f>_xlfn.XLOOKUP(A56,'Subbu- Mini Project EXcel Clean'!A56:A1055,'Subbu- Mini Project EXcel Clean'!J56:J1055," ",0)</f>
        <v>Consistent</v>
      </c>
      <c r="D56">
        <f>_xlfn.XLOOKUP(A56,'Subbu- Mini Project EXcel Clean'!A56:A1055,'Subbu- Mini Project EXcel Clean'!N56:N1055,"entry Level",0)</f>
        <v>6.1</v>
      </c>
      <c r="E56">
        <f>_xlfn.XLOOKUP(A56,'Subbu- Mini Project EXcel Clean'!A56:A1055,'Subbu- Mini Project EXcel Clean'!M56:M1055," ",0)</f>
        <v>64.900000000000006</v>
      </c>
      <c r="F56">
        <f>_xlfn.XLOOKUP(A56,'Subbu- Mini Project EXcel Clean'!A56:A1055,'Subbu- Mini Project EXcel Clean'!P56:P1055," ",0)</f>
        <v>1</v>
      </c>
      <c r="G56" t="str">
        <f>_xlfn.XLOOKUP(A56,'Subbu- Mini Project EXcel Clean'!A56:A1055,'Subbu- Mini Project EXcel Clean'!Q56:Q1055," ",0)</f>
        <v>Low</v>
      </c>
      <c r="H56">
        <f>VLOOKUP(A56,'Subbu- Mini Project EXcel Clean'!A55:R1055,15,FALSE)</f>
        <v>5.8</v>
      </c>
    </row>
    <row r="57" spans="1:8" x14ac:dyDescent="0.25">
      <c r="A57" t="s">
        <v>84</v>
      </c>
      <c r="B57">
        <f>_xlfn.XLOOKUP(A57,'Subbu- Mini Project EXcel Clean'!A57:A1056,'Subbu- Mini Project EXcel Clean'!I57:I1056,"Entry Level",0)</f>
        <v>3</v>
      </c>
      <c r="C57" t="str">
        <f>_xlfn.XLOOKUP(A57,'Subbu- Mini Project EXcel Clean'!A57:A1056,'Subbu- Mini Project EXcel Clean'!J57:J1056," ",0)</f>
        <v>Consistent</v>
      </c>
      <c r="D57">
        <f>_xlfn.XLOOKUP(A57,'Subbu- Mini Project EXcel Clean'!A57:A1056,'Subbu- Mini Project EXcel Clean'!N57:N1056,"entry Level",0)</f>
        <v>6</v>
      </c>
      <c r="E57">
        <f>_xlfn.XLOOKUP(A57,'Subbu- Mini Project EXcel Clean'!A57:A1056,'Subbu- Mini Project EXcel Clean'!M57:M1056," ",0)</f>
        <v>84.3</v>
      </c>
      <c r="F57">
        <f>_xlfn.XLOOKUP(A57,'Subbu- Mini Project EXcel Clean'!A57:A1056,'Subbu- Mini Project EXcel Clean'!P57:P1056," ",0)</f>
        <v>7</v>
      </c>
      <c r="G57" t="str">
        <f>_xlfn.XLOOKUP(A57,'Subbu- Mini Project EXcel Clean'!A57:A1056,'Subbu- Mini Project EXcel Clean'!Q57:Q1056," ",0)</f>
        <v>High</v>
      </c>
      <c r="H57">
        <f>VLOOKUP(A57,'Subbu- Mini Project EXcel Clean'!A56:R1056,15,FALSE)</f>
        <v>4.5999999999999996</v>
      </c>
    </row>
    <row r="58" spans="1:8" x14ac:dyDescent="0.25">
      <c r="A58" t="s">
        <v>85</v>
      </c>
      <c r="B58">
        <f>_xlfn.XLOOKUP(A58,'Subbu- Mini Project EXcel Clean'!A58:A1057,'Subbu- Mini Project EXcel Clean'!I58:I1057,"Entry Level",0)</f>
        <v>5</v>
      </c>
      <c r="C58" t="str">
        <f>_xlfn.XLOOKUP(A58,'Subbu- Mini Project EXcel Clean'!A58:A1057,'Subbu- Mini Project EXcel Clean'!J58:J1057," ",0)</f>
        <v>Good</v>
      </c>
      <c r="D58">
        <f>_xlfn.XLOOKUP(A58,'Subbu- Mini Project EXcel Clean'!A58:A1057,'Subbu- Mini Project EXcel Clean'!N58:N1057,"entry Level",0)</f>
        <v>6.6</v>
      </c>
      <c r="E58">
        <f>_xlfn.XLOOKUP(A58,'Subbu- Mini Project EXcel Clean'!A58:A1057,'Subbu- Mini Project EXcel Clean'!M58:M1057," ",0)</f>
        <v>93.5</v>
      </c>
      <c r="F58">
        <f>_xlfn.XLOOKUP(A58,'Subbu- Mini Project EXcel Clean'!A58:A1057,'Subbu- Mini Project EXcel Clean'!P58:P1057," ",0)</f>
        <v>5</v>
      </c>
      <c r="G58" t="str">
        <f>_xlfn.XLOOKUP(A58,'Subbu- Mini Project EXcel Clean'!A58:A1057,'Subbu- Mini Project EXcel Clean'!Q58:Q1057," ",0)</f>
        <v>Moderate</v>
      </c>
      <c r="H58">
        <f>VLOOKUP(A58,'Subbu- Mini Project EXcel Clean'!A57:R1057,15,FALSE)</f>
        <v>4.9000000000000004</v>
      </c>
    </row>
    <row r="59" spans="1:8" x14ac:dyDescent="0.25">
      <c r="A59" t="s">
        <v>86</v>
      </c>
      <c r="B59">
        <f>_xlfn.XLOOKUP(A59,'Subbu- Mini Project EXcel Clean'!A59:A1058,'Subbu- Mini Project EXcel Clean'!I59:I1058,"Entry Level",0)</f>
        <v>2</v>
      </c>
      <c r="C59" t="str">
        <f>_xlfn.XLOOKUP(A59,'Subbu- Mini Project EXcel Clean'!A59:A1058,'Subbu- Mini Project EXcel Clean'!J59:J1058," ",0)</f>
        <v>Consistent</v>
      </c>
      <c r="D59">
        <f>_xlfn.XLOOKUP(A59,'Subbu- Mini Project EXcel Clean'!A59:A1058,'Subbu- Mini Project EXcel Clean'!N59:N1058,"entry Level",0)</f>
        <v>5.9</v>
      </c>
      <c r="E59">
        <f>_xlfn.XLOOKUP(A59,'Subbu- Mini Project EXcel Clean'!A59:A1058,'Subbu- Mini Project EXcel Clean'!M59:M1058," ",0)</f>
        <v>69.5</v>
      </c>
      <c r="F59">
        <f>_xlfn.XLOOKUP(A59,'Subbu- Mini Project EXcel Clean'!A59:A1058,'Subbu- Mini Project EXcel Clean'!P59:P1058," ",0)</f>
        <v>6</v>
      </c>
      <c r="G59" t="str">
        <f>_xlfn.XLOOKUP(A59,'Subbu- Mini Project EXcel Clean'!A59:A1058,'Subbu- Mini Project EXcel Clean'!Q59:Q1058," ",0)</f>
        <v>High</v>
      </c>
      <c r="H59">
        <f>VLOOKUP(A59,'Subbu- Mini Project EXcel Clean'!A58:R1058,15,FALSE)</f>
        <v>4.5</v>
      </c>
    </row>
    <row r="60" spans="1:8" x14ac:dyDescent="0.25">
      <c r="A60" t="s">
        <v>87</v>
      </c>
      <c r="B60">
        <f>_xlfn.XLOOKUP(A60,'Subbu- Mini Project EXcel Clean'!A60:A1059,'Subbu- Mini Project EXcel Clean'!I60:I1059,"Entry Level",0)</f>
        <v>4</v>
      </c>
      <c r="C60" t="str">
        <f>_xlfn.XLOOKUP(A60,'Subbu- Mini Project EXcel Clean'!A60:A1059,'Subbu- Mini Project EXcel Clean'!J60:J1059," ",0)</f>
        <v>Good</v>
      </c>
      <c r="D60">
        <f>_xlfn.XLOOKUP(A60,'Subbu- Mini Project EXcel Clean'!A60:A1059,'Subbu- Mini Project EXcel Clean'!N60:N1059,"entry Level",0)</f>
        <v>6.8</v>
      </c>
      <c r="E60">
        <f>_xlfn.XLOOKUP(A60,'Subbu- Mini Project EXcel Clean'!A60:A1059,'Subbu- Mini Project EXcel Clean'!M60:M1059," ",0)</f>
        <v>92.3</v>
      </c>
      <c r="F60">
        <f>_xlfn.XLOOKUP(A60,'Subbu- Mini Project EXcel Clean'!A60:A1059,'Subbu- Mini Project EXcel Clean'!P60:P1059," ",0)</f>
        <v>3</v>
      </c>
      <c r="G60" t="str">
        <f>_xlfn.XLOOKUP(A60,'Subbu- Mini Project EXcel Clean'!A60:A1059,'Subbu- Mini Project EXcel Clean'!Q60:Q1059," ",0)</f>
        <v>Moderate</v>
      </c>
      <c r="H60">
        <f>VLOOKUP(A60,'Subbu- Mini Project EXcel Clean'!A59:R1059,15,FALSE)</f>
        <v>3.9</v>
      </c>
    </row>
    <row r="61" spans="1:8" x14ac:dyDescent="0.25">
      <c r="A61" t="s">
        <v>88</v>
      </c>
      <c r="B61">
        <f>_xlfn.XLOOKUP(A61,'Subbu- Mini Project EXcel Clean'!A61:A1060,'Subbu- Mini Project EXcel Clean'!I61:I1060,"Entry Level",0)</f>
        <v>1</v>
      </c>
      <c r="C61" t="str">
        <f>_xlfn.XLOOKUP(A61,'Subbu- Mini Project EXcel Clean'!A61:A1060,'Subbu- Mini Project EXcel Clean'!J61:J1060," ",0)</f>
        <v>Consistent</v>
      </c>
      <c r="D61">
        <f>_xlfn.XLOOKUP(A61,'Subbu- Mini Project EXcel Clean'!A61:A1060,'Subbu- Mini Project EXcel Clean'!N61:N1060,"entry Level",0)</f>
        <v>6.3</v>
      </c>
      <c r="E61">
        <f>_xlfn.XLOOKUP(A61,'Subbu- Mini Project EXcel Clean'!A61:A1060,'Subbu- Mini Project EXcel Clean'!M61:M1060," ",0)</f>
        <v>70.7</v>
      </c>
      <c r="F61">
        <f>_xlfn.XLOOKUP(A61,'Subbu- Mini Project EXcel Clean'!A61:A1060,'Subbu- Mini Project EXcel Clean'!P61:P1060," ",0)</f>
        <v>1</v>
      </c>
      <c r="G61" t="str">
        <f>_xlfn.XLOOKUP(A61,'Subbu- Mini Project EXcel Clean'!A61:A1060,'Subbu- Mini Project EXcel Clean'!Q61:Q1060," ",0)</f>
        <v>Low</v>
      </c>
      <c r="H61">
        <f>VLOOKUP(A61,'Subbu- Mini Project EXcel Clean'!A60:R1060,15,FALSE)</f>
        <v>3.2</v>
      </c>
    </row>
    <row r="62" spans="1:8" x14ac:dyDescent="0.25">
      <c r="A62" t="s">
        <v>89</v>
      </c>
      <c r="B62">
        <f>_xlfn.XLOOKUP(A62,'Subbu- Mini Project EXcel Clean'!A62:A1061,'Subbu- Mini Project EXcel Clean'!I62:I1061,"Entry Level",0)</f>
        <v>5</v>
      </c>
      <c r="C62" t="str">
        <f>_xlfn.XLOOKUP(A62,'Subbu- Mini Project EXcel Clean'!A62:A1061,'Subbu- Mini Project EXcel Clean'!J62:J1061," ",0)</f>
        <v>Good</v>
      </c>
      <c r="D62">
        <f>_xlfn.XLOOKUP(A62,'Subbu- Mini Project EXcel Clean'!A62:A1061,'Subbu- Mini Project EXcel Clean'!N62:N1061,"entry Level",0)</f>
        <v>6.6</v>
      </c>
      <c r="E62">
        <f>_xlfn.XLOOKUP(A62,'Subbu- Mini Project EXcel Clean'!A62:A1061,'Subbu- Mini Project EXcel Clean'!M62:M1061," ",0)</f>
        <v>95.9</v>
      </c>
      <c r="F62">
        <f>_xlfn.XLOOKUP(A62,'Subbu- Mini Project EXcel Clean'!A62:A1061,'Subbu- Mini Project EXcel Clean'!P62:P1061," ",0)</f>
        <v>7</v>
      </c>
      <c r="G62" t="str">
        <f>_xlfn.XLOOKUP(A62,'Subbu- Mini Project EXcel Clean'!A62:A1061,'Subbu- Mini Project EXcel Clean'!Q62:Q1061," ",0)</f>
        <v>High</v>
      </c>
      <c r="H62">
        <f>VLOOKUP(A62,'Subbu- Mini Project EXcel Clean'!A61:R1061,15,FALSE)</f>
        <v>5.3</v>
      </c>
    </row>
    <row r="63" spans="1:8" x14ac:dyDescent="0.25">
      <c r="A63" t="s">
        <v>90</v>
      </c>
      <c r="B63">
        <f>_xlfn.XLOOKUP(A63,'Subbu- Mini Project EXcel Clean'!A63:A1062,'Subbu- Mini Project EXcel Clean'!I63:I1062,"Entry Level",0)</f>
        <v>3</v>
      </c>
      <c r="C63" t="str">
        <f>_xlfn.XLOOKUP(A63,'Subbu- Mini Project EXcel Clean'!A63:A1062,'Subbu- Mini Project EXcel Clean'!J63:J1062," ",0)</f>
        <v>Consistent</v>
      </c>
      <c r="D63">
        <f>_xlfn.XLOOKUP(A63,'Subbu- Mini Project EXcel Clean'!A63:A1062,'Subbu- Mini Project EXcel Clean'!N63:N1062,"entry Level",0)</f>
        <v>5.8</v>
      </c>
      <c r="E63">
        <f>_xlfn.XLOOKUP(A63,'Subbu- Mini Project EXcel Clean'!A63:A1062,'Subbu- Mini Project EXcel Clean'!M63:M1062," ",0)</f>
        <v>71.599999999999994</v>
      </c>
      <c r="F63">
        <f>_xlfn.XLOOKUP(A63,'Subbu- Mini Project EXcel Clean'!A63:A1062,'Subbu- Mini Project EXcel Clean'!P63:P1062," ",0)</f>
        <v>5</v>
      </c>
      <c r="G63" t="str">
        <f>_xlfn.XLOOKUP(A63,'Subbu- Mini Project EXcel Clean'!A63:A1062,'Subbu- Mini Project EXcel Clean'!Q63:Q1062," ",0)</f>
        <v>Moderate</v>
      </c>
      <c r="H63">
        <f>VLOOKUP(A63,'Subbu- Mini Project EXcel Clean'!A62:R1062,15,FALSE)</f>
        <v>5.8</v>
      </c>
    </row>
    <row r="64" spans="1:8" x14ac:dyDescent="0.25">
      <c r="A64" t="s">
        <v>91</v>
      </c>
      <c r="B64">
        <f>_xlfn.XLOOKUP(A64,'Subbu- Mini Project EXcel Clean'!A64:A1063,'Subbu- Mini Project EXcel Clean'!I64:I1063,"Entry Level",0)</f>
        <v>4</v>
      </c>
      <c r="C64" t="str">
        <f>_xlfn.XLOOKUP(A64,'Subbu- Mini Project EXcel Clean'!A64:A1063,'Subbu- Mini Project EXcel Clean'!J64:J1063," ",0)</f>
        <v>Good</v>
      </c>
      <c r="D64">
        <f>_xlfn.XLOOKUP(A64,'Subbu- Mini Project EXcel Clean'!A64:A1063,'Subbu- Mini Project EXcel Clean'!N64:N1063,"entry Level",0)</f>
        <v>6.7</v>
      </c>
      <c r="E64">
        <f>_xlfn.XLOOKUP(A64,'Subbu- Mini Project EXcel Clean'!A64:A1063,'Subbu- Mini Project EXcel Clean'!M64:M1063," ",0)</f>
        <v>96.5</v>
      </c>
      <c r="F64">
        <f>_xlfn.XLOOKUP(A64,'Subbu- Mini Project EXcel Clean'!A64:A1063,'Subbu- Mini Project EXcel Clean'!P64:P1063," ",0)</f>
        <v>3</v>
      </c>
      <c r="G64" t="str">
        <f>_xlfn.XLOOKUP(A64,'Subbu- Mini Project EXcel Clean'!A64:A1063,'Subbu- Mini Project EXcel Clean'!Q64:Q1063," ",0)</f>
        <v>Moderate</v>
      </c>
      <c r="H64">
        <f>VLOOKUP(A64,'Subbu- Mini Project EXcel Clean'!A63:R1063,15,FALSE)</f>
        <v>3.5</v>
      </c>
    </row>
    <row r="65" spans="1:8" x14ac:dyDescent="0.25">
      <c r="A65" t="s">
        <v>92</v>
      </c>
      <c r="B65">
        <f>_xlfn.XLOOKUP(A65,'Subbu- Mini Project EXcel Clean'!A65:A1064,'Subbu- Mini Project EXcel Clean'!I65:I1064,"Entry Level",0)</f>
        <v>2</v>
      </c>
      <c r="C65" t="str">
        <f>_xlfn.XLOOKUP(A65,'Subbu- Mini Project EXcel Clean'!A65:A1064,'Subbu- Mini Project EXcel Clean'!J65:J1064," ",0)</f>
        <v>Consistent</v>
      </c>
      <c r="D65">
        <f>_xlfn.XLOOKUP(A65,'Subbu- Mini Project EXcel Clean'!A65:A1064,'Subbu- Mini Project EXcel Clean'!N65:N1064,"entry Level",0)</f>
        <v>6.4</v>
      </c>
      <c r="E65">
        <f>_xlfn.XLOOKUP(A65,'Subbu- Mini Project EXcel Clean'!A65:A1064,'Subbu- Mini Project EXcel Clean'!M65:M1064," ",0)</f>
        <v>75.8</v>
      </c>
      <c r="F65">
        <f>_xlfn.XLOOKUP(A65,'Subbu- Mini Project EXcel Clean'!A65:A1064,'Subbu- Mini Project EXcel Clean'!P65:P1064," ",0)</f>
        <v>3</v>
      </c>
      <c r="G65" t="str">
        <f>_xlfn.XLOOKUP(A65,'Subbu- Mini Project EXcel Clean'!A65:A1064,'Subbu- Mini Project EXcel Clean'!Q65:Q1064," ",0)</f>
        <v>Low</v>
      </c>
      <c r="H65">
        <f>VLOOKUP(A65,'Subbu- Mini Project EXcel Clean'!A64:R1064,15,FALSE)</f>
        <v>5.7</v>
      </c>
    </row>
    <row r="66" spans="1:8" x14ac:dyDescent="0.25">
      <c r="A66" t="s">
        <v>93</v>
      </c>
      <c r="B66">
        <f>_xlfn.XLOOKUP(A66,'Subbu- Mini Project EXcel Clean'!A66:A1065,'Subbu- Mini Project EXcel Clean'!I66:I1065,"Entry Level",0)</f>
        <v>4</v>
      </c>
      <c r="C66" t="str">
        <f>_xlfn.XLOOKUP(A66,'Subbu- Mini Project EXcel Clean'!A66:A1065,'Subbu- Mini Project EXcel Clean'!J66:J1065," ",0)</f>
        <v>Excellent</v>
      </c>
      <c r="D66">
        <f>_xlfn.XLOOKUP(A66,'Subbu- Mini Project EXcel Clean'!A66:A1065,'Subbu- Mini Project EXcel Clean'!N66:N1065,"entry Level",0)</f>
        <v>6.4</v>
      </c>
      <c r="E66">
        <f>_xlfn.XLOOKUP(A66,'Subbu- Mini Project EXcel Clean'!A66:A1065,'Subbu- Mini Project EXcel Clean'!M66:M1065," ",0)</f>
        <v>77.400000000000006</v>
      </c>
      <c r="F66">
        <f>_xlfn.XLOOKUP(A66,'Subbu- Mini Project EXcel Clean'!A66:A1065,'Subbu- Mini Project EXcel Clean'!P66:P1065," ",0)</f>
        <v>2</v>
      </c>
      <c r="G66" t="str">
        <f>_xlfn.XLOOKUP(A66,'Subbu- Mini Project EXcel Clean'!A66:A1065,'Subbu- Mini Project EXcel Clean'!Q66:Q1065," ",0)</f>
        <v>Low</v>
      </c>
      <c r="H66">
        <f>VLOOKUP(A66,'Subbu- Mini Project EXcel Clean'!A65:R1065,15,FALSE)</f>
        <v>3.9</v>
      </c>
    </row>
    <row r="67" spans="1:8" x14ac:dyDescent="0.25">
      <c r="A67" t="s">
        <v>94</v>
      </c>
      <c r="B67">
        <f>_xlfn.XLOOKUP(A67,'Subbu- Mini Project EXcel Clean'!A67:A1066,'Subbu- Mini Project EXcel Clean'!I67:I1066,"Entry Level",0)</f>
        <v>2</v>
      </c>
      <c r="C67" t="str">
        <f>_xlfn.XLOOKUP(A67,'Subbu- Mini Project EXcel Clean'!A67:A1066,'Subbu- Mini Project EXcel Clean'!J67:J1066," ",0)</f>
        <v>Consistent</v>
      </c>
      <c r="D67">
        <f>_xlfn.XLOOKUP(A67,'Subbu- Mini Project EXcel Clean'!A67:A1066,'Subbu- Mini Project EXcel Clean'!N67:N1066,"entry Level",0)</f>
        <v>6.9</v>
      </c>
      <c r="E67">
        <f>_xlfn.XLOOKUP(A67,'Subbu- Mini Project EXcel Clean'!A67:A1066,'Subbu- Mini Project EXcel Clean'!M67:M1066," ",0)</f>
        <v>65</v>
      </c>
      <c r="F67">
        <f>_xlfn.XLOOKUP(A67,'Subbu- Mini Project EXcel Clean'!A67:A1066,'Subbu- Mini Project EXcel Clean'!P67:P1066," ",0)</f>
        <v>7</v>
      </c>
      <c r="G67" t="str">
        <f>_xlfn.XLOOKUP(A67,'Subbu- Mini Project EXcel Clean'!A67:A1066,'Subbu- Mini Project EXcel Clean'!Q67:Q1066," ",0)</f>
        <v>High</v>
      </c>
      <c r="H67">
        <f>VLOOKUP(A67,'Subbu- Mini Project EXcel Clean'!A66:R1066,15,FALSE)</f>
        <v>3.7</v>
      </c>
    </row>
    <row r="68" spans="1:8" x14ac:dyDescent="0.25">
      <c r="A68" t="s">
        <v>95</v>
      </c>
      <c r="B68">
        <f>_xlfn.XLOOKUP(A68,'Subbu- Mini Project EXcel Clean'!A68:A1067,'Subbu- Mini Project EXcel Clean'!I68:I1067,"Entry Level",0)</f>
        <v>2</v>
      </c>
      <c r="C68" t="str">
        <f>_xlfn.XLOOKUP(A68,'Subbu- Mini Project EXcel Clean'!A68:A1067,'Subbu- Mini Project EXcel Clean'!J68:J1067," ",0)</f>
        <v>Consistent</v>
      </c>
      <c r="D68">
        <f>_xlfn.XLOOKUP(A68,'Subbu- Mini Project EXcel Clean'!A68:A1067,'Subbu- Mini Project EXcel Clean'!N68:N1067,"entry Level",0)</f>
        <v>6.3</v>
      </c>
      <c r="E68">
        <f>_xlfn.XLOOKUP(A68,'Subbu- Mini Project EXcel Clean'!A68:A1067,'Subbu- Mini Project EXcel Clean'!M68:M1067," ",0)</f>
        <v>67.8</v>
      </c>
      <c r="F68">
        <f>_xlfn.XLOOKUP(A68,'Subbu- Mini Project EXcel Clean'!A68:A1067,'Subbu- Mini Project EXcel Clean'!P68:P1067," ",0)</f>
        <v>7</v>
      </c>
      <c r="G68" t="str">
        <f>_xlfn.XLOOKUP(A68,'Subbu- Mini Project EXcel Clean'!A68:A1067,'Subbu- Mini Project EXcel Clean'!Q68:Q1067," ",0)</f>
        <v>High</v>
      </c>
      <c r="H68">
        <f>VLOOKUP(A68,'Subbu- Mini Project EXcel Clean'!A67:R1067,15,FALSE)</f>
        <v>3.3</v>
      </c>
    </row>
    <row r="69" spans="1:8" x14ac:dyDescent="0.25">
      <c r="A69" t="s">
        <v>96</v>
      </c>
      <c r="B69">
        <f>_xlfn.XLOOKUP(A69,'Subbu- Mini Project EXcel Clean'!A69:A1068,'Subbu- Mini Project EXcel Clean'!I69:I1068,"Entry Level",0)</f>
        <v>5</v>
      </c>
      <c r="C69" t="str">
        <f>_xlfn.XLOOKUP(A69,'Subbu- Mini Project EXcel Clean'!A69:A1068,'Subbu- Mini Project EXcel Clean'!J69:J1068," ",0)</f>
        <v>Good</v>
      </c>
      <c r="D69">
        <f>_xlfn.XLOOKUP(A69,'Subbu- Mini Project EXcel Clean'!A69:A1068,'Subbu- Mini Project EXcel Clean'!N69:N1068,"entry Level",0)</f>
        <v>7.7</v>
      </c>
      <c r="E69">
        <f>_xlfn.XLOOKUP(A69,'Subbu- Mini Project EXcel Clean'!A69:A1068,'Subbu- Mini Project EXcel Clean'!M69:M1068," ",0)</f>
        <v>101.7</v>
      </c>
      <c r="F69">
        <f>_xlfn.XLOOKUP(A69,'Subbu- Mini Project EXcel Clean'!A69:A1068,'Subbu- Mini Project EXcel Clean'!P69:P1068," ",0)</f>
        <v>5</v>
      </c>
      <c r="G69" t="str">
        <f>_xlfn.XLOOKUP(A69,'Subbu- Mini Project EXcel Clean'!A69:A1068,'Subbu- Mini Project EXcel Clean'!Q69:Q1068," ",0)</f>
        <v>Moderate</v>
      </c>
      <c r="H69">
        <f>VLOOKUP(A69,'Subbu- Mini Project EXcel Clean'!A68:R1068,15,FALSE)</f>
        <v>2</v>
      </c>
    </row>
    <row r="70" spans="1:8" x14ac:dyDescent="0.25">
      <c r="A70" t="s">
        <v>97</v>
      </c>
      <c r="B70">
        <f>_xlfn.XLOOKUP(A70,'Subbu- Mini Project EXcel Clean'!A70:A1069,'Subbu- Mini Project EXcel Clean'!I70:I1069,"Entry Level",0)</f>
        <v>5</v>
      </c>
      <c r="C70" t="str">
        <f>_xlfn.XLOOKUP(A70,'Subbu- Mini Project EXcel Clean'!A70:A1069,'Subbu- Mini Project EXcel Clean'!J70:J1069," ",0)</f>
        <v>Good</v>
      </c>
      <c r="D70">
        <f>_xlfn.XLOOKUP(A70,'Subbu- Mini Project EXcel Clean'!A70:A1069,'Subbu- Mini Project EXcel Clean'!N70:N1069,"entry Level",0)</f>
        <v>8.6</v>
      </c>
      <c r="E70">
        <f>_xlfn.XLOOKUP(A70,'Subbu- Mini Project EXcel Clean'!A70:A1069,'Subbu- Mini Project EXcel Clean'!M70:M1069," ",0)</f>
        <v>93.3</v>
      </c>
      <c r="F70">
        <f>_xlfn.XLOOKUP(A70,'Subbu- Mini Project EXcel Clean'!A70:A1069,'Subbu- Mini Project EXcel Clean'!P70:P1069," ",0)</f>
        <v>4</v>
      </c>
      <c r="G70" t="str">
        <f>_xlfn.XLOOKUP(A70,'Subbu- Mini Project EXcel Clean'!A70:A1069,'Subbu- Mini Project EXcel Clean'!Q70:Q1069," ",0)</f>
        <v>Moderate</v>
      </c>
      <c r="H70">
        <f>VLOOKUP(A70,'Subbu- Mini Project EXcel Clean'!A69:R1069,15,FALSE)</f>
        <v>1</v>
      </c>
    </row>
    <row r="71" spans="1:8" x14ac:dyDescent="0.25">
      <c r="A71" t="s">
        <v>98</v>
      </c>
      <c r="B71">
        <f>_xlfn.XLOOKUP(A71,'Subbu- Mini Project EXcel Clean'!A71:A1070,'Subbu- Mini Project EXcel Clean'!I71:I1070,"Entry Level",0)</f>
        <v>5</v>
      </c>
      <c r="C71" t="str">
        <f>_xlfn.XLOOKUP(A71,'Subbu- Mini Project EXcel Clean'!A71:A1070,'Subbu- Mini Project EXcel Clean'!J71:J1070," ",0)</f>
        <v>Good</v>
      </c>
      <c r="D71">
        <f>_xlfn.XLOOKUP(A71,'Subbu- Mini Project EXcel Clean'!A71:A1070,'Subbu- Mini Project EXcel Clean'!N71:N1070,"entry Level",0)</f>
        <v>8.6999999999999993</v>
      </c>
      <c r="E71">
        <f>_xlfn.XLOOKUP(A71,'Subbu- Mini Project EXcel Clean'!A71:A1070,'Subbu- Mini Project EXcel Clean'!M71:M1070," ",0)</f>
        <v>80.900000000000006</v>
      </c>
      <c r="F71">
        <f>_xlfn.XLOOKUP(A71,'Subbu- Mini Project EXcel Clean'!A71:A1070,'Subbu- Mini Project EXcel Clean'!P71:P1070," ",0)</f>
        <v>4</v>
      </c>
      <c r="G71" t="str">
        <f>_xlfn.XLOOKUP(A71,'Subbu- Mini Project EXcel Clean'!A71:A1070,'Subbu- Mini Project EXcel Clean'!Q71:Q1070," ",0)</f>
        <v>Moderate</v>
      </c>
      <c r="H71">
        <f>VLOOKUP(A71,'Subbu- Mini Project EXcel Clean'!A70:R1070,15,FALSE)</f>
        <v>2.2000000000000002</v>
      </c>
    </row>
    <row r="72" spans="1:8" x14ac:dyDescent="0.25">
      <c r="A72" t="s">
        <v>99</v>
      </c>
      <c r="B72">
        <f>_xlfn.XLOOKUP(A72,'Subbu- Mini Project EXcel Clean'!A72:A1071,'Subbu- Mini Project EXcel Clean'!I72:I1071,"Entry Level",0)</f>
        <v>4</v>
      </c>
      <c r="C72" t="str">
        <f>_xlfn.XLOOKUP(A72,'Subbu- Mini Project EXcel Clean'!A72:A1071,'Subbu- Mini Project EXcel Clean'!J72:J1071," ",0)</f>
        <v>Excellent</v>
      </c>
      <c r="D72">
        <f>_xlfn.XLOOKUP(A72,'Subbu- Mini Project EXcel Clean'!A72:A1071,'Subbu- Mini Project EXcel Clean'!N72:N1071,"entry Level",0)</f>
        <v>7</v>
      </c>
      <c r="E72">
        <f>_xlfn.XLOOKUP(A72,'Subbu- Mini Project EXcel Clean'!A72:A1071,'Subbu- Mini Project EXcel Clean'!M72:M1071," ",0)</f>
        <v>87.6</v>
      </c>
      <c r="F72">
        <f>_xlfn.XLOOKUP(A72,'Subbu- Mini Project EXcel Clean'!A72:A1071,'Subbu- Mini Project EXcel Clean'!P72:P1071," ",0)</f>
        <v>1</v>
      </c>
      <c r="G72" t="str">
        <f>_xlfn.XLOOKUP(A72,'Subbu- Mini Project EXcel Clean'!A72:A1071,'Subbu- Mini Project EXcel Clean'!Q72:Q1071," ",0)</f>
        <v>Low</v>
      </c>
      <c r="H72">
        <f>VLOOKUP(A72,'Subbu- Mini Project EXcel Clean'!A71:R1071,15,FALSE)</f>
        <v>3.5</v>
      </c>
    </row>
    <row r="73" spans="1:8" x14ac:dyDescent="0.25">
      <c r="A73" t="s">
        <v>100</v>
      </c>
      <c r="B73">
        <f>_xlfn.XLOOKUP(A73,'Subbu- Mini Project EXcel Clean'!A73:A1072,'Subbu- Mini Project EXcel Clean'!I73:I1072,"Entry Level",0)</f>
        <v>4</v>
      </c>
      <c r="C73" t="str">
        <f>_xlfn.XLOOKUP(A73,'Subbu- Mini Project EXcel Clean'!A73:A1072,'Subbu- Mini Project EXcel Clean'!J73:J1072," ",0)</f>
        <v>Good</v>
      </c>
      <c r="D73">
        <f>_xlfn.XLOOKUP(A73,'Subbu- Mini Project EXcel Clean'!A73:A1072,'Subbu- Mini Project EXcel Clean'!N73:N1072,"entry Level",0)</f>
        <v>7.5</v>
      </c>
      <c r="E73">
        <f>_xlfn.XLOOKUP(A73,'Subbu- Mini Project EXcel Clean'!A73:A1072,'Subbu- Mini Project EXcel Clean'!M73:M1072," ",0)</f>
        <v>86.2</v>
      </c>
      <c r="F73">
        <f>_xlfn.XLOOKUP(A73,'Subbu- Mini Project EXcel Clean'!A73:A1072,'Subbu- Mini Project EXcel Clean'!P73:P1072," ",0)</f>
        <v>5</v>
      </c>
      <c r="G73" t="str">
        <f>_xlfn.XLOOKUP(A73,'Subbu- Mini Project EXcel Clean'!A73:A1072,'Subbu- Mini Project EXcel Clean'!Q73:Q1072," ",0)</f>
        <v>Moderate</v>
      </c>
      <c r="H73">
        <f>VLOOKUP(A73,'Subbu- Mini Project EXcel Clean'!A72:R1072,15,FALSE)</f>
        <v>2.9</v>
      </c>
    </row>
    <row r="74" spans="1:8" x14ac:dyDescent="0.25">
      <c r="A74" t="s">
        <v>101</v>
      </c>
      <c r="B74">
        <f>_xlfn.XLOOKUP(A74,'Subbu- Mini Project EXcel Clean'!A74:A1073,'Subbu- Mini Project EXcel Clean'!I74:I1073,"Entry Level",0)</f>
        <v>1</v>
      </c>
      <c r="C74" t="str">
        <f>_xlfn.XLOOKUP(A74,'Subbu- Mini Project EXcel Clean'!A74:A1073,'Subbu- Mini Project EXcel Clean'!J74:J1073," ",0)</f>
        <v>Consistent</v>
      </c>
      <c r="D74">
        <f>_xlfn.XLOOKUP(A74,'Subbu- Mini Project EXcel Clean'!A74:A1073,'Subbu- Mini Project EXcel Clean'!N74:N1073,"entry Level",0)</f>
        <v>6.1</v>
      </c>
      <c r="E74">
        <f>_xlfn.XLOOKUP(A74,'Subbu- Mini Project EXcel Clean'!A74:A1073,'Subbu- Mini Project EXcel Clean'!M74:M1073," ",0)</f>
        <v>52.7</v>
      </c>
      <c r="F74">
        <f>_xlfn.XLOOKUP(A74,'Subbu- Mini Project EXcel Clean'!A74:A1073,'Subbu- Mini Project EXcel Clean'!P74:P1073," ",0)</f>
        <v>6</v>
      </c>
      <c r="G74" t="str">
        <f>_xlfn.XLOOKUP(A74,'Subbu- Mini Project EXcel Clean'!A74:A1073,'Subbu- Mini Project EXcel Clean'!Q74:Q1073," ",0)</f>
        <v>Moderate</v>
      </c>
      <c r="H74">
        <f>VLOOKUP(A74,'Subbu- Mini Project EXcel Clean'!A73:R1073,15,FALSE)</f>
        <v>3.2</v>
      </c>
    </row>
    <row r="75" spans="1:8" x14ac:dyDescent="0.25">
      <c r="A75" t="s">
        <v>102</v>
      </c>
      <c r="B75">
        <f>_xlfn.XLOOKUP(A75,'Subbu- Mini Project EXcel Clean'!A75:A1074,'Subbu- Mini Project EXcel Clean'!I75:I1074,"Entry Level",0)</f>
        <v>2</v>
      </c>
      <c r="C75" t="str">
        <f>_xlfn.XLOOKUP(A75,'Subbu- Mini Project EXcel Clean'!A75:A1074,'Subbu- Mini Project EXcel Clean'!J75:J1074," ",0)</f>
        <v>Consistent</v>
      </c>
      <c r="D75">
        <f>_xlfn.XLOOKUP(A75,'Subbu- Mini Project EXcel Clean'!A75:A1074,'Subbu- Mini Project EXcel Clean'!N75:N1074,"entry Level",0)</f>
        <v>7</v>
      </c>
      <c r="E75">
        <f>_xlfn.XLOOKUP(A75,'Subbu- Mini Project EXcel Clean'!A75:A1074,'Subbu- Mini Project EXcel Clean'!M75:M1074," ",0)</f>
        <v>59.2</v>
      </c>
      <c r="F75">
        <f>_xlfn.XLOOKUP(A75,'Subbu- Mini Project EXcel Clean'!A75:A1074,'Subbu- Mini Project EXcel Clean'!P75:P1074," ",0)</f>
        <v>1</v>
      </c>
      <c r="G75" t="str">
        <f>_xlfn.XLOOKUP(A75,'Subbu- Mini Project EXcel Clean'!A75:A1074,'Subbu- Mini Project EXcel Clean'!Q75:Q1074," ",0)</f>
        <v>Low</v>
      </c>
      <c r="H75">
        <f>VLOOKUP(A75,'Subbu- Mini Project EXcel Clean'!A74:R1074,15,FALSE)</f>
        <v>5.9</v>
      </c>
    </row>
    <row r="76" spans="1:8" x14ac:dyDescent="0.25">
      <c r="A76" t="s">
        <v>103</v>
      </c>
      <c r="B76">
        <f>_xlfn.XLOOKUP(A76,'Subbu- Mini Project EXcel Clean'!A76:A1075,'Subbu- Mini Project EXcel Clean'!I76:I1075,"Entry Level",0)</f>
        <v>2</v>
      </c>
      <c r="C76" t="str">
        <f>_xlfn.XLOOKUP(A76,'Subbu- Mini Project EXcel Clean'!A76:A1075,'Subbu- Mini Project EXcel Clean'!J76:J1075," ",0)</f>
        <v>Consistent</v>
      </c>
      <c r="D76">
        <f>_xlfn.XLOOKUP(A76,'Subbu- Mini Project EXcel Clean'!A76:A1075,'Subbu- Mini Project EXcel Clean'!N76:N1075,"entry Level",0)</f>
        <v>7.6</v>
      </c>
      <c r="E76">
        <f>_xlfn.XLOOKUP(A76,'Subbu- Mini Project EXcel Clean'!A76:A1075,'Subbu- Mini Project EXcel Clean'!M76:M1075," ",0)</f>
        <v>76.599999999999994</v>
      </c>
      <c r="F76">
        <f>_xlfn.XLOOKUP(A76,'Subbu- Mini Project EXcel Clean'!A76:A1075,'Subbu- Mini Project EXcel Clean'!P76:P1075," ",0)</f>
        <v>2</v>
      </c>
      <c r="G76" t="str">
        <f>_xlfn.XLOOKUP(A76,'Subbu- Mini Project EXcel Clean'!A76:A1075,'Subbu- Mini Project EXcel Clean'!Q76:Q1075," ",0)</f>
        <v>Low</v>
      </c>
      <c r="H76">
        <f>VLOOKUP(A76,'Subbu- Mini Project EXcel Clean'!A75:R1075,15,FALSE)</f>
        <v>2.8</v>
      </c>
    </row>
    <row r="77" spans="1:8" x14ac:dyDescent="0.25">
      <c r="A77" t="s">
        <v>104</v>
      </c>
      <c r="B77">
        <f>_xlfn.XLOOKUP(A77,'Subbu- Mini Project EXcel Clean'!A77:A1076,'Subbu- Mini Project EXcel Clean'!I77:I1076,"Entry Level",0)</f>
        <v>4</v>
      </c>
      <c r="C77" t="str">
        <f>_xlfn.XLOOKUP(A77,'Subbu- Mini Project EXcel Clean'!A77:A1076,'Subbu- Mini Project EXcel Clean'!J77:J1076," ",0)</f>
        <v>Excellent</v>
      </c>
      <c r="D77">
        <f>_xlfn.XLOOKUP(A77,'Subbu- Mini Project EXcel Clean'!A77:A1076,'Subbu- Mini Project EXcel Clean'!N77:N1076,"entry Level",0)</f>
        <v>6.8</v>
      </c>
      <c r="E77">
        <f>_xlfn.XLOOKUP(A77,'Subbu- Mini Project EXcel Clean'!A77:A1076,'Subbu- Mini Project EXcel Clean'!M77:M1076," ",0)</f>
        <v>86.1</v>
      </c>
      <c r="F77">
        <f>_xlfn.XLOOKUP(A77,'Subbu- Mini Project EXcel Clean'!A77:A1076,'Subbu- Mini Project EXcel Clean'!P77:P1076," ",0)</f>
        <v>2</v>
      </c>
      <c r="G77" t="str">
        <f>_xlfn.XLOOKUP(A77,'Subbu- Mini Project EXcel Clean'!A77:A1076,'Subbu- Mini Project EXcel Clean'!Q77:Q1076," ",0)</f>
        <v>Low</v>
      </c>
      <c r="H77">
        <f>VLOOKUP(A77,'Subbu- Mini Project EXcel Clean'!A76:R1076,15,FALSE)</f>
        <v>3.3</v>
      </c>
    </row>
    <row r="78" spans="1:8" x14ac:dyDescent="0.25">
      <c r="A78" t="s">
        <v>105</v>
      </c>
      <c r="B78">
        <f>_xlfn.XLOOKUP(A78,'Subbu- Mini Project EXcel Clean'!A78:A1077,'Subbu- Mini Project EXcel Clean'!I78:I1077,"Entry Level",0)</f>
        <v>2</v>
      </c>
      <c r="C78" t="str">
        <f>_xlfn.XLOOKUP(A78,'Subbu- Mini Project EXcel Clean'!A78:A1077,'Subbu- Mini Project EXcel Clean'!J78:J1077," ",0)</f>
        <v>Consistent</v>
      </c>
      <c r="D78">
        <f>_xlfn.XLOOKUP(A78,'Subbu- Mini Project EXcel Clean'!A78:A1077,'Subbu- Mini Project EXcel Clean'!N78:N1077,"entry Level",0)</f>
        <v>8.1</v>
      </c>
      <c r="E78">
        <f>_xlfn.XLOOKUP(A78,'Subbu- Mini Project EXcel Clean'!A78:A1077,'Subbu- Mini Project EXcel Clean'!M78:M1077," ",0)</f>
        <v>73.099999999999994</v>
      </c>
      <c r="F78">
        <f>_xlfn.XLOOKUP(A78,'Subbu- Mini Project EXcel Clean'!A78:A1077,'Subbu- Mini Project EXcel Clean'!P78:P1077," ",0)</f>
        <v>5</v>
      </c>
      <c r="G78" t="str">
        <f>_xlfn.XLOOKUP(A78,'Subbu- Mini Project EXcel Clean'!A78:A1077,'Subbu- Mini Project EXcel Clean'!Q78:Q1077," ",0)</f>
        <v>Moderate</v>
      </c>
      <c r="H78">
        <f>VLOOKUP(A78,'Subbu- Mini Project EXcel Clean'!A77:R1077,15,FALSE)</f>
        <v>1.7</v>
      </c>
    </row>
    <row r="79" spans="1:8" x14ac:dyDescent="0.25">
      <c r="A79" t="s">
        <v>106</v>
      </c>
      <c r="B79">
        <f>_xlfn.XLOOKUP(A79,'Subbu- Mini Project EXcel Clean'!A79:A1078,'Subbu- Mini Project EXcel Clean'!I79:I1078,"Entry Level",0)</f>
        <v>2</v>
      </c>
      <c r="C79" t="str">
        <f>_xlfn.XLOOKUP(A79,'Subbu- Mini Project EXcel Clean'!A79:A1078,'Subbu- Mini Project EXcel Clean'!J79:J1078," ",0)</f>
        <v>Consistent</v>
      </c>
      <c r="D79">
        <f>_xlfn.XLOOKUP(A79,'Subbu- Mini Project EXcel Clean'!A79:A1078,'Subbu- Mini Project EXcel Clean'!N79:N1078,"entry Level",0)</f>
        <v>7.5</v>
      </c>
      <c r="E79">
        <f>_xlfn.XLOOKUP(A79,'Subbu- Mini Project EXcel Clean'!A79:A1078,'Subbu- Mini Project EXcel Clean'!M79:M1078," ",0)</f>
        <v>72.900000000000006</v>
      </c>
      <c r="F79">
        <f>_xlfn.XLOOKUP(A79,'Subbu- Mini Project EXcel Clean'!A79:A1078,'Subbu- Mini Project EXcel Clean'!P79:P1078," ",0)</f>
        <v>4</v>
      </c>
      <c r="G79" t="str">
        <f>_xlfn.XLOOKUP(A79,'Subbu- Mini Project EXcel Clean'!A79:A1078,'Subbu- Mini Project EXcel Clean'!Q79:Q1078," ",0)</f>
        <v>Moderate</v>
      </c>
      <c r="H79">
        <f>VLOOKUP(A79,'Subbu- Mini Project EXcel Clean'!A78:R1078,15,FALSE)</f>
        <v>1.2</v>
      </c>
    </row>
    <row r="80" spans="1:8" x14ac:dyDescent="0.25">
      <c r="A80" t="s">
        <v>107</v>
      </c>
      <c r="B80">
        <f>_xlfn.XLOOKUP(A80,'Subbu- Mini Project EXcel Clean'!A80:A1079,'Subbu- Mini Project EXcel Clean'!I80:I1079,"Entry Level",0)</f>
        <v>3</v>
      </c>
      <c r="C80" t="str">
        <f>_xlfn.XLOOKUP(A80,'Subbu- Mini Project EXcel Clean'!A80:A1079,'Subbu- Mini Project EXcel Clean'!J80:J1079," ",0)</f>
        <v>Excellent</v>
      </c>
      <c r="D80">
        <f>_xlfn.XLOOKUP(A80,'Subbu- Mini Project EXcel Clean'!A80:A1079,'Subbu- Mini Project EXcel Clean'!N80:N1079,"entry Level",0)</f>
        <v>6.3</v>
      </c>
      <c r="E80">
        <f>_xlfn.XLOOKUP(A80,'Subbu- Mini Project EXcel Clean'!A80:A1079,'Subbu- Mini Project EXcel Clean'!M80:M1079," ",0)</f>
        <v>87</v>
      </c>
      <c r="F80">
        <f>_xlfn.XLOOKUP(A80,'Subbu- Mini Project EXcel Clean'!A80:A1079,'Subbu- Mini Project EXcel Clean'!P80:P1079," ",0)</f>
        <v>2</v>
      </c>
      <c r="G80" t="str">
        <f>_xlfn.XLOOKUP(A80,'Subbu- Mini Project EXcel Clean'!A80:A1079,'Subbu- Mini Project EXcel Clean'!Q80:Q1079," ",0)</f>
        <v>Low</v>
      </c>
      <c r="H80">
        <f>VLOOKUP(A80,'Subbu- Mini Project EXcel Clean'!A79:R1079,15,FALSE)</f>
        <v>4.9000000000000004</v>
      </c>
    </row>
    <row r="81" spans="1:8" x14ac:dyDescent="0.25">
      <c r="A81" t="s">
        <v>108</v>
      </c>
      <c r="B81">
        <f>_xlfn.XLOOKUP(A81,'Subbu- Mini Project EXcel Clean'!A81:A1080,'Subbu- Mini Project EXcel Clean'!I81:I1080,"Entry Level",0)</f>
        <v>4</v>
      </c>
      <c r="C81" t="str">
        <f>_xlfn.XLOOKUP(A81,'Subbu- Mini Project EXcel Clean'!A81:A1080,'Subbu- Mini Project EXcel Clean'!J81:J1080," ",0)</f>
        <v>Good</v>
      </c>
      <c r="D81">
        <f>_xlfn.XLOOKUP(A81,'Subbu- Mini Project EXcel Clean'!A81:A1080,'Subbu- Mini Project EXcel Clean'!N81:N1080,"entry Level",0)</f>
        <v>7.1</v>
      </c>
      <c r="E81">
        <f>_xlfn.XLOOKUP(A81,'Subbu- Mini Project EXcel Clean'!A81:A1080,'Subbu- Mini Project EXcel Clean'!M81:M1080," ",0)</f>
        <v>100.7</v>
      </c>
      <c r="F81">
        <f>_xlfn.XLOOKUP(A81,'Subbu- Mini Project EXcel Clean'!A81:A1080,'Subbu- Mini Project EXcel Clean'!P81:P1080," ",0)</f>
        <v>1</v>
      </c>
      <c r="G81" t="str">
        <f>_xlfn.XLOOKUP(A81,'Subbu- Mini Project EXcel Clean'!A81:A1080,'Subbu- Mini Project EXcel Clean'!Q81:Q1080," ",0)</f>
        <v>Low</v>
      </c>
      <c r="H81">
        <f>VLOOKUP(A81,'Subbu- Mini Project EXcel Clean'!A80:R1080,15,FALSE)</f>
        <v>3.9</v>
      </c>
    </row>
    <row r="82" spans="1:8" x14ac:dyDescent="0.25">
      <c r="A82" t="s">
        <v>109</v>
      </c>
      <c r="B82">
        <f>_xlfn.XLOOKUP(A82,'Subbu- Mini Project EXcel Clean'!A82:A1081,'Subbu- Mini Project EXcel Clean'!I82:I1081,"Entry Level",0)</f>
        <v>3</v>
      </c>
      <c r="C82" t="str">
        <f>_xlfn.XLOOKUP(A82,'Subbu- Mini Project EXcel Clean'!A82:A1081,'Subbu- Mini Project EXcel Clean'!J82:J1081," ",0)</f>
        <v>Consistent</v>
      </c>
      <c r="D82">
        <f>_xlfn.XLOOKUP(A82,'Subbu- Mini Project EXcel Clean'!A82:A1081,'Subbu- Mini Project EXcel Clean'!N82:N1081,"entry Level",0)</f>
        <v>6</v>
      </c>
      <c r="E82">
        <f>_xlfn.XLOOKUP(A82,'Subbu- Mini Project EXcel Clean'!A82:A1081,'Subbu- Mini Project EXcel Clean'!M82:M1081," ",0)</f>
        <v>68.3</v>
      </c>
      <c r="F82">
        <f>_xlfn.XLOOKUP(A82,'Subbu- Mini Project EXcel Clean'!A82:A1081,'Subbu- Mini Project EXcel Clean'!P82:P1081," ",0)</f>
        <v>3</v>
      </c>
      <c r="G82" t="str">
        <f>_xlfn.XLOOKUP(A82,'Subbu- Mini Project EXcel Clean'!A82:A1081,'Subbu- Mini Project EXcel Clean'!Q82:Q1081," ",0)</f>
        <v>Low</v>
      </c>
      <c r="H82">
        <f>VLOOKUP(A82,'Subbu- Mini Project EXcel Clean'!A81:R1081,15,FALSE)</f>
        <v>4.8</v>
      </c>
    </row>
    <row r="83" spans="1:8" x14ac:dyDescent="0.25">
      <c r="A83" t="s">
        <v>110</v>
      </c>
      <c r="B83">
        <f>_xlfn.XLOOKUP(A83,'Subbu- Mini Project EXcel Clean'!A83:A1082,'Subbu- Mini Project EXcel Clean'!I83:I1082,"Entry Level",0)</f>
        <v>2</v>
      </c>
      <c r="C83" t="str">
        <f>_xlfn.XLOOKUP(A83,'Subbu- Mini Project EXcel Clean'!A83:A1082,'Subbu- Mini Project EXcel Clean'!J83:J1082," ",0)</f>
        <v>Consistent</v>
      </c>
      <c r="D83">
        <f>_xlfn.XLOOKUP(A83,'Subbu- Mini Project EXcel Clean'!A83:A1082,'Subbu- Mini Project EXcel Clean'!N83:N1082,"entry Level",0)</f>
        <v>8</v>
      </c>
      <c r="E83">
        <f>_xlfn.XLOOKUP(A83,'Subbu- Mini Project EXcel Clean'!A83:A1082,'Subbu- Mini Project EXcel Clean'!M83:M1082," ",0)</f>
        <v>65.099999999999994</v>
      </c>
      <c r="F83">
        <f>_xlfn.XLOOKUP(A83,'Subbu- Mini Project EXcel Clean'!A83:A1082,'Subbu- Mini Project EXcel Clean'!P83:P1082," ",0)</f>
        <v>4</v>
      </c>
      <c r="G83" t="str">
        <f>_xlfn.XLOOKUP(A83,'Subbu- Mini Project EXcel Clean'!A83:A1082,'Subbu- Mini Project EXcel Clean'!Q83:Q1082," ",0)</f>
        <v>Moderate</v>
      </c>
      <c r="H83">
        <f>VLOOKUP(A83,'Subbu- Mini Project EXcel Clean'!A82:R1082,15,FALSE)</f>
        <v>1.7</v>
      </c>
    </row>
    <row r="84" spans="1:8" x14ac:dyDescent="0.25">
      <c r="A84" t="s">
        <v>111</v>
      </c>
      <c r="B84">
        <f>_xlfn.XLOOKUP(A84,'Subbu- Mini Project EXcel Clean'!A84:A1083,'Subbu- Mini Project EXcel Clean'!I84:I1083,"Entry Level",0)</f>
        <v>2</v>
      </c>
      <c r="C84" t="str">
        <f>_xlfn.XLOOKUP(A84,'Subbu- Mini Project EXcel Clean'!A84:A1083,'Subbu- Mini Project EXcel Clean'!J84:J1083," ",0)</f>
        <v>Consistent</v>
      </c>
      <c r="D84">
        <f>_xlfn.XLOOKUP(A84,'Subbu- Mini Project EXcel Clean'!A84:A1083,'Subbu- Mini Project EXcel Clean'!N84:N1083,"entry Level",0)</f>
        <v>6.3</v>
      </c>
      <c r="E84">
        <f>_xlfn.XLOOKUP(A84,'Subbu- Mini Project EXcel Clean'!A84:A1083,'Subbu- Mini Project EXcel Clean'!M84:M1083," ",0)</f>
        <v>59.8</v>
      </c>
      <c r="F84">
        <f>_xlfn.XLOOKUP(A84,'Subbu- Mini Project EXcel Clean'!A84:A1083,'Subbu- Mini Project EXcel Clean'!P84:P1083," ",0)</f>
        <v>3</v>
      </c>
      <c r="G84" t="str">
        <f>_xlfn.XLOOKUP(A84,'Subbu- Mini Project EXcel Clean'!A84:A1083,'Subbu- Mini Project EXcel Clean'!Q84:Q1083," ",0)</f>
        <v>Low</v>
      </c>
      <c r="H84">
        <f>VLOOKUP(A84,'Subbu- Mini Project EXcel Clean'!A83:R1083,15,FALSE)</f>
        <v>3.9</v>
      </c>
    </row>
    <row r="85" spans="1:8" x14ac:dyDescent="0.25">
      <c r="A85" t="s">
        <v>112</v>
      </c>
      <c r="B85">
        <f>_xlfn.XLOOKUP(A85,'Subbu- Mini Project EXcel Clean'!A85:A1084,'Subbu- Mini Project EXcel Clean'!I85:I1084,"Entry Level",0)</f>
        <v>2</v>
      </c>
      <c r="C85" t="str">
        <f>_xlfn.XLOOKUP(A85,'Subbu- Mini Project EXcel Clean'!A85:A1084,'Subbu- Mini Project EXcel Clean'!J85:J1084," ",0)</f>
        <v>Consistent</v>
      </c>
      <c r="D85">
        <f>_xlfn.XLOOKUP(A85,'Subbu- Mini Project EXcel Clean'!A85:A1084,'Subbu- Mini Project EXcel Clean'!N85:N1084,"entry Level",0)</f>
        <v>6.8</v>
      </c>
      <c r="E85">
        <f>_xlfn.XLOOKUP(A85,'Subbu- Mini Project EXcel Clean'!A85:A1084,'Subbu- Mini Project EXcel Clean'!M85:M1084," ",0)</f>
        <v>68.400000000000006</v>
      </c>
      <c r="F85">
        <f>_xlfn.XLOOKUP(A85,'Subbu- Mini Project EXcel Clean'!A85:A1084,'Subbu- Mini Project EXcel Clean'!P85:P1084," ",0)</f>
        <v>1</v>
      </c>
      <c r="G85" t="str">
        <f>_xlfn.XLOOKUP(A85,'Subbu- Mini Project EXcel Clean'!A85:A1084,'Subbu- Mini Project EXcel Clean'!Q85:Q1084," ",0)</f>
        <v>Low</v>
      </c>
      <c r="H85">
        <f>VLOOKUP(A85,'Subbu- Mini Project EXcel Clean'!A84:R1084,15,FALSE)</f>
        <v>2.2999999999999998</v>
      </c>
    </row>
    <row r="86" spans="1:8" x14ac:dyDescent="0.25">
      <c r="A86" t="s">
        <v>113</v>
      </c>
      <c r="B86">
        <f>_xlfn.XLOOKUP(A86,'Subbu- Mini Project EXcel Clean'!A86:A1085,'Subbu- Mini Project EXcel Clean'!I86:I1085,"Entry Level",0)</f>
        <v>2</v>
      </c>
      <c r="C86" t="str">
        <f>_xlfn.XLOOKUP(A86,'Subbu- Mini Project EXcel Clean'!A86:A1085,'Subbu- Mini Project EXcel Clean'!J86:J1085," ",0)</f>
        <v>Consistent</v>
      </c>
      <c r="D86">
        <f>_xlfn.XLOOKUP(A86,'Subbu- Mini Project EXcel Clean'!A86:A1085,'Subbu- Mini Project EXcel Clean'!N86:N1085,"entry Level",0)</f>
        <v>6.9</v>
      </c>
      <c r="E86">
        <f>_xlfn.XLOOKUP(A86,'Subbu- Mini Project EXcel Clean'!A86:A1085,'Subbu- Mini Project EXcel Clean'!M86:M1085," ",0)</f>
        <v>70.8</v>
      </c>
      <c r="F86">
        <f>_xlfn.XLOOKUP(A86,'Subbu- Mini Project EXcel Clean'!A86:A1085,'Subbu- Mini Project EXcel Clean'!P86:P1085," ",0)</f>
        <v>1</v>
      </c>
      <c r="G86" t="str">
        <f>_xlfn.XLOOKUP(A86,'Subbu- Mini Project EXcel Clean'!A86:A1085,'Subbu- Mini Project EXcel Clean'!Q86:Q1085," ",0)</f>
        <v>Low</v>
      </c>
      <c r="H86">
        <f>VLOOKUP(A86,'Subbu- Mini Project EXcel Clean'!A85:R1085,15,FALSE)</f>
        <v>2.1</v>
      </c>
    </row>
    <row r="87" spans="1:8" x14ac:dyDescent="0.25">
      <c r="A87" t="s">
        <v>114</v>
      </c>
      <c r="B87">
        <f>_xlfn.XLOOKUP(A87,'Subbu- Mini Project EXcel Clean'!A87:A1086,'Subbu- Mini Project EXcel Clean'!I87:I1086,"Entry Level",0)</f>
        <v>4</v>
      </c>
      <c r="C87" t="str">
        <f>_xlfn.XLOOKUP(A87,'Subbu- Mini Project EXcel Clean'!A87:A1086,'Subbu- Mini Project EXcel Clean'!J87:J1086," ",0)</f>
        <v>Excellent</v>
      </c>
      <c r="D87">
        <f>_xlfn.XLOOKUP(A87,'Subbu- Mini Project EXcel Clean'!A87:A1086,'Subbu- Mini Project EXcel Clean'!N87:N1086,"entry Level",0)</f>
        <v>8.1</v>
      </c>
      <c r="E87">
        <f>_xlfn.XLOOKUP(A87,'Subbu- Mini Project EXcel Clean'!A87:A1086,'Subbu- Mini Project EXcel Clean'!M87:M1086," ",0)</f>
        <v>88.8</v>
      </c>
      <c r="F87">
        <f>_xlfn.XLOOKUP(A87,'Subbu- Mini Project EXcel Clean'!A87:A1086,'Subbu- Mini Project EXcel Clean'!P87:P1086," ",0)</f>
        <v>7</v>
      </c>
      <c r="G87" t="str">
        <f>_xlfn.XLOOKUP(A87,'Subbu- Mini Project EXcel Clean'!A87:A1086,'Subbu- Mini Project EXcel Clean'!Q87:Q1086," ",0)</f>
        <v>High</v>
      </c>
      <c r="H87">
        <f>VLOOKUP(A87,'Subbu- Mini Project EXcel Clean'!A86:R1086,15,FALSE)</f>
        <v>1.1000000000000001</v>
      </c>
    </row>
    <row r="88" spans="1:8" x14ac:dyDescent="0.25">
      <c r="A88" t="s">
        <v>115</v>
      </c>
      <c r="B88">
        <f>_xlfn.XLOOKUP(A88,'Subbu- Mini Project EXcel Clean'!A88:A1087,'Subbu- Mini Project EXcel Clean'!I88:I1087,"Entry Level",0)</f>
        <v>3</v>
      </c>
      <c r="C88" t="str">
        <f>_xlfn.XLOOKUP(A88,'Subbu- Mini Project EXcel Clean'!A88:A1087,'Subbu- Mini Project EXcel Clean'!J88:J1087," ",0)</f>
        <v>Excellent</v>
      </c>
      <c r="D88">
        <f>_xlfn.XLOOKUP(A88,'Subbu- Mini Project EXcel Clean'!A88:A1087,'Subbu- Mini Project EXcel Clean'!N88:N1087,"entry Level",0)</f>
        <v>7.2</v>
      </c>
      <c r="E88">
        <f>_xlfn.XLOOKUP(A88,'Subbu- Mini Project EXcel Clean'!A88:A1087,'Subbu- Mini Project EXcel Clean'!M88:M1087," ",0)</f>
        <v>84.3</v>
      </c>
      <c r="F88">
        <f>_xlfn.XLOOKUP(A88,'Subbu- Mini Project EXcel Clean'!A88:A1087,'Subbu- Mini Project EXcel Clean'!P88:P1087," ",0)</f>
        <v>5</v>
      </c>
      <c r="G88" t="str">
        <f>_xlfn.XLOOKUP(A88,'Subbu- Mini Project EXcel Clean'!A88:A1087,'Subbu- Mini Project EXcel Clean'!Q88:Q1087," ",0)</f>
        <v>Moderate</v>
      </c>
      <c r="H88">
        <f>VLOOKUP(A88,'Subbu- Mini Project EXcel Clean'!A87:R1087,15,FALSE)</f>
        <v>1.7</v>
      </c>
    </row>
    <row r="89" spans="1:8" x14ac:dyDescent="0.25">
      <c r="A89" t="s">
        <v>116</v>
      </c>
      <c r="B89">
        <f>_xlfn.XLOOKUP(A89,'Subbu- Mini Project EXcel Clean'!A89:A1088,'Subbu- Mini Project EXcel Clean'!I89:I1088,"Entry Level",0)</f>
        <v>4</v>
      </c>
      <c r="C89" t="str">
        <f>_xlfn.XLOOKUP(A89,'Subbu- Mini Project EXcel Clean'!A89:A1088,'Subbu- Mini Project EXcel Clean'!J89:J1088," ",0)</f>
        <v>Excellent</v>
      </c>
      <c r="D89">
        <f>_xlfn.XLOOKUP(A89,'Subbu- Mini Project EXcel Clean'!A89:A1088,'Subbu- Mini Project EXcel Clean'!N89:N1088,"entry Level",0)</f>
        <v>6.6</v>
      </c>
      <c r="E89">
        <f>_xlfn.XLOOKUP(A89,'Subbu- Mini Project EXcel Clean'!A89:A1088,'Subbu- Mini Project EXcel Clean'!M89:M1088," ",0)</f>
        <v>91</v>
      </c>
      <c r="F89">
        <f>_xlfn.XLOOKUP(A89,'Subbu- Mini Project EXcel Clean'!A89:A1088,'Subbu- Mini Project EXcel Clean'!P89:P1088," ",0)</f>
        <v>3</v>
      </c>
      <c r="G89" t="str">
        <f>_xlfn.XLOOKUP(A89,'Subbu- Mini Project EXcel Clean'!A89:A1088,'Subbu- Mini Project EXcel Clean'!Q89:Q1088," ",0)</f>
        <v>Low</v>
      </c>
      <c r="H89">
        <f>VLOOKUP(A89,'Subbu- Mini Project EXcel Clean'!A88:R1088,15,FALSE)</f>
        <v>2.5</v>
      </c>
    </row>
    <row r="90" spans="1:8" x14ac:dyDescent="0.25">
      <c r="A90" t="s">
        <v>117</v>
      </c>
      <c r="B90">
        <f>_xlfn.XLOOKUP(A90,'Subbu- Mini Project EXcel Clean'!A90:A1089,'Subbu- Mini Project EXcel Clean'!I90:I1089,"Entry Level",0)</f>
        <v>3</v>
      </c>
      <c r="C90" t="str">
        <f>_xlfn.XLOOKUP(A90,'Subbu- Mini Project EXcel Clean'!A90:A1089,'Subbu- Mini Project EXcel Clean'!J90:J1089," ",0)</f>
        <v>Consistent</v>
      </c>
      <c r="D90">
        <f>_xlfn.XLOOKUP(A90,'Subbu- Mini Project EXcel Clean'!A90:A1089,'Subbu- Mini Project EXcel Clean'!N90:N1089,"entry Level",0)</f>
        <v>7.2</v>
      </c>
      <c r="E90">
        <f>_xlfn.XLOOKUP(A90,'Subbu- Mini Project EXcel Clean'!A90:A1089,'Subbu- Mini Project EXcel Clean'!M90:M1089," ",0)</f>
        <v>78</v>
      </c>
      <c r="F90">
        <f>_xlfn.XLOOKUP(A90,'Subbu- Mini Project EXcel Clean'!A90:A1089,'Subbu- Mini Project EXcel Clean'!P90:P1089," ",0)</f>
        <v>5</v>
      </c>
      <c r="G90" t="str">
        <f>_xlfn.XLOOKUP(A90,'Subbu- Mini Project EXcel Clean'!A90:A1089,'Subbu- Mini Project EXcel Clean'!Q90:Q1089," ",0)</f>
        <v>Moderate</v>
      </c>
      <c r="H90">
        <f>VLOOKUP(A90,'Subbu- Mini Project EXcel Clean'!A89:R1089,15,FALSE)</f>
        <v>1.6</v>
      </c>
    </row>
    <row r="91" spans="1:8" x14ac:dyDescent="0.25">
      <c r="A91" t="s">
        <v>118</v>
      </c>
      <c r="B91">
        <f>_xlfn.XLOOKUP(A91,'Subbu- Mini Project EXcel Clean'!A91:A1090,'Subbu- Mini Project EXcel Clean'!I91:I1090,"Entry Level",0)</f>
        <v>4</v>
      </c>
      <c r="C91" t="str">
        <f>_xlfn.XLOOKUP(A91,'Subbu- Mini Project EXcel Clean'!A91:A1090,'Subbu- Mini Project EXcel Clean'!J91:J1090," ",0)</f>
        <v>Good</v>
      </c>
      <c r="D91">
        <f>_xlfn.XLOOKUP(A91,'Subbu- Mini Project EXcel Clean'!A91:A1090,'Subbu- Mini Project EXcel Clean'!N91:N1090,"entry Level",0)</f>
        <v>6.2</v>
      </c>
      <c r="E91">
        <f>_xlfn.XLOOKUP(A91,'Subbu- Mini Project EXcel Clean'!A91:A1090,'Subbu- Mini Project EXcel Clean'!M91:M1090," ",0)</f>
        <v>103.7</v>
      </c>
      <c r="F91">
        <f>_xlfn.XLOOKUP(A91,'Subbu- Mini Project EXcel Clean'!A91:A1090,'Subbu- Mini Project EXcel Clean'!P91:P1090," ",0)</f>
        <v>4</v>
      </c>
      <c r="G91" t="str">
        <f>_xlfn.XLOOKUP(A91,'Subbu- Mini Project EXcel Clean'!A91:A1090,'Subbu- Mini Project EXcel Clean'!Q91:Q1090," ",0)</f>
        <v>Moderate</v>
      </c>
      <c r="H91">
        <f>VLOOKUP(A91,'Subbu- Mini Project EXcel Clean'!A90:R1090,15,FALSE)</f>
        <v>5.9</v>
      </c>
    </row>
    <row r="92" spans="1:8" x14ac:dyDescent="0.25">
      <c r="A92" t="s">
        <v>119</v>
      </c>
      <c r="B92">
        <f>_xlfn.XLOOKUP(A92,'Subbu- Mini Project EXcel Clean'!A92:A1091,'Subbu- Mini Project EXcel Clean'!I92:I1091,"Entry Level",0)</f>
        <v>2</v>
      </c>
      <c r="C92" t="str">
        <f>_xlfn.XLOOKUP(A92,'Subbu- Mini Project EXcel Clean'!A92:A1091,'Subbu- Mini Project EXcel Clean'!J92:J1091," ",0)</f>
        <v>Consistent</v>
      </c>
      <c r="D92">
        <f>_xlfn.XLOOKUP(A92,'Subbu- Mini Project EXcel Clean'!A92:A1091,'Subbu- Mini Project EXcel Clean'!N92:N1091,"entry Level",0)</f>
        <v>6.6</v>
      </c>
      <c r="E92">
        <f>_xlfn.XLOOKUP(A92,'Subbu- Mini Project EXcel Clean'!A92:A1091,'Subbu- Mini Project EXcel Clean'!M92:M1091," ",0)</f>
        <v>66.599999999999994</v>
      </c>
      <c r="F92">
        <f>_xlfn.XLOOKUP(A92,'Subbu- Mini Project EXcel Clean'!A92:A1091,'Subbu- Mini Project EXcel Clean'!P92:P1091," ",0)</f>
        <v>4</v>
      </c>
      <c r="G92" t="str">
        <f>_xlfn.XLOOKUP(A92,'Subbu- Mini Project EXcel Clean'!A92:A1091,'Subbu- Mini Project EXcel Clean'!Q92:Q1091," ",0)</f>
        <v>Moderate</v>
      </c>
      <c r="H92">
        <f>VLOOKUP(A92,'Subbu- Mini Project EXcel Clean'!A91:R1091,15,FALSE)</f>
        <v>2.5</v>
      </c>
    </row>
    <row r="93" spans="1:8" x14ac:dyDescent="0.25">
      <c r="A93" t="s">
        <v>120</v>
      </c>
      <c r="B93">
        <f>_xlfn.XLOOKUP(A93,'Subbu- Mini Project EXcel Clean'!A93:A1092,'Subbu- Mini Project EXcel Clean'!I93:I1092,"Entry Level",0)</f>
        <v>3</v>
      </c>
      <c r="C93" t="str">
        <f>_xlfn.XLOOKUP(A93,'Subbu- Mini Project EXcel Clean'!A93:A1092,'Subbu- Mini Project EXcel Clean'!J93:J1092," ",0)</f>
        <v>Consistent</v>
      </c>
      <c r="D93">
        <f>_xlfn.XLOOKUP(A93,'Subbu- Mini Project EXcel Clean'!A93:A1092,'Subbu- Mini Project EXcel Clean'!N93:N1092,"entry Level",0)</f>
        <v>6.9</v>
      </c>
      <c r="E93">
        <f>_xlfn.XLOOKUP(A93,'Subbu- Mini Project EXcel Clean'!A93:A1092,'Subbu- Mini Project EXcel Clean'!M93:M1092," ",0)</f>
        <v>74.099999999999994</v>
      </c>
      <c r="F93">
        <f>_xlfn.XLOOKUP(A93,'Subbu- Mini Project EXcel Clean'!A93:A1092,'Subbu- Mini Project EXcel Clean'!P93:P1092," ",0)</f>
        <v>2</v>
      </c>
      <c r="G93" t="str">
        <f>_xlfn.XLOOKUP(A93,'Subbu- Mini Project EXcel Clean'!A93:A1092,'Subbu- Mini Project EXcel Clean'!Q93:Q1092," ",0)</f>
        <v>Low</v>
      </c>
      <c r="H93">
        <f>VLOOKUP(A93,'Subbu- Mini Project EXcel Clean'!A92:R1092,15,FALSE)</f>
        <v>1.7</v>
      </c>
    </row>
    <row r="94" spans="1:8" x14ac:dyDescent="0.25">
      <c r="A94" t="s">
        <v>121</v>
      </c>
      <c r="B94">
        <f>_xlfn.XLOOKUP(A94,'Subbu- Mini Project EXcel Clean'!A94:A1093,'Subbu- Mini Project EXcel Clean'!I94:I1093,"Entry Level",0)</f>
        <v>4</v>
      </c>
      <c r="C94" t="str">
        <f>_xlfn.XLOOKUP(A94,'Subbu- Mini Project EXcel Clean'!A94:A1093,'Subbu- Mini Project EXcel Clean'!J94:J1093," ",0)</f>
        <v>Good</v>
      </c>
      <c r="D94">
        <f>_xlfn.XLOOKUP(A94,'Subbu- Mini Project EXcel Clean'!A94:A1093,'Subbu- Mini Project EXcel Clean'!N94:N1093,"entry Level",0)</f>
        <v>8.5</v>
      </c>
      <c r="E94">
        <f>_xlfn.XLOOKUP(A94,'Subbu- Mini Project EXcel Clean'!A94:A1093,'Subbu- Mini Project EXcel Clean'!M94:M1093," ",0)</f>
        <v>93.3</v>
      </c>
      <c r="F94">
        <f>_xlfn.XLOOKUP(A94,'Subbu- Mini Project EXcel Clean'!A94:A1093,'Subbu- Mini Project EXcel Clean'!P94:P1093," ",0)</f>
        <v>1</v>
      </c>
      <c r="G94" t="str">
        <f>_xlfn.XLOOKUP(A94,'Subbu- Mini Project EXcel Clean'!A94:A1093,'Subbu- Mini Project EXcel Clean'!Q94:Q1093," ",0)</f>
        <v>Low</v>
      </c>
      <c r="H94">
        <f>VLOOKUP(A94,'Subbu- Mini Project EXcel Clean'!A93:R1093,15,FALSE)</f>
        <v>2</v>
      </c>
    </row>
    <row r="95" spans="1:8" x14ac:dyDescent="0.25">
      <c r="A95" t="s">
        <v>122</v>
      </c>
      <c r="B95">
        <f>_xlfn.XLOOKUP(A95,'Subbu- Mini Project EXcel Clean'!A95:A1094,'Subbu- Mini Project EXcel Clean'!I95:I1094,"Entry Level",0)</f>
        <v>2</v>
      </c>
      <c r="C95" t="str">
        <f>_xlfn.XLOOKUP(A95,'Subbu- Mini Project EXcel Clean'!A95:A1094,'Subbu- Mini Project EXcel Clean'!J95:J1094," ",0)</f>
        <v>Consistent</v>
      </c>
      <c r="D95">
        <f>_xlfn.XLOOKUP(A95,'Subbu- Mini Project EXcel Clean'!A95:A1094,'Subbu- Mini Project EXcel Clean'!N95:N1094,"entry Level",0)</f>
        <v>6.4</v>
      </c>
      <c r="E95">
        <f>_xlfn.XLOOKUP(A95,'Subbu- Mini Project EXcel Clean'!A95:A1094,'Subbu- Mini Project EXcel Clean'!M95:M1094," ",0)</f>
        <v>63.2</v>
      </c>
      <c r="F95">
        <f>_xlfn.XLOOKUP(A95,'Subbu- Mini Project EXcel Clean'!A95:A1094,'Subbu- Mini Project EXcel Clean'!P95:P1094," ",0)</f>
        <v>1</v>
      </c>
      <c r="G95" t="str">
        <f>_xlfn.XLOOKUP(A95,'Subbu- Mini Project EXcel Clean'!A95:A1094,'Subbu- Mini Project EXcel Clean'!Q95:Q1094," ",0)</f>
        <v>Low</v>
      </c>
      <c r="H95">
        <f>VLOOKUP(A95,'Subbu- Mini Project EXcel Clean'!A94:R1094,15,FALSE)</f>
        <v>3.9</v>
      </c>
    </row>
    <row r="96" spans="1:8" x14ac:dyDescent="0.25">
      <c r="A96" t="s">
        <v>123</v>
      </c>
      <c r="B96">
        <f>_xlfn.XLOOKUP(A96,'Subbu- Mini Project EXcel Clean'!A96:A1095,'Subbu- Mini Project EXcel Clean'!I96:I1095,"Entry Level",0)</f>
        <v>1</v>
      </c>
      <c r="C96" t="str">
        <f>_xlfn.XLOOKUP(A96,'Subbu- Mini Project EXcel Clean'!A96:A1095,'Subbu- Mini Project EXcel Clean'!J96:J1095," ",0)</f>
        <v>Consistent</v>
      </c>
      <c r="D96">
        <f>_xlfn.XLOOKUP(A96,'Subbu- Mini Project EXcel Clean'!A96:A1095,'Subbu- Mini Project EXcel Clean'!N96:N1095,"entry Level",0)</f>
        <v>7.4</v>
      </c>
      <c r="E96">
        <f>_xlfn.XLOOKUP(A96,'Subbu- Mini Project EXcel Clean'!A96:A1095,'Subbu- Mini Project EXcel Clean'!M96:M1095," ",0)</f>
        <v>71.8</v>
      </c>
      <c r="F96">
        <f>_xlfn.XLOOKUP(A96,'Subbu- Mini Project EXcel Clean'!A96:A1095,'Subbu- Mini Project EXcel Clean'!P96:P1095," ",0)</f>
        <v>4</v>
      </c>
      <c r="G96" t="str">
        <f>_xlfn.XLOOKUP(A96,'Subbu- Mini Project EXcel Clean'!A96:A1095,'Subbu- Mini Project EXcel Clean'!Q96:Q1095," ",0)</f>
        <v>Moderate</v>
      </c>
      <c r="H96">
        <f>VLOOKUP(A96,'Subbu- Mini Project EXcel Clean'!A95:R1095,15,FALSE)</f>
        <v>1.3</v>
      </c>
    </row>
    <row r="97" spans="1:8" x14ac:dyDescent="0.25">
      <c r="A97" t="s">
        <v>124</v>
      </c>
      <c r="B97">
        <f>_xlfn.XLOOKUP(A97,'Subbu- Mini Project EXcel Clean'!A97:A1096,'Subbu- Mini Project EXcel Clean'!I97:I1096,"Entry Level",0)</f>
        <v>5</v>
      </c>
      <c r="C97" t="str">
        <f>_xlfn.XLOOKUP(A97,'Subbu- Mini Project EXcel Clean'!A97:A1096,'Subbu- Mini Project EXcel Clean'!J97:J1096," ",0)</f>
        <v>Good</v>
      </c>
      <c r="D97">
        <f>_xlfn.XLOOKUP(A97,'Subbu- Mini Project EXcel Clean'!A97:A1096,'Subbu- Mini Project EXcel Clean'!N97:N1096,"entry Level",0)</f>
        <v>6.2</v>
      </c>
      <c r="E97">
        <f>_xlfn.XLOOKUP(A97,'Subbu- Mini Project EXcel Clean'!A97:A1096,'Subbu- Mini Project EXcel Clean'!M97:M1096," ",0)</f>
        <v>93.9</v>
      </c>
      <c r="F97">
        <f>_xlfn.XLOOKUP(A97,'Subbu- Mini Project EXcel Clean'!A97:A1096,'Subbu- Mini Project EXcel Clean'!P97:P1096," ",0)</f>
        <v>3</v>
      </c>
      <c r="G97" t="str">
        <f>_xlfn.XLOOKUP(A97,'Subbu- Mini Project EXcel Clean'!A97:A1096,'Subbu- Mini Project EXcel Clean'!Q97:Q1096," ",0)</f>
        <v>Low</v>
      </c>
      <c r="H97">
        <f>VLOOKUP(A97,'Subbu- Mini Project EXcel Clean'!A96:R1096,15,FALSE)</f>
        <v>5.3</v>
      </c>
    </row>
    <row r="98" spans="1:8" x14ac:dyDescent="0.25">
      <c r="A98" t="s">
        <v>125</v>
      </c>
      <c r="B98">
        <f>_xlfn.XLOOKUP(A98,'Subbu- Mini Project EXcel Clean'!A98:A1097,'Subbu- Mini Project EXcel Clean'!I98:I1097,"Entry Level",0)</f>
        <v>2</v>
      </c>
      <c r="C98" t="str">
        <f>_xlfn.XLOOKUP(A98,'Subbu- Mini Project EXcel Clean'!A98:A1097,'Subbu- Mini Project EXcel Clean'!J98:J1097," ",0)</f>
        <v>Consistent</v>
      </c>
      <c r="D98">
        <f>_xlfn.XLOOKUP(A98,'Subbu- Mini Project EXcel Clean'!A98:A1097,'Subbu- Mini Project EXcel Clean'!N98:N1097,"entry Level",0)</f>
        <v>6</v>
      </c>
      <c r="E98">
        <f>_xlfn.XLOOKUP(A98,'Subbu- Mini Project EXcel Clean'!A98:A1097,'Subbu- Mini Project EXcel Clean'!M98:M1097," ",0)</f>
        <v>70.900000000000006</v>
      </c>
      <c r="F98">
        <f>_xlfn.XLOOKUP(A98,'Subbu- Mini Project EXcel Clean'!A98:A1097,'Subbu- Mini Project EXcel Clean'!P98:P1097," ",0)</f>
        <v>1</v>
      </c>
      <c r="G98" t="str">
        <f>_xlfn.XLOOKUP(A98,'Subbu- Mini Project EXcel Clean'!A98:A1097,'Subbu- Mini Project EXcel Clean'!Q98:Q1097," ",0)</f>
        <v>Low</v>
      </c>
      <c r="H98">
        <f>VLOOKUP(A98,'Subbu- Mini Project EXcel Clean'!A97:R1097,15,FALSE)</f>
        <v>5.8</v>
      </c>
    </row>
    <row r="99" spans="1:8" x14ac:dyDescent="0.25">
      <c r="A99" t="s">
        <v>126</v>
      </c>
      <c r="B99">
        <f>_xlfn.XLOOKUP(A99,'Subbu- Mini Project EXcel Clean'!A99:A1098,'Subbu- Mini Project EXcel Clean'!I99:I1098,"Entry Level",0)</f>
        <v>4</v>
      </c>
      <c r="C99" t="str">
        <f>_xlfn.XLOOKUP(A99,'Subbu- Mini Project EXcel Clean'!A99:A1098,'Subbu- Mini Project EXcel Clean'!J99:J1098," ",0)</f>
        <v>Excellent</v>
      </c>
      <c r="D99">
        <f>_xlfn.XLOOKUP(A99,'Subbu- Mini Project EXcel Clean'!A99:A1098,'Subbu- Mini Project EXcel Clean'!N99:N1098,"entry Level",0)</f>
        <v>7.6</v>
      </c>
      <c r="E99">
        <f>_xlfn.XLOOKUP(A99,'Subbu- Mini Project EXcel Clean'!A99:A1098,'Subbu- Mini Project EXcel Clean'!M99:M1098," ",0)</f>
        <v>85</v>
      </c>
      <c r="F99">
        <f>_xlfn.XLOOKUP(A99,'Subbu- Mini Project EXcel Clean'!A99:A1098,'Subbu- Mini Project EXcel Clean'!P99:P1098," ",0)</f>
        <v>6</v>
      </c>
      <c r="G99" t="str">
        <f>_xlfn.XLOOKUP(A99,'Subbu- Mini Project EXcel Clean'!A99:A1098,'Subbu- Mini Project EXcel Clean'!Q99:Q1098," ",0)</f>
        <v>Moderate</v>
      </c>
      <c r="H99">
        <f>VLOOKUP(A99,'Subbu- Mini Project EXcel Clean'!A98:R1098,15,FALSE)</f>
        <v>2.2000000000000002</v>
      </c>
    </row>
    <row r="100" spans="1:8" x14ac:dyDescent="0.25">
      <c r="A100" t="s">
        <v>127</v>
      </c>
      <c r="B100">
        <f>_xlfn.XLOOKUP(A100,'Subbu- Mini Project EXcel Clean'!A100:A1099,'Subbu- Mini Project EXcel Clean'!I100:I1099,"Entry Level",0)</f>
        <v>1</v>
      </c>
      <c r="C100" t="str">
        <f>_xlfn.XLOOKUP(A100,'Subbu- Mini Project EXcel Clean'!A100:A1099,'Subbu- Mini Project EXcel Clean'!J100:J1099," ",0)</f>
        <v>Consistent</v>
      </c>
      <c r="D100">
        <f>_xlfn.XLOOKUP(A100,'Subbu- Mini Project EXcel Clean'!A100:A1099,'Subbu- Mini Project EXcel Clean'!N100:N1099,"entry Level",0)</f>
        <v>7.5</v>
      </c>
      <c r="E100">
        <f>_xlfn.XLOOKUP(A100,'Subbu- Mini Project EXcel Clean'!A100:A1099,'Subbu- Mini Project EXcel Clean'!M100:M1099," ",0)</f>
        <v>64.599999999999994</v>
      </c>
      <c r="F100">
        <f>_xlfn.XLOOKUP(A100,'Subbu- Mini Project EXcel Clean'!A100:A1099,'Subbu- Mini Project EXcel Clean'!P100:P1099," ",0)</f>
        <v>1</v>
      </c>
      <c r="G100" t="str">
        <f>_xlfn.XLOOKUP(A100,'Subbu- Mini Project EXcel Clean'!A100:A1099,'Subbu- Mini Project EXcel Clean'!Q100:Q1099," ",0)</f>
        <v>Low</v>
      </c>
      <c r="H100">
        <f>VLOOKUP(A100,'Subbu- Mini Project EXcel Clean'!A99:R1099,15,FALSE)</f>
        <v>3.3</v>
      </c>
    </row>
    <row r="101" spans="1:8" x14ac:dyDescent="0.25">
      <c r="A101" t="s">
        <v>128</v>
      </c>
      <c r="B101">
        <f>_xlfn.XLOOKUP(A101,'Subbu- Mini Project EXcel Clean'!A101:A1100,'Subbu- Mini Project EXcel Clean'!I101:I1100,"Entry Level",0)</f>
        <v>4</v>
      </c>
      <c r="C101" t="str">
        <f>_xlfn.XLOOKUP(A101,'Subbu- Mini Project EXcel Clean'!A101:A1100,'Subbu- Mini Project EXcel Clean'!J101:J1100," ",0)</f>
        <v>Excellent</v>
      </c>
      <c r="D101">
        <f>_xlfn.XLOOKUP(A101,'Subbu- Mini Project EXcel Clean'!A101:A1100,'Subbu- Mini Project EXcel Clean'!N101:N1100,"entry Level",0)</f>
        <v>7.5</v>
      </c>
      <c r="E101">
        <f>_xlfn.XLOOKUP(A101,'Subbu- Mini Project EXcel Clean'!A101:A1100,'Subbu- Mini Project EXcel Clean'!M101:M1100," ",0)</f>
        <v>86.8</v>
      </c>
      <c r="F101">
        <f>_xlfn.XLOOKUP(A101,'Subbu- Mini Project EXcel Clean'!A101:A1100,'Subbu- Mini Project EXcel Clean'!P101:P1100," ",0)</f>
        <v>3</v>
      </c>
      <c r="G101" t="str">
        <f>_xlfn.XLOOKUP(A101,'Subbu- Mini Project EXcel Clean'!A101:A1100,'Subbu- Mini Project EXcel Clean'!Q101:Q1100," ",0)</f>
        <v>Low</v>
      </c>
      <c r="H101">
        <f>VLOOKUP(A101,'Subbu- Mini Project EXcel Clean'!A100:R1100,15,FALSE)</f>
        <v>1.1000000000000001</v>
      </c>
    </row>
    <row r="102" spans="1:8" x14ac:dyDescent="0.25">
      <c r="A102" t="s">
        <v>129</v>
      </c>
      <c r="B102">
        <f>_xlfn.XLOOKUP(A102,'Subbu- Mini Project EXcel Clean'!A102:A1101,'Subbu- Mini Project EXcel Clean'!I102:I1101,"Entry Level",0)</f>
        <v>2</v>
      </c>
      <c r="C102" t="str">
        <f>_xlfn.XLOOKUP(A102,'Subbu- Mini Project EXcel Clean'!A102:A1101,'Subbu- Mini Project EXcel Clean'!J102:J1101," ",0)</f>
        <v>Consistent</v>
      </c>
      <c r="D102">
        <f>_xlfn.XLOOKUP(A102,'Subbu- Mini Project EXcel Clean'!A102:A1101,'Subbu- Mini Project EXcel Clean'!N102:N1101,"entry Level",0)</f>
        <v>6.1</v>
      </c>
      <c r="E102">
        <f>_xlfn.XLOOKUP(A102,'Subbu- Mini Project EXcel Clean'!A102:A1101,'Subbu- Mini Project EXcel Clean'!M102:M1101," ",0)</f>
        <v>69.400000000000006</v>
      </c>
      <c r="F102">
        <f>_xlfn.XLOOKUP(A102,'Subbu- Mini Project EXcel Clean'!A102:A1101,'Subbu- Mini Project EXcel Clean'!P102:P1101," ",0)</f>
        <v>4</v>
      </c>
      <c r="G102" t="str">
        <f>_xlfn.XLOOKUP(A102,'Subbu- Mini Project EXcel Clean'!A102:A1101,'Subbu- Mini Project EXcel Clean'!Q102:Q1101," ",0)</f>
        <v>Moderate</v>
      </c>
      <c r="H102">
        <f>VLOOKUP(A102,'Subbu- Mini Project EXcel Clean'!A101:R1101,15,FALSE)</f>
        <v>4.2</v>
      </c>
    </row>
    <row r="103" spans="1:8" x14ac:dyDescent="0.25">
      <c r="A103" t="s">
        <v>130</v>
      </c>
      <c r="B103">
        <f>_xlfn.XLOOKUP(A103,'Subbu- Mini Project EXcel Clean'!A103:A1102,'Subbu- Mini Project EXcel Clean'!I103:I1102,"Entry Level",0)</f>
        <v>1</v>
      </c>
      <c r="C103" t="str">
        <f>_xlfn.XLOOKUP(A103,'Subbu- Mini Project EXcel Clean'!A103:A1102,'Subbu- Mini Project EXcel Clean'!J103:J1102," ",0)</f>
        <v>Consistent</v>
      </c>
      <c r="D103">
        <f>_xlfn.XLOOKUP(A103,'Subbu- Mini Project EXcel Clean'!A103:A1102,'Subbu- Mini Project EXcel Clean'!N103:N1102,"entry Level",0)</f>
        <v>7.7</v>
      </c>
      <c r="E103">
        <f>_xlfn.XLOOKUP(A103,'Subbu- Mini Project EXcel Clean'!A103:A1102,'Subbu- Mini Project EXcel Clean'!M103:M1102," ",0)</f>
        <v>70.599999999999994</v>
      </c>
      <c r="F103">
        <f>_xlfn.XLOOKUP(A103,'Subbu- Mini Project EXcel Clean'!A103:A1102,'Subbu- Mini Project EXcel Clean'!P103:P1102," ",0)</f>
        <v>4</v>
      </c>
      <c r="G103" t="str">
        <f>_xlfn.XLOOKUP(A103,'Subbu- Mini Project EXcel Clean'!A103:A1102,'Subbu- Mini Project EXcel Clean'!Q103:Q1102," ",0)</f>
        <v>Moderate</v>
      </c>
      <c r="H103">
        <f>VLOOKUP(A103,'Subbu- Mini Project EXcel Clean'!A102:R1102,15,FALSE)</f>
        <v>3.1</v>
      </c>
    </row>
    <row r="104" spans="1:8" x14ac:dyDescent="0.25">
      <c r="A104" t="s">
        <v>131</v>
      </c>
      <c r="B104">
        <f>_xlfn.XLOOKUP(A104,'Subbu- Mini Project EXcel Clean'!A104:A1103,'Subbu- Mini Project EXcel Clean'!I104:I1103,"Entry Level",0)</f>
        <v>3</v>
      </c>
      <c r="C104" t="str">
        <f>_xlfn.XLOOKUP(A104,'Subbu- Mini Project EXcel Clean'!A104:A1103,'Subbu- Mini Project EXcel Clean'!J104:J1103," ",0)</f>
        <v>Excellent</v>
      </c>
      <c r="D104">
        <f>_xlfn.XLOOKUP(A104,'Subbu- Mini Project EXcel Clean'!A104:A1103,'Subbu- Mini Project EXcel Clean'!N104:N1103,"entry Level",0)</f>
        <v>7.2</v>
      </c>
      <c r="E104">
        <f>_xlfn.XLOOKUP(A104,'Subbu- Mini Project EXcel Clean'!A104:A1103,'Subbu- Mini Project EXcel Clean'!M104:M1103," ",0)</f>
        <v>80.099999999999994</v>
      </c>
      <c r="F104">
        <f>_xlfn.XLOOKUP(A104,'Subbu- Mini Project EXcel Clean'!A104:A1103,'Subbu- Mini Project EXcel Clean'!P104:P1103," ",0)</f>
        <v>5</v>
      </c>
      <c r="G104" t="str">
        <f>_xlfn.XLOOKUP(A104,'Subbu- Mini Project EXcel Clean'!A104:A1103,'Subbu- Mini Project EXcel Clean'!Q104:Q1103," ",0)</f>
        <v>Moderate</v>
      </c>
      <c r="H104">
        <f>VLOOKUP(A104,'Subbu- Mini Project EXcel Clean'!A103:R1103,15,FALSE)</f>
        <v>2.4</v>
      </c>
    </row>
    <row r="105" spans="1:8" x14ac:dyDescent="0.25">
      <c r="A105" t="s">
        <v>132</v>
      </c>
      <c r="B105">
        <f>_xlfn.XLOOKUP(A105,'Subbu- Mini Project EXcel Clean'!A105:A1104,'Subbu- Mini Project EXcel Clean'!I105:I1104,"Entry Level",0)</f>
        <v>2</v>
      </c>
      <c r="C105" t="str">
        <f>_xlfn.XLOOKUP(A105,'Subbu- Mini Project EXcel Clean'!A105:A1104,'Subbu- Mini Project EXcel Clean'!J105:J1104," ",0)</f>
        <v>Consistent</v>
      </c>
      <c r="D105">
        <f>_xlfn.XLOOKUP(A105,'Subbu- Mini Project EXcel Clean'!A105:A1104,'Subbu- Mini Project EXcel Clean'!N105:N1104,"entry Level",0)</f>
        <v>8.3000000000000007</v>
      </c>
      <c r="E105">
        <f>_xlfn.XLOOKUP(A105,'Subbu- Mini Project EXcel Clean'!A105:A1104,'Subbu- Mini Project EXcel Clean'!M105:M1104," ",0)</f>
        <v>69.8</v>
      </c>
      <c r="F105">
        <f>_xlfn.XLOOKUP(A105,'Subbu- Mini Project EXcel Clean'!A105:A1104,'Subbu- Mini Project EXcel Clean'!P105:P1104," ",0)</f>
        <v>1</v>
      </c>
      <c r="G105" t="str">
        <f>_xlfn.XLOOKUP(A105,'Subbu- Mini Project EXcel Clean'!A105:A1104,'Subbu- Mini Project EXcel Clean'!Q105:Q1104," ",0)</f>
        <v>Low</v>
      </c>
      <c r="H105">
        <f>VLOOKUP(A105,'Subbu- Mini Project EXcel Clean'!A104:R1104,15,FALSE)</f>
        <v>2</v>
      </c>
    </row>
    <row r="106" spans="1:8" x14ac:dyDescent="0.25">
      <c r="A106" t="s">
        <v>133</v>
      </c>
      <c r="B106">
        <f>_xlfn.XLOOKUP(A106,'Subbu- Mini Project EXcel Clean'!A106:A1105,'Subbu- Mini Project EXcel Clean'!I106:I1105,"Entry Level",0)</f>
        <v>3</v>
      </c>
      <c r="C106" t="str">
        <f>_xlfn.XLOOKUP(A106,'Subbu- Mini Project EXcel Clean'!A106:A1105,'Subbu- Mini Project EXcel Clean'!J106:J1105," ",0)</f>
        <v>Consistent</v>
      </c>
      <c r="D106">
        <f>_xlfn.XLOOKUP(A106,'Subbu- Mini Project EXcel Clean'!A106:A1105,'Subbu- Mini Project EXcel Clean'!N106:N1105,"entry Level",0)</f>
        <v>5.6</v>
      </c>
      <c r="E106">
        <f>_xlfn.XLOOKUP(A106,'Subbu- Mini Project EXcel Clean'!A106:A1105,'Subbu- Mini Project EXcel Clean'!M106:M1105," ",0)</f>
        <v>78.7</v>
      </c>
      <c r="F106">
        <f>_xlfn.XLOOKUP(A106,'Subbu- Mini Project EXcel Clean'!A106:A1105,'Subbu- Mini Project EXcel Clean'!P106:P1105," ",0)</f>
        <v>5</v>
      </c>
      <c r="G106" t="str">
        <f>_xlfn.XLOOKUP(A106,'Subbu- Mini Project EXcel Clean'!A106:A1105,'Subbu- Mini Project EXcel Clean'!Q106:Q1105," ",0)</f>
        <v>Moderate</v>
      </c>
      <c r="H106">
        <f>VLOOKUP(A106,'Subbu- Mini Project EXcel Clean'!A105:R1105,15,FALSE)</f>
        <v>4.3</v>
      </c>
    </row>
    <row r="107" spans="1:8" x14ac:dyDescent="0.25">
      <c r="A107" t="s">
        <v>134</v>
      </c>
      <c r="B107">
        <f>_xlfn.XLOOKUP(A107,'Subbu- Mini Project EXcel Clean'!A107:A1106,'Subbu- Mini Project EXcel Clean'!I107:I1106,"Entry Level",0)</f>
        <v>1</v>
      </c>
      <c r="C107" t="str">
        <f>_xlfn.XLOOKUP(A107,'Subbu- Mini Project EXcel Clean'!A107:A1106,'Subbu- Mini Project EXcel Clean'!J107:J1106," ",0)</f>
        <v>Consistent</v>
      </c>
      <c r="D107">
        <f>_xlfn.XLOOKUP(A107,'Subbu- Mini Project EXcel Clean'!A107:A1106,'Subbu- Mini Project EXcel Clean'!N107:N1106,"entry Level",0)</f>
        <v>7.2</v>
      </c>
      <c r="E107">
        <f>_xlfn.XLOOKUP(A107,'Subbu- Mini Project EXcel Clean'!A107:A1106,'Subbu- Mini Project EXcel Clean'!M107:M1106," ",0)</f>
        <v>55.1</v>
      </c>
      <c r="F107">
        <f>_xlfn.XLOOKUP(A107,'Subbu- Mini Project EXcel Clean'!A107:A1106,'Subbu- Mini Project EXcel Clean'!P107:P1106," ",0)</f>
        <v>3</v>
      </c>
      <c r="G107" t="str">
        <f>_xlfn.XLOOKUP(A107,'Subbu- Mini Project EXcel Clean'!A107:A1106,'Subbu- Mini Project EXcel Clean'!Q107:Q1106," ",0)</f>
        <v>Low</v>
      </c>
      <c r="H107">
        <f>VLOOKUP(A107,'Subbu- Mini Project EXcel Clean'!A106:R1106,15,FALSE)</f>
        <v>3.1</v>
      </c>
    </row>
    <row r="108" spans="1:8" x14ac:dyDescent="0.25">
      <c r="A108" t="s">
        <v>135</v>
      </c>
      <c r="B108">
        <f>_xlfn.XLOOKUP(A108,'Subbu- Mini Project EXcel Clean'!A108:A1107,'Subbu- Mini Project EXcel Clean'!I108:I1107,"Entry Level",0)</f>
        <v>2</v>
      </c>
      <c r="C108" t="str">
        <f>_xlfn.XLOOKUP(A108,'Subbu- Mini Project EXcel Clean'!A108:A1107,'Subbu- Mini Project EXcel Clean'!J108:J1107," ",0)</f>
        <v>Consistent</v>
      </c>
      <c r="D108">
        <f>_xlfn.XLOOKUP(A108,'Subbu- Mini Project EXcel Clean'!A108:A1107,'Subbu- Mini Project EXcel Clean'!N108:N1107,"entry Level",0)</f>
        <v>8.4</v>
      </c>
      <c r="E108">
        <f>_xlfn.XLOOKUP(A108,'Subbu- Mini Project EXcel Clean'!A108:A1107,'Subbu- Mini Project EXcel Clean'!M108:M1107," ",0)</f>
        <v>68.3</v>
      </c>
      <c r="F108">
        <f>_xlfn.XLOOKUP(A108,'Subbu- Mini Project EXcel Clean'!A108:A1107,'Subbu- Mini Project EXcel Clean'!P108:P1107," ",0)</f>
        <v>5</v>
      </c>
      <c r="G108" t="str">
        <f>_xlfn.XLOOKUP(A108,'Subbu- Mini Project EXcel Clean'!A108:A1107,'Subbu- Mini Project EXcel Clean'!Q108:Q1107," ",0)</f>
        <v>Moderate</v>
      </c>
      <c r="H108">
        <f>VLOOKUP(A108,'Subbu- Mini Project EXcel Clean'!A107:R1107,15,FALSE)</f>
        <v>1.9</v>
      </c>
    </row>
    <row r="109" spans="1:8" x14ac:dyDescent="0.25">
      <c r="A109" t="s">
        <v>136</v>
      </c>
      <c r="B109">
        <f>_xlfn.XLOOKUP(A109,'Subbu- Mini Project EXcel Clean'!A109:A1108,'Subbu- Mini Project EXcel Clean'!I109:I1108,"Entry Level",0)</f>
        <v>2</v>
      </c>
      <c r="C109" t="str">
        <f>_xlfn.XLOOKUP(A109,'Subbu- Mini Project EXcel Clean'!A109:A1108,'Subbu- Mini Project EXcel Clean'!J109:J1108," ",0)</f>
        <v>Consistent</v>
      </c>
      <c r="D109">
        <f>_xlfn.XLOOKUP(A109,'Subbu- Mini Project EXcel Clean'!A109:A1108,'Subbu- Mini Project EXcel Clean'!N109:N1108,"entry Level",0)</f>
        <v>6.5</v>
      </c>
      <c r="E109">
        <f>_xlfn.XLOOKUP(A109,'Subbu- Mini Project EXcel Clean'!A109:A1108,'Subbu- Mini Project EXcel Clean'!M109:M1108," ",0)</f>
        <v>66.599999999999994</v>
      </c>
      <c r="F109">
        <f>_xlfn.XLOOKUP(A109,'Subbu- Mini Project EXcel Clean'!A109:A1108,'Subbu- Mini Project EXcel Clean'!P109:P1108," ",0)</f>
        <v>1</v>
      </c>
      <c r="G109" t="str">
        <f>_xlfn.XLOOKUP(A109,'Subbu- Mini Project EXcel Clean'!A109:A1108,'Subbu- Mini Project EXcel Clean'!Q109:Q1108," ",0)</f>
        <v>Low</v>
      </c>
      <c r="H109">
        <f>VLOOKUP(A109,'Subbu- Mini Project EXcel Clean'!A108:R1108,15,FALSE)</f>
        <v>4.4000000000000004</v>
      </c>
    </row>
    <row r="110" spans="1:8" x14ac:dyDescent="0.25">
      <c r="A110" t="s">
        <v>137</v>
      </c>
      <c r="B110">
        <f>_xlfn.XLOOKUP(A110,'Subbu- Mini Project EXcel Clean'!A110:A1109,'Subbu- Mini Project EXcel Clean'!I110:I1109,"Entry Level",0)</f>
        <v>1</v>
      </c>
      <c r="C110" t="str">
        <f>_xlfn.XLOOKUP(A110,'Subbu- Mini Project EXcel Clean'!A110:A1109,'Subbu- Mini Project EXcel Clean'!J110:J1109," ",0)</f>
        <v>Consistent</v>
      </c>
      <c r="D110">
        <f>_xlfn.XLOOKUP(A110,'Subbu- Mini Project EXcel Clean'!A110:A1109,'Subbu- Mini Project EXcel Clean'!N110:N1109,"entry Level",0)</f>
        <v>6.7</v>
      </c>
      <c r="E110">
        <f>_xlfn.XLOOKUP(A110,'Subbu- Mini Project EXcel Clean'!A110:A1109,'Subbu- Mini Project EXcel Clean'!M110:M1109," ",0)</f>
        <v>67.7</v>
      </c>
      <c r="F110">
        <f>_xlfn.XLOOKUP(A110,'Subbu- Mini Project EXcel Clean'!A110:A1109,'Subbu- Mini Project EXcel Clean'!P110:P1109," ",0)</f>
        <v>4</v>
      </c>
      <c r="G110" t="str">
        <f>_xlfn.XLOOKUP(A110,'Subbu- Mini Project EXcel Clean'!A110:A1109,'Subbu- Mini Project EXcel Clean'!Q110:Q1109," ",0)</f>
        <v>Moderate</v>
      </c>
      <c r="H110">
        <f>VLOOKUP(A110,'Subbu- Mini Project EXcel Clean'!A109:R1109,15,FALSE)</f>
        <v>3.8</v>
      </c>
    </row>
    <row r="111" spans="1:8" x14ac:dyDescent="0.25">
      <c r="A111" t="s">
        <v>138</v>
      </c>
      <c r="B111">
        <f>_xlfn.XLOOKUP(A111,'Subbu- Mini Project EXcel Clean'!A111:A1110,'Subbu- Mini Project EXcel Clean'!I111:I1110,"Entry Level",0)</f>
        <v>5</v>
      </c>
      <c r="C111" t="str">
        <f>_xlfn.XLOOKUP(A111,'Subbu- Mini Project EXcel Clean'!A111:A1110,'Subbu- Mini Project EXcel Clean'!J111:J1110," ",0)</f>
        <v>Good</v>
      </c>
      <c r="D111">
        <f>_xlfn.XLOOKUP(A111,'Subbu- Mini Project EXcel Clean'!A111:A1110,'Subbu- Mini Project EXcel Clean'!N111:N1110,"entry Level",0)</f>
        <v>6.6</v>
      </c>
      <c r="E111">
        <f>_xlfn.XLOOKUP(A111,'Subbu- Mini Project EXcel Clean'!A111:A1110,'Subbu- Mini Project EXcel Clean'!M111:M1110," ",0)</f>
        <v>91.6</v>
      </c>
      <c r="F111">
        <f>_xlfn.XLOOKUP(A111,'Subbu- Mini Project EXcel Clean'!A111:A1110,'Subbu- Mini Project EXcel Clean'!P111:P1110," ",0)</f>
        <v>4</v>
      </c>
      <c r="G111" t="str">
        <f>_xlfn.XLOOKUP(A111,'Subbu- Mini Project EXcel Clean'!A111:A1110,'Subbu- Mini Project EXcel Clean'!Q111:Q1110," ",0)</f>
        <v>Moderate</v>
      </c>
      <c r="H111">
        <f>VLOOKUP(A111,'Subbu- Mini Project EXcel Clean'!A110:R1110,15,FALSE)</f>
        <v>5.3</v>
      </c>
    </row>
    <row r="112" spans="1:8" x14ac:dyDescent="0.25">
      <c r="A112" t="s">
        <v>139</v>
      </c>
      <c r="B112">
        <f>_xlfn.XLOOKUP(A112,'Subbu- Mini Project EXcel Clean'!A112:A1111,'Subbu- Mini Project EXcel Clean'!I112:I1111,"Entry Level",0)</f>
        <v>1</v>
      </c>
      <c r="C112" t="str">
        <f>_xlfn.XLOOKUP(A112,'Subbu- Mini Project EXcel Clean'!A112:A1111,'Subbu- Mini Project EXcel Clean'!J112:J1111," ",0)</f>
        <v>Average</v>
      </c>
      <c r="D112">
        <f>_xlfn.XLOOKUP(A112,'Subbu- Mini Project EXcel Clean'!A112:A1111,'Subbu- Mini Project EXcel Clean'!N112:N1111,"entry Level",0)</f>
        <v>7.2</v>
      </c>
      <c r="E112">
        <f>_xlfn.XLOOKUP(A112,'Subbu- Mini Project EXcel Clean'!A112:A1111,'Subbu- Mini Project EXcel Clean'!M112:M1111," ",0)</f>
        <v>63.7</v>
      </c>
      <c r="F112">
        <f>_xlfn.XLOOKUP(A112,'Subbu- Mini Project EXcel Clean'!A112:A1111,'Subbu- Mini Project EXcel Clean'!P112:P1111," ",0)</f>
        <v>1</v>
      </c>
      <c r="G112" t="str">
        <f>_xlfn.XLOOKUP(A112,'Subbu- Mini Project EXcel Clean'!A112:A1111,'Subbu- Mini Project EXcel Clean'!Q112:Q1111," ",0)</f>
        <v>Low</v>
      </c>
      <c r="H112">
        <f>VLOOKUP(A112,'Subbu- Mini Project EXcel Clean'!A111:R1111,15,FALSE)</f>
        <v>1.6</v>
      </c>
    </row>
    <row r="113" spans="1:8" x14ac:dyDescent="0.25">
      <c r="A113" t="s">
        <v>141</v>
      </c>
      <c r="B113">
        <f>_xlfn.XLOOKUP(A113,'Subbu- Mini Project EXcel Clean'!A113:A1112,'Subbu- Mini Project EXcel Clean'!I113:I1112,"Entry Level",0)</f>
        <v>3</v>
      </c>
      <c r="C113" t="str">
        <f>_xlfn.XLOOKUP(A113,'Subbu- Mini Project EXcel Clean'!A113:A1112,'Subbu- Mini Project EXcel Clean'!J113:J1112," ",0)</f>
        <v>Consistent</v>
      </c>
      <c r="D113">
        <f>_xlfn.XLOOKUP(A113,'Subbu- Mini Project EXcel Clean'!A113:A1112,'Subbu- Mini Project EXcel Clean'!N113:N1112,"entry Level",0)</f>
        <v>6.4</v>
      </c>
      <c r="E113">
        <f>_xlfn.XLOOKUP(A113,'Subbu- Mini Project EXcel Clean'!A113:A1112,'Subbu- Mini Project EXcel Clean'!M113:M1112," ",0)</f>
        <v>84.9</v>
      </c>
      <c r="F113">
        <f>_xlfn.XLOOKUP(A113,'Subbu- Mini Project EXcel Clean'!A113:A1112,'Subbu- Mini Project EXcel Clean'!P113:P1112," ",0)</f>
        <v>4</v>
      </c>
      <c r="G113" t="str">
        <f>_xlfn.XLOOKUP(A113,'Subbu- Mini Project EXcel Clean'!A113:A1112,'Subbu- Mini Project EXcel Clean'!Q113:Q1112," ",0)</f>
        <v>Moderate</v>
      </c>
      <c r="H113">
        <f>VLOOKUP(A113,'Subbu- Mini Project EXcel Clean'!A112:R1112,15,FALSE)</f>
        <v>4.9000000000000004</v>
      </c>
    </row>
    <row r="114" spans="1:8" x14ac:dyDescent="0.25">
      <c r="A114" t="s">
        <v>142</v>
      </c>
      <c r="B114">
        <f>_xlfn.XLOOKUP(A114,'Subbu- Mini Project EXcel Clean'!A114:A1113,'Subbu- Mini Project EXcel Clean'!I114:I1113,"Entry Level",0)</f>
        <v>2</v>
      </c>
      <c r="C114" t="str">
        <f>_xlfn.XLOOKUP(A114,'Subbu- Mini Project EXcel Clean'!A114:A1113,'Subbu- Mini Project EXcel Clean'!J114:J1113," ",0)</f>
        <v>Consistent</v>
      </c>
      <c r="D114">
        <f>_xlfn.XLOOKUP(A114,'Subbu- Mini Project EXcel Clean'!A114:A1113,'Subbu- Mini Project EXcel Clean'!N114:N1113,"entry Level",0)</f>
        <v>6.5</v>
      </c>
      <c r="E114">
        <f>_xlfn.XLOOKUP(A114,'Subbu- Mini Project EXcel Clean'!A114:A1113,'Subbu- Mini Project EXcel Clean'!M114:M1113," ",0)</f>
        <v>69.2</v>
      </c>
      <c r="F114">
        <f>_xlfn.XLOOKUP(A114,'Subbu- Mini Project EXcel Clean'!A114:A1113,'Subbu- Mini Project EXcel Clean'!P114:P1113," ",0)</f>
        <v>5</v>
      </c>
      <c r="G114" t="str">
        <f>_xlfn.XLOOKUP(A114,'Subbu- Mini Project EXcel Clean'!A114:A1113,'Subbu- Mini Project EXcel Clean'!Q114:Q1113," ",0)</f>
        <v>Moderate</v>
      </c>
      <c r="H114">
        <f>VLOOKUP(A114,'Subbu- Mini Project EXcel Clean'!A113:R1113,15,FALSE)</f>
        <v>4.4000000000000004</v>
      </c>
    </row>
    <row r="115" spans="1:8" x14ac:dyDescent="0.25">
      <c r="A115" t="s">
        <v>143</v>
      </c>
      <c r="B115">
        <f>_xlfn.XLOOKUP(A115,'Subbu- Mini Project EXcel Clean'!A115:A1114,'Subbu- Mini Project EXcel Clean'!I115:I1114,"Entry Level",0)</f>
        <v>2</v>
      </c>
      <c r="C115" t="str">
        <f>_xlfn.XLOOKUP(A115,'Subbu- Mini Project EXcel Clean'!A115:A1114,'Subbu- Mini Project EXcel Clean'!J115:J1114," ",0)</f>
        <v>Consistent</v>
      </c>
      <c r="D115">
        <f>_xlfn.XLOOKUP(A115,'Subbu- Mini Project EXcel Clean'!A115:A1114,'Subbu- Mini Project EXcel Clean'!N115:N1114,"entry Level",0)</f>
        <v>7.2</v>
      </c>
      <c r="E115">
        <f>_xlfn.XLOOKUP(A115,'Subbu- Mini Project EXcel Clean'!A115:A1114,'Subbu- Mini Project EXcel Clean'!M115:M1114," ",0)</f>
        <v>73.599999999999994</v>
      </c>
      <c r="F115">
        <f>_xlfn.XLOOKUP(A115,'Subbu- Mini Project EXcel Clean'!A115:A1114,'Subbu- Mini Project EXcel Clean'!P115:P1114," ",0)</f>
        <v>2</v>
      </c>
      <c r="G115" t="str">
        <f>_xlfn.XLOOKUP(A115,'Subbu- Mini Project EXcel Clean'!A115:A1114,'Subbu- Mini Project EXcel Clean'!Q115:Q1114," ",0)</f>
        <v>Low</v>
      </c>
      <c r="H115">
        <f>VLOOKUP(A115,'Subbu- Mini Project EXcel Clean'!A114:R1114,15,FALSE)</f>
        <v>1.6</v>
      </c>
    </row>
    <row r="116" spans="1:8" x14ac:dyDescent="0.25">
      <c r="A116" t="s">
        <v>144</v>
      </c>
      <c r="B116">
        <f>_xlfn.XLOOKUP(A116,'Subbu- Mini Project EXcel Clean'!A116:A1115,'Subbu- Mini Project EXcel Clean'!I116:I1115,"Entry Level",0)</f>
        <v>5</v>
      </c>
      <c r="C116" t="str">
        <f>_xlfn.XLOOKUP(A116,'Subbu- Mini Project EXcel Clean'!A116:A1115,'Subbu- Mini Project EXcel Clean'!J116:J1115," ",0)</f>
        <v>Good</v>
      </c>
      <c r="D116">
        <f>_xlfn.XLOOKUP(A116,'Subbu- Mini Project EXcel Clean'!A116:A1115,'Subbu- Mini Project EXcel Clean'!N116:N1115,"entry Level",0)</f>
        <v>7.3</v>
      </c>
      <c r="E116">
        <f>_xlfn.XLOOKUP(A116,'Subbu- Mini Project EXcel Clean'!A116:A1115,'Subbu- Mini Project EXcel Clean'!M116:M1115," ",0)</f>
        <v>95.9</v>
      </c>
      <c r="F116">
        <f>_xlfn.XLOOKUP(A116,'Subbu- Mini Project EXcel Clean'!A116:A1115,'Subbu- Mini Project EXcel Clean'!P116:P1115," ",0)</f>
        <v>6</v>
      </c>
      <c r="G116" t="str">
        <f>_xlfn.XLOOKUP(A116,'Subbu- Mini Project EXcel Clean'!A116:A1115,'Subbu- Mini Project EXcel Clean'!Q116:Q1115," ",0)</f>
        <v>Moderate</v>
      </c>
      <c r="H116">
        <f>VLOOKUP(A116,'Subbu- Mini Project EXcel Clean'!A115:R1115,15,FALSE)</f>
        <v>4.5</v>
      </c>
    </row>
    <row r="117" spans="1:8" x14ac:dyDescent="0.25">
      <c r="A117" t="s">
        <v>145</v>
      </c>
      <c r="B117">
        <f>_xlfn.XLOOKUP(A117,'Subbu- Mini Project EXcel Clean'!A117:A1116,'Subbu- Mini Project EXcel Clean'!I117:I1116,"Entry Level",0)</f>
        <v>2</v>
      </c>
      <c r="C117" t="str">
        <f>_xlfn.XLOOKUP(A117,'Subbu- Mini Project EXcel Clean'!A117:A1116,'Subbu- Mini Project EXcel Clean'!J117:J1116," ",0)</f>
        <v>Consistent</v>
      </c>
      <c r="D117">
        <f>_xlfn.XLOOKUP(A117,'Subbu- Mini Project EXcel Clean'!A117:A1116,'Subbu- Mini Project EXcel Clean'!N117:N1116,"entry Level",0)</f>
        <v>7.3</v>
      </c>
      <c r="E117">
        <f>_xlfn.XLOOKUP(A117,'Subbu- Mini Project EXcel Clean'!A117:A1116,'Subbu- Mini Project EXcel Clean'!M117:M1116," ",0)</f>
        <v>63.6</v>
      </c>
      <c r="F117">
        <f>_xlfn.XLOOKUP(A117,'Subbu- Mini Project EXcel Clean'!A117:A1116,'Subbu- Mini Project EXcel Clean'!P117:P1116," ",0)</f>
        <v>5</v>
      </c>
      <c r="G117" t="str">
        <f>_xlfn.XLOOKUP(A117,'Subbu- Mini Project EXcel Clean'!A117:A1116,'Subbu- Mini Project EXcel Clean'!Q117:Q1116," ",0)</f>
        <v>Moderate</v>
      </c>
      <c r="H117">
        <f>VLOOKUP(A117,'Subbu- Mini Project EXcel Clean'!A116:R1116,15,FALSE)</f>
        <v>3.2</v>
      </c>
    </row>
    <row r="118" spans="1:8" x14ac:dyDescent="0.25">
      <c r="A118" t="s">
        <v>146</v>
      </c>
      <c r="B118">
        <f>_xlfn.XLOOKUP(A118,'Subbu- Mini Project EXcel Clean'!A118:A1117,'Subbu- Mini Project EXcel Clean'!I118:I1117,"Entry Level",0)</f>
        <v>5</v>
      </c>
      <c r="C118" t="str">
        <f>_xlfn.XLOOKUP(A118,'Subbu- Mini Project EXcel Clean'!A118:A1117,'Subbu- Mini Project EXcel Clean'!J118:J1117," ",0)</f>
        <v>Good</v>
      </c>
      <c r="D118">
        <f>_xlfn.XLOOKUP(A118,'Subbu- Mini Project EXcel Clean'!A118:A1117,'Subbu- Mini Project EXcel Clean'!N118:N1117,"entry Level",0)</f>
        <v>6.4</v>
      </c>
      <c r="E118">
        <f>_xlfn.XLOOKUP(A118,'Subbu- Mini Project EXcel Clean'!A118:A1117,'Subbu- Mini Project EXcel Clean'!M118:M1117," ",0)</f>
        <v>106</v>
      </c>
      <c r="F118">
        <f>_xlfn.XLOOKUP(A118,'Subbu- Mini Project EXcel Clean'!A118:A1117,'Subbu- Mini Project EXcel Clean'!P118:P1117," ",0)</f>
        <v>1</v>
      </c>
      <c r="G118" t="str">
        <f>_xlfn.XLOOKUP(A118,'Subbu- Mini Project EXcel Clean'!A118:A1117,'Subbu- Mini Project EXcel Clean'!Q118:Q1117," ",0)</f>
        <v>Low</v>
      </c>
      <c r="H118">
        <f>VLOOKUP(A118,'Subbu- Mini Project EXcel Clean'!A117:R1117,15,FALSE)</f>
        <v>5.7</v>
      </c>
    </row>
    <row r="119" spans="1:8" x14ac:dyDescent="0.25">
      <c r="A119" t="s">
        <v>147</v>
      </c>
      <c r="B119">
        <f>_xlfn.XLOOKUP(A119,'Subbu- Mini Project EXcel Clean'!A119:A1118,'Subbu- Mini Project EXcel Clean'!I119:I1118,"Entry Level",0)</f>
        <v>2</v>
      </c>
      <c r="C119" t="str">
        <f>_xlfn.XLOOKUP(A119,'Subbu- Mini Project EXcel Clean'!A119:A1118,'Subbu- Mini Project EXcel Clean'!J119:J1118," ",0)</f>
        <v>Consistent</v>
      </c>
      <c r="D119">
        <f>_xlfn.XLOOKUP(A119,'Subbu- Mini Project EXcel Clean'!A119:A1118,'Subbu- Mini Project EXcel Clean'!N119:N1118,"entry Level",0)</f>
        <v>7.9</v>
      </c>
      <c r="E119">
        <f>_xlfn.XLOOKUP(A119,'Subbu- Mini Project EXcel Clean'!A119:A1118,'Subbu- Mini Project EXcel Clean'!M119:M1118," ",0)</f>
        <v>64.7</v>
      </c>
      <c r="F119">
        <f>_xlfn.XLOOKUP(A119,'Subbu- Mini Project EXcel Clean'!A119:A1118,'Subbu- Mini Project EXcel Clean'!P119:P1118," ",0)</f>
        <v>4</v>
      </c>
      <c r="G119" t="str">
        <f>_xlfn.XLOOKUP(A119,'Subbu- Mini Project EXcel Clean'!A119:A1118,'Subbu- Mini Project EXcel Clean'!Q119:Q1118," ",0)</f>
        <v>Moderate</v>
      </c>
      <c r="H119">
        <f>VLOOKUP(A119,'Subbu- Mini Project EXcel Clean'!A118:R1118,15,FALSE)</f>
        <v>1.7</v>
      </c>
    </row>
    <row r="120" spans="1:8" x14ac:dyDescent="0.25">
      <c r="A120" t="s">
        <v>148</v>
      </c>
      <c r="B120">
        <f>_xlfn.XLOOKUP(A120,'Subbu- Mini Project EXcel Clean'!A120:A1119,'Subbu- Mini Project EXcel Clean'!I120:I1119,"Entry Level",0)</f>
        <v>4</v>
      </c>
      <c r="C120" t="str">
        <f>_xlfn.XLOOKUP(A120,'Subbu- Mini Project EXcel Clean'!A120:A1119,'Subbu- Mini Project EXcel Clean'!J120:J1119," ",0)</f>
        <v>Excellent</v>
      </c>
      <c r="D120">
        <f>_xlfn.XLOOKUP(A120,'Subbu- Mini Project EXcel Clean'!A120:A1119,'Subbu- Mini Project EXcel Clean'!N120:N1119,"entry Level",0)</f>
        <v>6.6</v>
      </c>
      <c r="E120">
        <f>_xlfn.XLOOKUP(A120,'Subbu- Mini Project EXcel Clean'!A120:A1119,'Subbu- Mini Project EXcel Clean'!M120:M1119," ",0)</f>
        <v>84.5</v>
      </c>
      <c r="F120">
        <f>_xlfn.XLOOKUP(A120,'Subbu- Mini Project EXcel Clean'!A120:A1119,'Subbu- Mini Project EXcel Clean'!P120:P1119," ",0)</f>
        <v>5</v>
      </c>
      <c r="G120" t="str">
        <f>_xlfn.XLOOKUP(A120,'Subbu- Mini Project EXcel Clean'!A120:A1119,'Subbu- Mini Project EXcel Clean'!Q120:Q1119," ",0)</f>
        <v>Moderate</v>
      </c>
      <c r="H120">
        <f>VLOOKUP(A120,'Subbu- Mini Project EXcel Clean'!A119:R1119,15,FALSE)</f>
        <v>4.2</v>
      </c>
    </row>
    <row r="121" spans="1:8" x14ac:dyDescent="0.25">
      <c r="A121" t="s">
        <v>149</v>
      </c>
      <c r="B121">
        <f>_xlfn.XLOOKUP(A121,'Subbu- Mini Project EXcel Clean'!A121:A1120,'Subbu- Mini Project EXcel Clean'!I121:I1120,"Entry Level",0)</f>
        <v>3</v>
      </c>
      <c r="C121" t="str">
        <f>_xlfn.XLOOKUP(A121,'Subbu- Mini Project EXcel Clean'!A121:A1120,'Subbu- Mini Project EXcel Clean'!J121:J1120," ",0)</f>
        <v>Excellent</v>
      </c>
      <c r="D121">
        <f>_xlfn.XLOOKUP(A121,'Subbu- Mini Project EXcel Clean'!A121:A1120,'Subbu- Mini Project EXcel Clean'!N121:N1120,"entry Level",0)</f>
        <v>6.7</v>
      </c>
      <c r="E121">
        <f>_xlfn.XLOOKUP(A121,'Subbu- Mini Project EXcel Clean'!A121:A1120,'Subbu- Mini Project EXcel Clean'!M121:M1120," ",0)</f>
        <v>85.2</v>
      </c>
      <c r="F121">
        <f>_xlfn.XLOOKUP(A121,'Subbu- Mini Project EXcel Clean'!A121:A1120,'Subbu- Mini Project EXcel Clean'!P121:P1120," ",0)</f>
        <v>4</v>
      </c>
      <c r="G121" t="str">
        <f>_xlfn.XLOOKUP(A121,'Subbu- Mini Project EXcel Clean'!A121:A1120,'Subbu- Mini Project EXcel Clean'!Q121:Q1120," ",0)</f>
        <v>Moderate</v>
      </c>
      <c r="H121">
        <f>VLOOKUP(A121,'Subbu- Mini Project EXcel Clean'!A120:R1120,15,FALSE)</f>
        <v>2.9</v>
      </c>
    </row>
    <row r="122" spans="1:8" x14ac:dyDescent="0.25">
      <c r="A122" t="s">
        <v>150</v>
      </c>
      <c r="B122">
        <f>_xlfn.XLOOKUP(A122,'Subbu- Mini Project EXcel Clean'!A122:A1121,'Subbu- Mini Project EXcel Clean'!I122:I1121,"Entry Level",0)</f>
        <v>5</v>
      </c>
      <c r="C122" t="str">
        <f>_xlfn.XLOOKUP(A122,'Subbu- Mini Project EXcel Clean'!A122:A1121,'Subbu- Mini Project EXcel Clean'!J122:J1121," ",0)</f>
        <v>Good</v>
      </c>
      <c r="D122">
        <f>_xlfn.XLOOKUP(A122,'Subbu- Mini Project EXcel Clean'!A122:A1121,'Subbu- Mini Project EXcel Clean'!N122:N1121,"entry Level",0)</f>
        <v>6</v>
      </c>
      <c r="E122">
        <f>_xlfn.XLOOKUP(A122,'Subbu- Mini Project EXcel Clean'!A122:A1121,'Subbu- Mini Project EXcel Clean'!M122:M1121," ",0)</f>
        <v>91.4</v>
      </c>
      <c r="F122">
        <f>_xlfn.XLOOKUP(A122,'Subbu- Mini Project EXcel Clean'!A122:A1121,'Subbu- Mini Project EXcel Clean'!P122:P1121," ",0)</f>
        <v>4</v>
      </c>
      <c r="G122" t="str">
        <f>_xlfn.XLOOKUP(A122,'Subbu- Mini Project EXcel Clean'!A122:A1121,'Subbu- Mini Project EXcel Clean'!Q122:Q1121," ",0)</f>
        <v>Moderate</v>
      </c>
      <c r="H122">
        <f>VLOOKUP(A122,'Subbu- Mini Project EXcel Clean'!A121:R1121,15,FALSE)</f>
        <v>5.8</v>
      </c>
    </row>
    <row r="123" spans="1:8" x14ac:dyDescent="0.25">
      <c r="A123" t="s">
        <v>151</v>
      </c>
      <c r="B123">
        <f>_xlfn.XLOOKUP(A123,'Subbu- Mini Project EXcel Clean'!A123:A1122,'Subbu- Mini Project EXcel Clean'!I123:I1122,"Entry Level",0)</f>
        <v>3</v>
      </c>
      <c r="C123" t="str">
        <f>_xlfn.XLOOKUP(A123,'Subbu- Mini Project EXcel Clean'!A123:A1122,'Subbu- Mini Project EXcel Clean'!J123:J1122," ",0)</f>
        <v>Excellent</v>
      </c>
      <c r="D123">
        <f>_xlfn.XLOOKUP(A123,'Subbu- Mini Project EXcel Clean'!A123:A1122,'Subbu- Mini Project EXcel Clean'!N123:N1122,"entry Level",0)</f>
        <v>7.2</v>
      </c>
      <c r="E123">
        <f>_xlfn.XLOOKUP(A123,'Subbu- Mini Project EXcel Clean'!A123:A1122,'Subbu- Mini Project EXcel Clean'!M123:M1122," ",0)</f>
        <v>77.400000000000006</v>
      </c>
      <c r="F123">
        <f>_xlfn.XLOOKUP(A123,'Subbu- Mini Project EXcel Clean'!A123:A1122,'Subbu- Mini Project EXcel Clean'!P123:P1122," ",0)</f>
        <v>1</v>
      </c>
      <c r="G123" t="str">
        <f>_xlfn.XLOOKUP(A123,'Subbu- Mini Project EXcel Clean'!A123:A1122,'Subbu- Mini Project EXcel Clean'!Q123:Q1122," ",0)</f>
        <v>Low</v>
      </c>
      <c r="H123">
        <f>VLOOKUP(A123,'Subbu- Mini Project EXcel Clean'!A122:R1122,15,FALSE)</f>
        <v>2.6</v>
      </c>
    </row>
    <row r="124" spans="1:8" x14ac:dyDescent="0.25">
      <c r="A124" t="s">
        <v>152</v>
      </c>
      <c r="B124">
        <f>_xlfn.XLOOKUP(A124,'Subbu- Mini Project EXcel Clean'!A124:A1123,'Subbu- Mini Project EXcel Clean'!I124:I1123,"Entry Level",0)</f>
        <v>3</v>
      </c>
      <c r="C124" t="str">
        <f>_xlfn.XLOOKUP(A124,'Subbu- Mini Project EXcel Clean'!A124:A1123,'Subbu- Mini Project EXcel Clean'!J124:J1123," ",0)</f>
        <v>Excellent</v>
      </c>
      <c r="D124">
        <f>_xlfn.XLOOKUP(A124,'Subbu- Mini Project EXcel Clean'!A124:A1123,'Subbu- Mini Project EXcel Clean'!N124:N1123,"entry Level",0)</f>
        <v>5.7</v>
      </c>
      <c r="E124">
        <f>_xlfn.XLOOKUP(A124,'Subbu- Mini Project EXcel Clean'!A124:A1123,'Subbu- Mini Project EXcel Clean'!M124:M1123," ",0)</f>
        <v>74.2</v>
      </c>
      <c r="F124">
        <f>_xlfn.XLOOKUP(A124,'Subbu- Mini Project EXcel Clean'!A124:A1123,'Subbu- Mini Project EXcel Clean'!P124:P1123," ",0)</f>
        <v>2</v>
      </c>
      <c r="G124" t="str">
        <f>_xlfn.XLOOKUP(A124,'Subbu- Mini Project EXcel Clean'!A124:A1123,'Subbu- Mini Project EXcel Clean'!Q124:Q1123," ",0)</f>
        <v>Low</v>
      </c>
      <c r="H124">
        <f>VLOOKUP(A124,'Subbu- Mini Project EXcel Clean'!A123:R1123,15,FALSE)</f>
        <v>5.8</v>
      </c>
    </row>
    <row r="125" spans="1:8" x14ac:dyDescent="0.25">
      <c r="A125" t="s">
        <v>153</v>
      </c>
      <c r="B125">
        <f>_xlfn.XLOOKUP(A125,'Subbu- Mini Project EXcel Clean'!A125:A1124,'Subbu- Mini Project EXcel Clean'!I125:I1124,"Entry Level",0)</f>
        <v>2</v>
      </c>
      <c r="C125" t="str">
        <f>_xlfn.XLOOKUP(A125,'Subbu- Mini Project EXcel Clean'!A125:A1124,'Subbu- Mini Project EXcel Clean'!J125:J1124," ",0)</f>
        <v>Consistent</v>
      </c>
      <c r="D125">
        <f>_xlfn.XLOOKUP(A125,'Subbu- Mini Project EXcel Clean'!A125:A1124,'Subbu- Mini Project EXcel Clean'!N125:N1124,"entry Level",0)</f>
        <v>6.1</v>
      </c>
      <c r="E125">
        <f>_xlfn.XLOOKUP(A125,'Subbu- Mini Project EXcel Clean'!A125:A1124,'Subbu- Mini Project EXcel Clean'!M125:M1124," ",0)</f>
        <v>65.400000000000006</v>
      </c>
      <c r="F125">
        <f>_xlfn.XLOOKUP(A125,'Subbu- Mini Project EXcel Clean'!A125:A1124,'Subbu- Mini Project EXcel Clean'!P125:P1124," ",0)</f>
        <v>1</v>
      </c>
      <c r="G125" t="str">
        <f>_xlfn.XLOOKUP(A125,'Subbu- Mini Project EXcel Clean'!A125:A1124,'Subbu- Mini Project EXcel Clean'!Q125:Q1124," ",0)</f>
        <v>Low</v>
      </c>
      <c r="H125">
        <f>VLOOKUP(A125,'Subbu- Mini Project EXcel Clean'!A124:R1124,15,FALSE)</f>
        <v>5.5</v>
      </c>
    </row>
    <row r="126" spans="1:8" x14ac:dyDescent="0.25">
      <c r="A126" t="s">
        <v>154</v>
      </c>
      <c r="B126">
        <f>_xlfn.XLOOKUP(A126,'Subbu- Mini Project EXcel Clean'!A126:A1125,'Subbu- Mini Project EXcel Clean'!I126:I1125,"Entry Level",0)</f>
        <v>2</v>
      </c>
      <c r="C126" t="str">
        <f>_xlfn.XLOOKUP(A126,'Subbu- Mini Project EXcel Clean'!A126:A1125,'Subbu- Mini Project EXcel Clean'!J126:J1125," ",0)</f>
        <v>Consistent</v>
      </c>
      <c r="D126">
        <f>_xlfn.XLOOKUP(A126,'Subbu- Mini Project EXcel Clean'!A126:A1125,'Subbu- Mini Project EXcel Clean'!N126:N1125,"entry Level",0)</f>
        <v>7</v>
      </c>
      <c r="E126">
        <f>_xlfn.XLOOKUP(A126,'Subbu- Mini Project EXcel Clean'!A126:A1125,'Subbu- Mini Project EXcel Clean'!M126:M1125," ",0)</f>
        <v>66.2</v>
      </c>
      <c r="F126">
        <f>_xlfn.XLOOKUP(A126,'Subbu- Mini Project EXcel Clean'!A126:A1125,'Subbu- Mini Project EXcel Clean'!P126:P1125," ",0)</f>
        <v>2</v>
      </c>
      <c r="G126" t="str">
        <f>_xlfn.XLOOKUP(A126,'Subbu- Mini Project EXcel Clean'!A126:A1125,'Subbu- Mini Project EXcel Clean'!Q126:Q1125," ",0)</f>
        <v>Low</v>
      </c>
      <c r="H126">
        <f>VLOOKUP(A126,'Subbu- Mini Project EXcel Clean'!A125:R1125,15,FALSE)</f>
        <v>2.4</v>
      </c>
    </row>
    <row r="127" spans="1:8" x14ac:dyDescent="0.25">
      <c r="A127" t="s">
        <v>155</v>
      </c>
      <c r="B127">
        <f>_xlfn.XLOOKUP(A127,'Subbu- Mini Project EXcel Clean'!A127:A1126,'Subbu- Mini Project EXcel Clean'!I127:I1126,"Entry Level",0)</f>
        <v>5</v>
      </c>
      <c r="C127" t="str">
        <f>_xlfn.XLOOKUP(A127,'Subbu- Mini Project EXcel Clean'!A127:A1126,'Subbu- Mini Project EXcel Clean'!J127:J1126," ",0)</f>
        <v>Good</v>
      </c>
      <c r="D127">
        <f>_xlfn.XLOOKUP(A127,'Subbu- Mini Project EXcel Clean'!A127:A1126,'Subbu- Mini Project EXcel Clean'!N127:N1126,"entry Level",0)</f>
        <v>7.6</v>
      </c>
      <c r="E127">
        <f>_xlfn.XLOOKUP(A127,'Subbu- Mini Project EXcel Clean'!A127:A1126,'Subbu- Mini Project EXcel Clean'!M127:M1126," ",0)</f>
        <v>97.9</v>
      </c>
      <c r="F127">
        <f>_xlfn.XLOOKUP(A127,'Subbu- Mini Project EXcel Clean'!A127:A1126,'Subbu- Mini Project EXcel Clean'!P127:P1126," ",0)</f>
        <v>3</v>
      </c>
      <c r="G127" t="str">
        <f>_xlfn.XLOOKUP(A127,'Subbu- Mini Project EXcel Clean'!A127:A1126,'Subbu- Mini Project EXcel Clean'!Q127:Q1126," ",0)</f>
        <v>Moderate</v>
      </c>
      <c r="H127">
        <f>VLOOKUP(A127,'Subbu- Mini Project EXcel Clean'!A126:R1126,15,FALSE)</f>
        <v>5</v>
      </c>
    </row>
    <row r="128" spans="1:8" x14ac:dyDescent="0.25">
      <c r="A128" t="s">
        <v>156</v>
      </c>
      <c r="B128">
        <f>_xlfn.XLOOKUP(A128,'Subbu- Mini Project EXcel Clean'!A128:A1127,'Subbu- Mini Project EXcel Clean'!I128:I1127,"Entry Level",0)</f>
        <v>2</v>
      </c>
      <c r="C128" t="str">
        <f>_xlfn.XLOOKUP(A128,'Subbu- Mini Project EXcel Clean'!A128:A1127,'Subbu- Mini Project EXcel Clean'!J128:J1127," ",0)</f>
        <v>Consistent</v>
      </c>
      <c r="D128">
        <f>_xlfn.XLOOKUP(A128,'Subbu- Mini Project EXcel Clean'!A128:A1127,'Subbu- Mini Project EXcel Clean'!N128:N1127,"entry Level",0)</f>
        <v>4.8</v>
      </c>
      <c r="E128">
        <f>_xlfn.XLOOKUP(A128,'Subbu- Mini Project EXcel Clean'!A128:A1127,'Subbu- Mini Project EXcel Clean'!M128:M1127," ",0)</f>
        <v>77.900000000000006</v>
      </c>
      <c r="F128">
        <f>_xlfn.XLOOKUP(A128,'Subbu- Mini Project EXcel Clean'!A128:A1127,'Subbu- Mini Project EXcel Clean'!P128:P1127," ",0)</f>
        <v>6</v>
      </c>
      <c r="G128" t="str">
        <f>_xlfn.XLOOKUP(A128,'Subbu- Mini Project EXcel Clean'!A128:A1127,'Subbu- Mini Project EXcel Clean'!Q128:Q1127," ",0)</f>
        <v>Moderate</v>
      </c>
      <c r="H128">
        <f>VLOOKUP(A128,'Subbu- Mini Project EXcel Clean'!A127:R1127,15,FALSE)</f>
        <v>6</v>
      </c>
    </row>
    <row r="129" spans="1:8" x14ac:dyDescent="0.25">
      <c r="A129" t="s">
        <v>157</v>
      </c>
      <c r="B129">
        <f>_xlfn.XLOOKUP(A129,'Subbu- Mini Project EXcel Clean'!A129:A1128,'Subbu- Mini Project EXcel Clean'!I129:I1128,"Entry Level",0)</f>
        <v>3</v>
      </c>
      <c r="C129" t="str">
        <f>_xlfn.XLOOKUP(A129,'Subbu- Mini Project EXcel Clean'!A129:A1128,'Subbu- Mini Project EXcel Clean'!J129:J1128," ",0)</f>
        <v>Consistent</v>
      </c>
      <c r="D129">
        <f>_xlfn.XLOOKUP(A129,'Subbu- Mini Project EXcel Clean'!A129:A1128,'Subbu- Mini Project EXcel Clean'!N129:N1128,"entry Level",0)</f>
        <v>7.2</v>
      </c>
      <c r="E129">
        <f>_xlfn.XLOOKUP(A129,'Subbu- Mini Project EXcel Clean'!A129:A1128,'Subbu- Mini Project EXcel Clean'!M129:M1128," ",0)</f>
        <v>77.5</v>
      </c>
      <c r="F129">
        <f>_xlfn.XLOOKUP(A129,'Subbu- Mini Project EXcel Clean'!A129:A1128,'Subbu- Mini Project EXcel Clean'!P129:P1128," ",0)</f>
        <v>2</v>
      </c>
      <c r="G129" t="str">
        <f>_xlfn.XLOOKUP(A129,'Subbu- Mini Project EXcel Clean'!A129:A1128,'Subbu- Mini Project EXcel Clean'!Q129:Q1128," ",0)</f>
        <v>Low</v>
      </c>
      <c r="H129">
        <f>VLOOKUP(A129,'Subbu- Mini Project EXcel Clean'!A128:R1128,15,FALSE)</f>
        <v>2.2999999999999998</v>
      </c>
    </row>
    <row r="130" spans="1:8" x14ac:dyDescent="0.25">
      <c r="A130" t="s">
        <v>158</v>
      </c>
      <c r="B130">
        <f>_xlfn.XLOOKUP(A130,'Subbu- Mini Project EXcel Clean'!A130:A1129,'Subbu- Mini Project EXcel Clean'!I130:I1129,"Entry Level",0)</f>
        <v>4</v>
      </c>
      <c r="C130" t="str">
        <f>_xlfn.XLOOKUP(A130,'Subbu- Mini Project EXcel Clean'!A130:A1129,'Subbu- Mini Project EXcel Clean'!J130:J1129," ",0)</f>
        <v>Excellent</v>
      </c>
      <c r="D130">
        <f>_xlfn.XLOOKUP(A130,'Subbu- Mini Project EXcel Clean'!A130:A1129,'Subbu- Mini Project EXcel Clean'!N130:N1129,"entry Level",0)</f>
        <v>7.9</v>
      </c>
      <c r="E130">
        <f>_xlfn.XLOOKUP(A130,'Subbu- Mini Project EXcel Clean'!A130:A1129,'Subbu- Mini Project EXcel Clean'!M130:M1129," ",0)</f>
        <v>89.4</v>
      </c>
      <c r="F130">
        <f>_xlfn.XLOOKUP(A130,'Subbu- Mini Project EXcel Clean'!A130:A1129,'Subbu- Mini Project EXcel Clean'!P130:P1129," ",0)</f>
        <v>4</v>
      </c>
      <c r="G130" t="str">
        <f>_xlfn.XLOOKUP(A130,'Subbu- Mini Project EXcel Clean'!A130:A1129,'Subbu- Mini Project EXcel Clean'!Q130:Q1129," ",0)</f>
        <v>Moderate</v>
      </c>
      <c r="H130">
        <f>VLOOKUP(A130,'Subbu- Mini Project EXcel Clean'!A129:R1129,15,FALSE)</f>
        <v>3.2</v>
      </c>
    </row>
    <row r="131" spans="1:8" x14ac:dyDescent="0.25">
      <c r="A131" t="s">
        <v>159</v>
      </c>
      <c r="B131">
        <f>_xlfn.XLOOKUP(A131,'Subbu- Mini Project EXcel Clean'!A131:A1130,'Subbu- Mini Project EXcel Clean'!I131:I1130,"Entry Level",0)</f>
        <v>2</v>
      </c>
      <c r="C131" t="str">
        <f>_xlfn.XLOOKUP(A131,'Subbu- Mini Project EXcel Clean'!A131:A1130,'Subbu- Mini Project EXcel Clean'!J131:J1130," ",0)</f>
        <v>Consistent</v>
      </c>
      <c r="D131">
        <f>_xlfn.XLOOKUP(A131,'Subbu- Mini Project EXcel Clean'!A131:A1130,'Subbu- Mini Project EXcel Clean'!N131:N1130,"entry Level",0)</f>
        <v>7</v>
      </c>
      <c r="E131">
        <f>_xlfn.XLOOKUP(A131,'Subbu- Mini Project EXcel Clean'!A131:A1130,'Subbu- Mini Project EXcel Clean'!M131:M1130," ",0)</f>
        <v>72.599999999999994</v>
      </c>
      <c r="F131">
        <f>_xlfn.XLOOKUP(A131,'Subbu- Mini Project EXcel Clean'!A131:A1130,'Subbu- Mini Project EXcel Clean'!P131:P1130," ",0)</f>
        <v>2</v>
      </c>
      <c r="G131" t="str">
        <f>_xlfn.XLOOKUP(A131,'Subbu- Mini Project EXcel Clean'!A131:A1130,'Subbu- Mini Project EXcel Clean'!Q131:Q1130," ",0)</f>
        <v>Low</v>
      </c>
      <c r="H131">
        <f>VLOOKUP(A131,'Subbu- Mini Project EXcel Clean'!A130:R1130,15,FALSE)</f>
        <v>3.6</v>
      </c>
    </row>
    <row r="132" spans="1:8" x14ac:dyDescent="0.25">
      <c r="A132" t="s">
        <v>160</v>
      </c>
      <c r="B132">
        <f>_xlfn.XLOOKUP(A132,'Subbu- Mini Project EXcel Clean'!A132:A1131,'Subbu- Mini Project EXcel Clean'!I132:I1131,"Entry Level",0)</f>
        <v>5</v>
      </c>
      <c r="C132" t="str">
        <f>_xlfn.XLOOKUP(A132,'Subbu- Mini Project EXcel Clean'!A132:A1131,'Subbu- Mini Project EXcel Clean'!J132:J1131," ",0)</f>
        <v>Good</v>
      </c>
      <c r="D132">
        <f>_xlfn.XLOOKUP(A132,'Subbu- Mini Project EXcel Clean'!A132:A1131,'Subbu- Mini Project EXcel Clean'!N132:N1131,"entry Level",0)</f>
        <v>7.6</v>
      </c>
      <c r="E132">
        <f>_xlfn.XLOOKUP(A132,'Subbu- Mini Project EXcel Clean'!A132:A1131,'Subbu- Mini Project EXcel Clean'!M132:M1131," ",0)</f>
        <v>100.6</v>
      </c>
      <c r="F132">
        <f>_xlfn.XLOOKUP(A132,'Subbu- Mini Project EXcel Clean'!A132:A1131,'Subbu- Mini Project EXcel Clean'!P132:P1131," ",0)</f>
        <v>2</v>
      </c>
      <c r="G132" t="str">
        <f>_xlfn.XLOOKUP(A132,'Subbu- Mini Project EXcel Clean'!A132:A1131,'Subbu- Mini Project EXcel Clean'!Q132:Q1131," ",0)</f>
        <v>Low</v>
      </c>
      <c r="H132">
        <f>VLOOKUP(A132,'Subbu- Mini Project EXcel Clean'!A131:R1131,15,FALSE)</f>
        <v>2.5</v>
      </c>
    </row>
    <row r="133" spans="1:8" x14ac:dyDescent="0.25">
      <c r="A133" t="s">
        <v>161</v>
      </c>
      <c r="B133">
        <f>_xlfn.XLOOKUP(A133,'Subbu- Mini Project EXcel Clean'!A133:A1132,'Subbu- Mini Project EXcel Clean'!I133:I1132,"Entry Level",0)</f>
        <v>4</v>
      </c>
      <c r="C133" t="str">
        <f>_xlfn.XLOOKUP(A133,'Subbu- Mini Project EXcel Clean'!A133:A1132,'Subbu- Mini Project EXcel Clean'!J133:J1132," ",0)</f>
        <v>Excellent</v>
      </c>
      <c r="D133">
        <f>_xlfn.XLOOKUP(A133,'Subbu- Mini Project EXcel Clean'!A133:A1132,'Subbu- Mini Project EXcel Clean'!N133:N1132,"entry Level",0)</f>
        <v>7.7</v>
      </c>
      <c r="E133">
        <f>_xlfn.XLOOKUP(A133,'Subbu- Mini Project EXcel Clean'!A133:A1132,'Subbu- Mini Project EXcel Clean'!M133:M1132," ",0)</f>
        <v>95.9</v>
      </c>
      <c r="F133">
        <f>_xlfn.XLOOKUP(A133,'Subbu- Mini Project EXcel Clean'!A133:A1132,'Subbu- Mini Project EXcel Clean'!P133:P1132," ",0)</f>
        <v>5</v>
      </c>
      <c r="G133" t="str">
        <f>_xlfn.XLOOKUP(A133,'Subbu- Mini Project EXcel Clean'!A133:A1132,'Subbu- Mini Project EXcel Clean'!Q133:Q1132," ",0)</f>
        <v>Moderate</v>
      </c>
      <c r="H133">
        <f>VLOOKUP(A133,'Subbu- Mini Project EXcel Clean'!A132:R1132,15,FALSE)</f>
        <v>1.1000000000000001</v>
      </c>
    </row>
    <row r="134" spans="1:8" x14ac:dyDescent="0.25">
      <c r="A134" t="s">
        <v>162</v>
      </c>
      <c r="B134">
        <f>_xlfn.XLOOKUP(A134,'Subbu- Mini Project EXcel Clean'!A134:A1133,'Subbu- Mini Project EXcel Clean'!I134:I1133,"Entry Level",0)</f>
        <v>3</v>
      </c>
      <c r="C134" t="str">
        <f>_xlfn.XLOOKUP(A134,'Subbu- Mini Project EXcel Clean'!A134:A1133,'Subbu- Mini Project EXcel Clean'!J134:J1133," ",0)</f>
        <v>Excellent</v>
      </c>
      <c r="D134">
        <f>_xlfn.XLOOKUP(A134,'Subbu- Mini Project EXcel Clean'!A134:A1133,'Subbu- Mini Project EXcel Clean'!N134:N1133,"entry Level",0)</f>
        <v>7</v>
      </c>
      <c r="E134">
        <f>_xlfn.XLOOKUP(A134,'Subbu- Mini Project EXcel Clean'!A134:A1133,'Subbu- Mini Project EXcel Clean'!M134:M1133," ",0)</f>
        <v>84.5</v>
      </c>
      <c r="F134">
        <f>_xlfn.XLOOKUP(A134,'Subbu- Mini Project EXcel Clean'!A134:A1133,'Subbu- Mini Project EXcel Clean'!P134:P1133," ",0)</f>
        <v>5</v>
      </c>
      <c r="G134" t="str">
        <f>_xlfn.XLOOKUP(A134,'Subbu- Mini Project EXcel Clean'!A134:A1133,'Subbu- Mini Project EXcel Clean'!Q134:Q1133," ",0)</f>
        <v>Moderate</v>
      </c>
      <c r="H134">
        <f>VLOOKUP(A134,'Subbu- Mini Project EXcel Clean'!A133:R1133,15,FALSE)</f>
        <v>2.1</v>
      </c>
    </row>
    <row r="135" spans="1:8" x14ac:dyDescent="0.25">
      <c r="A135" t="s">
        <v>163</v>
      </c>
      <c r="B135">
        <f>_xlfn.XLOOKUP(A135,'Subbu- Mini Project EXcel Clean'!A135:A1134,'Subbu- Mini Project EXcel Clean'!I135:I1134,"Entry Level",0)</f>
        <v>5</v>
      </c>
      <c r="C135" t="str">
        <f>_xlfn.XLOOKUP(A135,'Subbu- Mini Project EXcel Clean'!A135:A1134,'Subbu- Mini Project EXcel Clean'!J135:J1134," ",0)</f>
        <v>Good</v>
      </c>
      <c r="D135">
        <f>_xlfn.XLOOKUP(A135,'Subbu- Mini Project EXcel Clean'!A135:A1134,'Subbu- Mini Project EXcel Clean'!N135:N1134,"entry Level",0)</f>
        <v>6.2</v>
      </c>
      <c r="E135">
        <f>_xlfn.XLOOKUP(A135,'Subbu- Mini Project EXcel Clean'!A135:A1134,'Subbu- Mini Project EXcel Clean'!M135:M1134," ",0)</f>
        <v>92.9</v>
      </c>
      <c r="F135">
        <f>_xlfn.XLOOKUP(A135,'Subbu- Mini Project EXcel Clean'!A135:A1134,'Subbu- Mini Project EXcel Clean'!P135:P1134," ",0)</f>
        <v>4</v>
      </c>
      <c r="G135" t="str">
        <f>_xlfn.XLOOKUP(A135,'Subbu- Mini Project EXcel Clean'!A135:A1134,'Subbu- Mini Project EXcel Clean'!Q135:Q1134," ",0)</f>
        <v>Moderate</v>
      </c>
      <c r="H135">
        <f>VLOOKUP(A135,'Subbu- Mini Project EXcel Clean'!A134:R1134,15,FALSE)</f>
        <v>2.4</v>
      </c>
    </row>
    <row r="136" spans="1:8" x14ac:dyDescent="0.25">
      <c r="A136" t="s">
        <v>164</v>
      </c>
      <c r="B136">
        <f>_xlfn.XLOOKUP(A136,'Subbu- Mini Project EXcel Clean'!A136:A1135,'Subbu- Mini Project EXcel Clean'!I136:I1135,"Entry Level",0)</f>
        <v>1</v>
      </c>
      <c r="C136" t="str">
        <f>_xlfn.XLOOKUP(A136,'Subbu- Mini Project EXcel Clean'!A136:A1135,'Subbu- Mini Project EXcel Clean'!J136:J1135," ",0)</f>
        <v>Consistent</v>
      </c>
      <c r="D136">
        <f>_xlfn.XLOOKUP(A136,'Subbu- Mini Project EXcel Clean'!A136:A1135,'Subbu- Mini Project EXcel Clean'!N136:N1135,"entry Level",0)</f>
        <v>7.1</v>
      </c>
      <c r="E136">
        <f>_xlfn.XLOOKUP(A136,'Subbu- Mini Project EXcel Clean'!A136:A1135,'Subbu- Mini Project EXcel Clean'!M136:M1135," ",0)</f>
        <v>57</v>
      </c>
      <c r="F136">
        <f>_xlfn.XLOOKUP(A136,'Subbu- Mini Project EXcel Clean'!A136:A1135,'Subbu- Mini Project EXcel Clean'!P136:P1135," ",0)</f>
        <v>5</v>
      </c>
      <c r="G136" t="str">
        <f>_xlfn.XLOOKUP(A136,'Subbu- Mini Project EXcel Clean'!A136:A1135,'Subbu- Mini Project EXcel Clean'!Q136:Q1135," ",0)</f>
        <v>Moderate</v>
      </c>
      <c r="H136">
        <f>VLOOKUP(A136,'Subbu- Mini Project EXcel Clean'!A135:R1135,15,FALSE)</f>
        <v>3.2</v>
      </c>
    </row>
    <row r="137" spans="1:8" x14ac:dyDescent="0.25">
      <c r="A137" t="s">
        <v>165</v>
      </c>
      <c r="B137">
        <f>_xlfn.XLOOKUP(A137,'Subbu- Mini Project EXcel Clean'!A137:A1136,'Subbu- Mini Project EXcel Clean'!I137:I1136,"Entry Level",0)</f>
        <v>2</v>
      </c>
      <c r="C137" t="str">
        <f>_xlfn.XLOOKUP(A137,'Subbu- Mini Project EXcel Clean'!A137:A1136,'Subbu- Mini Project EXcel Clean'!J137:J1136," ",0)</f>
        <v>Consistent</v>
      </c>
      <c r="D137">
        <f>_xlfn.XLOOKUP(A137,'Subbu- Mini Project EXcel Clean'!A137:A1136,'Subbu- Mini Project EXcel Clean'!N137:N1136,"entry Level",0)</f>
        <v>7.1</v>
      </c>
      <c r="E137">
        <f>_xlfn.XLOOKUP(A137,'Subbu- Mini Project EXcel Clean'!A137:A1136,'Subbu- Mini Project EXcel Clean'!M137:M1136," ",0)</f>
        <v>63.1</v>
      </c>
      <c r="F137">
        <f>_xlfn.XLOOKUP(A137,'Subbu- Mini Project EXcel Clean'!A137:A1136,'Subbu- Mini Project EXcel Clean'!P137:P1136," ",0)</f>
        <v>7</v>
      </c>
      <c r="G137" t="str">
        <f>_xlfn.XLOOKUP(A137,'Subbu- Mini Project EXcel Clean'!A137:A1136,'Subbu- Mini Project EXcel Clean'!Q137:Q1136," ",0)</f>
        <v>High</v>
      </c>
      <c r="H137">
        <f>VLOOKUP(A137,'Subbu- Mini Project EXcel Clean'!A136:R1136,15,FALSE)</f>
        <v>1.9</v>
      </c>
    </row>
    <row r="138" spans="1:8" x14ac:dyDescent="0.25">
      <c r="A138" t="s">
        <v>166</v>
      </c>
      <c r="B138">
        <f>_xlfn.XLOOKUP(A138,'Subbu- Mini Project EXcel Clean'!A138:A1137,'Subbu- Mini Project EXcel Clean'!I138:I1137,"Entry Level",0)</f>
        <v>3</v>
      </c>
      <c r="C138" t="str">
        <f>_xlfn.XLOOKUP(A138,'Subbu- Mini Project EXcel Clean'!A138:A1137,'Subbu- Mini Project EXcel Clean'!J138:J1137," ",0)</f>
        <v>Consistent</v>
      </c>
      <c r="D138">
        <f>_xlfn.XLOOKUP(A138,'Subbu- Mini Project EXcel Clean'!A138:A1137,'Subbu- Mini Project EXcel Clean'!N138:N1137,"entry Level",0)</f>
        <v>6</v>
      </c>
      <c r="E138">
        <f>_xlfn.XLOOKUP(A138,'Subbu- Mini Project EXcel Clean'!A138:A1137,'Subbu- Mini Project EXcel Clean'!M138:M1137," ",0)</f>
        <v>81.900000000000006</v>
      </c>
      <c r="F138">
        <f>_xlfn.XLOOKUP(A138,'Subbu- Mini Project EXcel Clean'!A138:A1137,'Subbu- Mini Project EXcel Clean'!P138:P1137," ",0)</f>
        <v>2</v>
      </c>
      <c r="G138" t="str">
        <f>_xlfn.XLOOKUP(A138,'Subbu- Mini Project EXcel Clean'!A138:A1137,'Subbu- Mini Project EXcel Clean'!Q138:Q1137," ",0)</f>
        <v>Low</v>
      </c>
      <c r="H138">
        <f>VLOOKUP(A138,'Subbu- Mini Project EXcel Clean'!A137:R1137,15,FALSE)</f>
        <v>5.4</v>
      </c>
    </row>
    <row r="139" spans="1:8" x14ac:dyDescent="0.25">
      <c r="A139" t="s">
        <v>167</v>
      </c>
      <c r="B139">
        <f>_xlfn.XLOOKUP(A139,'Subbu- Mini Project EXcel Clean'!A139:A1138,'Subbu- Mini Project EXcel Clean'!I139:I1138,"Entry Level",0)</f>
        <v>2</v>
      </c>
      <c r="C139" t="str">
        <f>_xlfn.XLOOKUP(A139,'Subbu- Mini Project EXcel Clean'!A139:A1138,'Subbu- Mini Project EXcel Clean'!J139:J1138," ",0)</f>
        <v>Consistent</v>
      </c>
      <c r="D139">
        <f>_xlfn.XLOOKUP(A139,'Subbu- Mini Project EXcel Clean'!A139:A1138,'Subbu- Mini Project EXcel Clean'!N139:N1138,"entry Level",0)</f>
        <v>6.4</v>
      </c>
      <c r="E139">
        <f>_xlfn.XLOOKUP(A139,'Subbu- Mini Project EXcel Clean'!A139:A1138,'Subbu- Mini Project EXcel Clean'!M139:M1138," ",0)</f>
        <v>72</v>
      </c>
      <c r="F139">
        <f>_xlfn.XLOOKUP(A139,'Subbu- Mini Project EXcel Clean'!A139:A1138,'Subbu- Mini Project EXcel Clean'!P139:P1138," ",0)</f>
        <v>1</v>
      </c>
      <c r="G139" t="str">
        <f>_xlfn.XLOOKUP(A139,'Subbu- Mini Project EXcel Clean'!A139:A1138,'Subbu- Mini Project EXcel Clean'!Q139:Q1138," ",0)</f>
        <v>Low</v>
      </c>
      <c r="H139">
        <f>VLOOKUP(A139,'Subbu- Mini Project EXcel Clean'!A138:R1138,15,FALSE)</f>
        <v>4.5</v>
      </c>
    </row>
    <row r="140" spans="1:8" x14ac:dyDescent="0.25">
      <c r="A140" t="s">
        <v>168</v>
      </c>
      <c r="B140">
        <f>_xlfn.XLOOKUP(A140,'Subbu- Mini Project EXcel Clean'!A140:A1139,'Subbu- Mini Project EXcel Clean'!I140:I1139,"Entry Level",0)</f>
        <v>4</v>
      </c>
      <c r="C140" t="str">
        <f>_xlfn.XLOOKUP(A140,'Subbu- Mini Project EXcel Clean'!A140:A1139,'Subbu- Mini Project EXcel Clean'!J140:J1139," ",0)</f>
        <v>Excellent</v>
      </c>
      <c r="D140">
        <f>_xlfn.XLOOKUP(A140,'Subbu- Mini Project EXcel Clean'!A140:A1139,'Subbu- Mini Project EXcel Clean'!N140:N1139,"entry Level",0)</f>
        <v>8.4</v>
      </c>
      <c r="E140">
        <f>_xlfn.XLOOKUP(A140,'Subbu- Mini Project EXcel Clean'!A140:A1139,'Subbu- Mini Project EXcel Clean'!M140:M1139," ",0)</f>
        <v>92.6</v>
      </c>
      <c r="F140">
        <f>_xlfn.XLOOKUP(A140,'Subbu- Mini Project EXcel Clean'!A140:A1139,'Subbu- Mini Project EXcel Clean'!P140:P1139," ",0)</f>
        <v>1</v>
      </c>
      <c r="G140" t="str">
        <f>_xlfn.XLOOKUP(A140,'Subbu- Mini Project EXcel Clean'!A140:A1139,'Subbu- Mini Project EXcel Clean'!Q140:Q1139," ",0)</f>
        <v>Low</v>
      </c>
      <c r="H140">
        <f>VLOOKUP(A140,'Subbu- Mini Project EXcel Clean'!A139:R1139,15,FALSE)</f>
        <v>1.4</v>
      </c>
    </row>
    <row r="141" spans="1:8" x14ac:dyDescent="0.25">
      <c r="A141" t="s">
        <v>169</v>
      </c>
      <c r="B141">
        <f>_xlfn.XLOOKUP(A141,'Subbu- Mini Project EXcel Clean'!A141:A1140,'Subbu- Mini Project EXcel Clean'!I141:I1140,"Entry Level",0)</f>
        <v>5</v>
      </c>
      <c r="C141" t="str">
        <f>_xlfn.XLOOKUP(A141,'Subbu- Mini Project EXcel Clean'!A141:A1140,'Subbu- Mini Project EXcel Clean'!J141:J1140," ",0)</f>
        <v>Good</v>
      </c>
      <c r="D141">
        <f>_xlfn.XLOOKUP(A141,'Subbu- Mini Project EXcel Clean'!A141:A1140,'Subbu- Mini Project EXcel Clean'!N141:N1140,"entry Level",0)</f>
        <v>7.9</v>
      </c>
      <c r="E141">
        <f>_xlfn.XLOOKUP(A141,'Subbu- Mini Project EXcel Clean'!A141:A1140,'Subbu- Mini Project EXcel Clean'!M141:M1140," ",0)</f>
        <v>96.1</v>
      </c>
      <c r="F141">
        <f>_xlfn.XLOOKUP(A141,'Subbu- Mini Project EXcel Clean'!A141:A1140,'Subbu- Mini Project EXcel Clean'!P141:P1140," ",0)</f>
        <v>4</v>
      </c>
      <c r="G141" t="str">
        <f>_xlfn.XLOOKUP(A141,'Subbu- Mini Project EXcel Clean'!A141:A1140,'Subbu- Mini Project EXcel Clean'!Q141:Q1140," ",0)</f>
        <v>Moderate</v>
      </c>
      <c r="H141">
        <f>VLOOKUP(A141,'Subbu- Mini Project EXcel Clean'!A140:R1140,15,FALSE)</f>
        <v>4.3</v>
      </c>
    </row>
    <row r="142" spans="1:8" x14ac:dyDescent="0.25">
      <c r="A142" t="s">
        <v>170</v>
      </c>
      <c r="B142">
        <f>_xlfn.XLOOKUP(A142,'Subbu- Mini Project EXcel Clean'!A142:A1141,'Subbu- Mini Project EXcel Clean'!I142:I1141,"Entry Level",0)</f>
        <v>3</v>
      </c>
      <c r="C142" t="str">
        <f>_xlfn.XLOOKUP(A142,'Subbu- Mini Project EXcel Clean'!A142:A1141,'Subbu- Mini Project EXcel Clean'!J142:J1141," ",0)</f>
        <v>Consistent</v>
      </c>
      <c r="D142">
        <f>_xlfn.XLOOKUP(A142,'Subbu- Mini Project EXcel Clean'!A142:A1141,'Subbu- Mini Project EXcel Clean'!N142:N1141,"entry Level",0)</f>
        <v>6.8</v>
      </c>
      <c r="E142">
        <f>_xlfn.XLOOKUP(A142,'Subbu- Mini Project EXcel Clean'!A142:A1141,'Subbu- Mini Project EXcel Clean'!M142:M1141," ",0)</f>
        <v>84</v>
      </c>
      <c r="F142">
        <f>_xlfn.XLOOKUP(A142,'Subbu- Mini Project EXcel Clean'!A142:A1141,'Subbu- Mini Project EXcel Clean'!P142:P1141," ",0)</f>
        <v>4</v>
      </c>
      <c r="G142" t="str">
        <f>_xlfn.XLOOKUP(A142,'Subbu- Mini Project EXcel Clean'!A142:A1141,'Subbu- Mini Project EXcel Clean'!Q142:Q1141," ",0)</f>
        <v>Moderate</v>
      </c>
      <c r="H142">
        <f>VLOOKUP(A142,'Subbu- Mini Project EXcel Clean'!A141:R1141,15,FALSE)</f>
        <v>4.3</v>
      </c>
    </row>
    <row r="143" spans="1:8" x14ac:dyDescent="0.25">
      <c r="A143" t="s">
        <v>171</v>
      </c>
      <c r="B143">
        <f>_xlfn.XLOOKUP(A143,'Subbu- Mini Project EXcel Clean'!A143:A1142,'Subbu- Mini Project EXcel Clean'!I143:I1142,"Entry Level",0)</f>
        <v>2</v>
      </c>
      <c r="C143" t="str">
        <f>_xlfn.XLOOKUP(A143,'Subbu- Mini Project EXcel Clean'!A143:A1142,'Subbu- Mini Project EXcel Clean'!J143:J1142," ",0)</f>
        <v>Consistent</v>
      </c>
      <c r="D143">
        <f>_xlfn.XLOOKUP(A143,'Subbu- Mini Project EXcel Clean'!A143:A1142,'Subbu- Mini Project EXcel Clean'!N143:N1142,"entry Level",0)</f>
        <v>6</v>
      </c>
      <c r="E143">
        <f>_xlfn.XLOOKUP(A143,'Subbu- Mini Project EXcel Clean'!A143:A1142,'Subbu- Mini Project EXcel Clean'!M143:M1142," ",0)</f>
        <v>71.3</v>
      </c>
      <c r="F143">
        <f>_xlfn.XLOOKUP(A143,'Subbu- Mini Project EXcel Clean'!A143:A1142,'Subbu- Mini Project EXcel Clean'!P143:P1142," ",0)</f>
        <v>5</v>
      </c>
      <c r="G143" t="str">
        <f>_xlfn.XLOOKUP(A143,'Subbu- Mini Project EXcel Clean'!A143:A1142,'Subbu- Mini Project EXcel Clean'!Q143:Q1142," ",0)</f>
        <v>Moderate</v>
      </c>
      <c r="H143">
        <f>VLOOKUP(A143,'Subbu- Mini Project EXcel Clean'!A142:R1142,15,FALSE)</f>
        <v>5.8</v>
      </c>
    </row>
    <row r="144" spans="1:8" x14ac:dyDescent="0.25">
      <c r="A144" t="s">
        <v>172</v>
      </c>
      <c r="B144">
        <f>_xlfn.XLOOKUP(A144,'Subbu- Mini Project EXcel Clean'!A144:A1143,'Subbu- Mini Project EXcel Clean'!I144:I1143,"Entry Level",0)</f>
        <v>5</v>
      </c>
      <c r="C144" t="str">
        <f>_xlfn.XLOOKUP(A144,'Subbu- Mini Project EXcel Clean'!A144:A1143,'Subbu- Mini Project EXcel Clean'!J144:J1143," ",0)</f>
        <v>Good</v>
      </c>
      <c r="D144">
        <f>_xlfn.XLOOKUP(A144,'Subbu- Mini Project EXcel Clean'!A144:A1143,'Subbu- Mini Project EXcel Clean'!N144:N1143,"entry Level",0)</f>
        <v>7.1</v>
      </c>
      <c r="E144">
        <f>_xlfn.XLOOKUP(A144,'Subbu- Mini Project EXcel Clean'!A144:A1143,'Subbu- Mini Project EXcel Clean'!M144:M1143," ",0)</f>
        <v>103.2</v>
      </c>
      <c r="F144">
        <f>_xlfn.XLOOKUP(A144,'Subbu- Mini Project EXcel Clean'!A144:A1143,'Subbu- Mini Project EXcel Clean'!P144:P1143," ",0)</f>
        <v>2</v>
      </c>
      <c r="G144" t="str">
        <f>_xlfn.XLOOKUP(A144,'Subbu- Mini Project EXcel Clean'!A144:A1143,'Subbu- Mini Project EXcel Clean'!Q144:Q1143," ",0)</f>
        <v>Low</v>
      </c>
      <c r="H144">
        <f>VLOOKUP(A144,'Subbu- Mini Project EXcel Clean'!A143:R1143,15,FALSE)</f>
        <v>1</v>
      </c>
    </row>
    <row r="145" spans="1:8" x14ac:dyDescent="0.25">
      <c r="A145" t="s">
        <v>173</v>
      </c>
      <c r="B145">
        <f>_xlfn.XLOOKUP(A145,'Subbu- Mini Project EXcel Clean'!A145:A1144,'Subbu- Mini Project EXcel Clean'!I145:I1144,"Entry Level",0)</f>
        <v>3</v>
      </c>
      <c r="C145" t="str">
        <f>_xlfn.XLOOKUP(A145,'Subbu- Mini Project EXcel Clean'!A145:A1144,'Subbu- Mini Project EXcel Clean'!J145:J1144," ",0)</f>
        <v>Consistent</v>
      </c>
      <c r="D145">
        <f>_xlfn.XLOOKUP(A145,'Subbu- Mini Project EXcel Clean'!A145:A1144,'Subbu- Mini Project EXcel Clean'!N145:N1144,"entry Level",0)</f>
        <v>7.6</v>
      </c>
      <c r="E145">
        <f>_xlfn.XLOOKUP(A145,'Subbu- Mini Project EXcel Clean'!A145:A1144,'Subbu- Mini Project EXcel Clean'!M145:M1144," ",0)</f>
        <v>77.599999999999994</v>
      </c>
      <c r="F145">
        <f>_xlfn.XLOOKUP(A145,'Subbu- Mini Project EXcel Clean'!A145:A1144,'Subbu- Mini Project EXcel Clean'!P145:P1144," ",0)</f>
        <v>1</v>
      </c>
      <c r="G145" t="str">
        <f>_xlfn.XLOOKUP(A145,'Subbu- Mini Project EXcel Clean'!A145:A1144,'Subbu- Mini Project EXcel Clean'!Q145:Q1144," ",0)</f>
        <v>Low</v>
      </c>
      <c r="H145">
        <f>VLOOKUP(A145,'Subbu- Mini Project EXcel Clean'!A144:R1144,15,FALSE)</f>
        <v>2.2000000000000002</v>
      </c>
    </row>
    <row r="146" spans="1:8" x14ac:dyDescent="0.25">
      <c r="A146" t="s">
        <v>174</v>
      </c>
      <c r="B146">
        <f>_xlfn.XLOOKUP(A146,'Subbu- Mini Project EXcel Clean'!A146:A1145,'Subbu- Mini Project EXcel Clean'!I146:I1145,"Entry Level",0)</f>
        <v>3</v>
      </c>
      <c r="C146" t="str">
        <f>_xlfn.XLOOKUP(A146,'Subbu- Mini Project EXcel Clean'!A146:A1145,'Subbu- Mini Project EXcel Clean'!J146:J1145," ",0)</f>
        <v>Consistent</v>
      </c>
      <c r="D146">
        <f>_xlfn.XLOOKUP(A146,'Subbu- Mini Project EXcel Clean'!A146:A1145,'Subbu- Mini Project EXcel Clean'!N146:N1145,"entry Level",0)</f>
        <v>7.2</v>
      </c>
      <c r="E146">
        <f>_xlfn.XLOOKUP(A146,'Subbu- Mini Project EXcel Clean'!A146:A1145,'Subbu- Mini Project EXcel Clean'!M146:M1145," ",0)</f>
        <v>76.5</v>
      </c>
      <c r="F146">
        <f>_xlfn.XLOOKUP(A146,'Subbu- Mini Project EXcel Clean'!A146:A1145,'Subbu- Mini Project EXcel Clean'!P146:P1145," ",0)</f>
        <v>1</v>
      </c>
      <c r="G146" t="str">
        <f>_xlfn.XLOOKUP(A146,'Subbu- Mini Project EXcel Clean'!A146:A1145,'Subbu- Mini Project EXcel Clean'!Q146:Q1145," ",0)</f>
        <v>Low</v>
      </c>
      <c r="H146">
        <f>VLOOKUP(A146,'Subbu- Mini Project EXcel Clean'!A145:R1145,15,FALSE)</f>
        <v>5.6</v>
      </c>
    </row>
    <row r="147" spans="1:8" x14ac:dyDescent="0.25">
      <c r="A147" t="s">
        <v>175</v>
      </c>
      <c r="B147">
        <f>_xlfn.XLOOKUP(A147,'Subbu- Mini Project EXcel Clean'!A147:A1146,'Subbu- Mini Project EXcel Clean'!I147:I1146,"Entry Level",0)</f>
        <v>2</v>
      </c>
      <c r="C147" t="str">
        <f>_xlfn.XLOOKUP(A147,'Subbu- Mini Project EXcel Clean'!A147:A1146,'Subbu- Mini Project EXcel Clean'!J147:J1146," ",0)</f>
        <v>Consistent</v>
      </c>
      <c r="D147">
        <f>_xlfn.XLOOKUP(A147,'Subbu- Mini Project EXcel Clean'!A147:A1146,'Subbu- Mini Project EXcel Clean'!N147:N1146,"entry Level",0)</f>
        <v>6.2</v>
      </c>
      <c r="E147">
        <f>_xlfn.XLOOKUP(A147,'Subbu- Mini Project EXcel Clean'!A147:A1146,'Subbu- Mini Project EXcel Clean'!M147:M1146," ",0)</f>
        <v>77</v>
      </c>
      <c r="F147">
        <f>_xlfn.XLOOKUP(A147,'Subbu- Mini Project EXcel Clean'!A147:A1146,'Subbu- Mini Project EXcel Clean'!P147:P1146," ",0)</f>
        <v>2</v>
      </c>
      <c r="G147" t="str">
        <f>_xlfn.XLOOKUP(A147,'Subbu- Mini Project EXcel Clean'!A147:A1146,'Subbu- Mini Project EXcel Clean'!Q147:Q1146," ",0)</f>
        <v>Low</v>
      </c>
      <c r="H147">
        <f>VLOOKUP(A147,'Subbu- Mini Project EXcel Clean'!A146:R1146,15,FALSE)</f>
        <v>5.7</v>
      </c>
    </row>
    <row r="148" spans="1:8" x14ac:dyDescent="0.25">
      <c r="A148" t="s">
        <v>176</v>
      </c>
      <c r="B148">
        <f>_xlfn.XLOOKUP(A148,'Subbu- Mini Project EXcel Clean'!A148:A1147,'Subbu- Mini Project EXcel Clean'!I148:I1147,"Entry Level",0)</f>
        <v>5</v>
      </c>
      <c r="C148" t="str">
        <f>_xlfn.XLOOKUP(A148,'Subbu- Mini Project EXcel Clean'!A148:A1147,'Subbu- Mini Project EXcel Clean'!J148:J1147," ",0)</f>
        <v>Good</v>
      </c>
      <c r="D148">
        <f>_xlfn.XLOOKUP(A148,'Subbu- Mini Project EXcel Clean'!A148:A1147,'Subbu- Mini Project EXcel Clean'!N148:N1147,"entry Level",0)</f>
        <v>5.4</v>
      </c>
      <c r="E148">
        <f>_xlfn.XLOOKUP(A148,'Subbu- Mini Project EXcel Clean'!A148:A1147,'Subbu- Mini Project EXcel Clean'!M148:M1147," ",0)</f>
        <v>98.4</v>
      </c>
      <c r="F148">
        <f>_xlfn.XLOOKUP(A148,'Subbu- Mini Project EXcel Clean'!A148:A1147,'Subbu- Mini Project EXcel Clean'!P148:P1147," ",0)</f>
        <v>3</v>
      </c>
      <c r="G148" t="str">
        <f>_xlfn.XLOOKUP(A148,'Subbu- Mini Project EXcel Clean'!A148:A1147,'Subbu- Mini Project EXcel Clean'!Q148:Q1147," ",0)</f>
        <v>Moderate</v>
      </c>
      <c r="H148">
        <f>VLOOKUP(A148,'Subbu- Mini Project EXcel Clean'!A147:R1147,15,FALSE)</f>
        <v>4.5999999999999996</v>
      </c>
    </row>
    <row r="149" spans="1:8" x14ac:dyDescent="0.25">
      <c r="A149" t="s">
        <v>177</v>
      </c>
      <c r="B149">
        <f>_xlfn.XLOOKUP(A149,'Subbu- Mini Project EXcel Clean'!A149:A1148,'Subbu- Mini Project EXcel Clean'!I149:I1148,"Entry Level",0)</f>
        <v>3</v>
      </c>
      <c r="C149" t="str">
        <f>_xlfn.XLOOKUP(A149,'Subbu- Mini Project EXcel Clean'!A149:A1148,'Subbu- Mini Project EXcel Clean'!J149:J1148," ",0)</f>
        <v>Excellent</v>
      </c>
      <c r="D149">
        <f>_xlfn.XLOOKUP(A149,'Subbu- Mini Project EXcel Clean'!A149:A1148,'Subbu- Mini Project EXcel Clean'!N149:N1148,"entry Level",0)</f>
        <v>6.9</v>
      </c>
      <c r="E149">
        <f>_xlfn.XLOOKUP(A149,'Subbu- Mini Project EXcel Clean'!A149:A1148,'Subbu- Mini Project EXcel Clean'!M149:M1148," ",0)</f>
        <v>84.5</v>
      </c>
      <c r="F149">
        <f>_xlfn.XLOOKUP(A149,'Subbu- Mini Project EXcel Clean'!A149:A1148,'Subbu- Mini Project EXcel Clean'!P149:P1148," ",0)</f>
        <v>6</v>
      </c>
      <c r="G149" t="str">
        <f>_xlfn.XLOOKUP(A149,'Subbu- Mini Project EXcel Clean'!A149:A1148,'Subbu- Mini Project EXcel Clean'!Q149:Q1148," ",0)</f>
        <v>Moderate</v>
      </c>
      <c r="H149">
        <f>VLOOKUP(A149,'Subbu- Mini Project EXcel Clean'!A148:R1148,15,FALSE)</f>
        <v>4.8</v>
      </c>
    </row>
    <row r="150" spans="1:8" x14ac:dyDescent="0.25">
      <c r="A150" t="s">
        <v>178</v>
      </c>
      <c r="B150">
        <f>_xlfn.XLOOKUP(A150,'Subbu- Mini Project EXcel Clean'!A150:A1149,'Subbu- Mini Project EXcel Clean'!I150:I1149,"Entry Level",0)</f>
        <v>4</v>
      </c>
      <c r="C150" t="str">
        <f>_xlfn.XLOOKUP(A150,'Subbu- Mini Project EXcel Clean'!A150:A1149,'Subbu- Mini Project EXcel Clean'!J150:J1149," ",0)</f>
        <v>Excellent</v>
      </c>
      <c r="D150">
        <f>_xlfn.XLOOKUP(A150,'Subbu- Mini Project EXcel Clean'!A150:A1149,'Subbu- Mini Project EXcel Clean'!N150:N1149,"entry Level",0)</f>
        <v>8.1</v>
      </c>
      <c r="E150">
        <f>_xlfn.XLOOKUP(A150,'Subbu- Mini Project EXcel Clean'!A150:A1149,'Subbu- Mini Project EXcel Clean'!M150:M1149," ",0)</f>
        <v>90.9</v>
      </c>
      <c r="F150">
        <f>_xlfn.XLOOKUP(A150,'Subbu- Mini Project EXcel Clean'!A150:A1149,'Subbu- Mini Project EXcel Clean'!P150:P1149," ",0)</f>
        <v>1</v>
      </c>
      <c r="G150" t="str">
        <f>_xlfn.XLOOKUP(A150,'Subbu- Mini Project EXcel Clean'!A150:A1149,'Subbu- Mini Project EXcel Clean'!Q150:Q1149," ",0)</f>
        <v>Low</v>
      </c>
      <c r="H150">
        <f>VLOOKUP(A150,'Subbu- Mini Project EXcel Clean'!A149:R1149,15,FALSE)</f>
        <v>1.5</v>
      </c>
    </row>
    <row r="151" spans="1:8" x14ac:dyDescent="0.25">
      <c r="A151" t="s">
        <v>179</v>
      </c>
      <c r="B151">
        <f>_xlfn.XLOOKUP(A151,'Subbu- Mini Project EXcel Clean'!A151:A1150,'Subbu- Mini Project EXcel Clean'!I151:I1150,"Entry Level",0)</f>
        <v>4</v>
      </c>
      <c r="C151" t="str">
        <f>_xlfn.XLOOKUP(A151,'Subbu- Mini Project EXcel Clean'!A151:A1150,'Subbu- Mini Project EXcel Clean'!J151:J1150," ",0)</f>
        <v>Good</v>
      </c>
      <c r="D151">
        <f>_xlfn.XLOOKUP(A151,'Subbu- Mini Project EXcel Clean'!A151:A1150,'Subbu- Mini Project EXcel Clean'!N151:N1150,"entry Level",0)</f>
        <v>6.1</v>
      </c>
      <c r="E151">
        <f>_xlfn.XLOOKUP(A151,'Subbu- Mini Project EXcel Clean'!A151:A1150,'Subbu- Mini Project EXcel Clean'!M151:M1150," ",0)</f>
        <v>92.3</v>
      </c>
      <c r="F151">
        <f>_xlfn.XLOOKUP(A151,'Subbu- Mini Project EXcel Clean'!A151:A1150,'Subbu- Mini Project EXcel Clean'!P151:P1150," ",0)</f>
        <v>4</v>
      </c>
      <c r="G151" t="str">
        <f>_xlfn.XLOOKUP(A151,'Subbu- Mini Project EXcel Clean'!A151:A1150,'Subbu- Mini Project EXcel Clean'!Q151:Q1150," ",0)</f>
        <v>Moderate</v>
      </c>
      <c r="H151">
        <f>VLOOKUP(A151,'Subbu- Mini Project EXcel Clean'!A150:R1150,15,FALSE)</f>
        <v>3.6</v>
      </c>
    </row>
    <row r="152" spans="1:8" x14ac:dyDescent="0.25">
      <c r="A152" t="s">
        <v>180</v>
      </c>
      <c r="B152">
        <f>_xlfn.XLOOKUP(A152,'Subbu- Mini Project EXcel Clean'!A152:A1151,'Subbu- Mini Project EXcel Clean'!I152:I1151,"Entry Level",0)</f>
        <v>2</v>
      </c>
      <c r="C152" t="str">
        <f>_xlfn.XLOOKUP(A152,'Subbu- Mini Project EXcel Clean'!A152:A1151,'Subbu- Mini Project EXcel Clean'!J152:J1151," ",0)</f>
        <v>Consistent</v>
      </c>
      <c r="D152">
        <f>_xlfn.XLOOKUP(A152,'Subbu- Mini Project EXcel Clean'!A152:A1151,'Subbu- Mini Project EXcel Clean'!N152:N1151,"entry Level",0)</f>
        <v>7.4</v>
      </c>
      <c r="E152">
        <f>_xlfn.XLOOKUP(A152,'Subbu- Mini Project EXcel Clean'!A152:A1151,'Subbu- Mini Project EXcel Clean'!M152:M1151," ",0)</f>
        <v>85.6</v>
      </c>
      <c r="F152">
        <f>_xlfn.XLOOKUP(A152,'Subbu- Mini Project EXcel Clean'!A152:A1151,'Subbu- Mini Project EXcel Clean'!P152:P1151," ",0)</f>
        <v>3</v>
      </c>
      <c r="G152" t="str">
        <f>_xlfn.XLOOKUP(A152,'Subbu- Mini Project EXcel Clean'!A152:A1151,'Subbu- Mini Project EXcel Clean'!Q152:Q1151," ",0)</f>
        <v>Low</v>
      </c>
      <c r="H152">
        <f>VLOOKUP(A152,'Subbu- Mini Project EXcel Clean'!A151:R1151,15,FALSE)</f>
        <v>2.2000000000000002</v>
      </c>
    </row>
    <row r="153" spans="1:8" x14ac:dyDescent="0.25">
      <c r="A153" t="s">
        <v>181</v>
      </c>
      <c r="B153">
        <f>_xlfn.XLOOKUP(A153,'Subbu- Mini Project EXcel Clean'!A153:A1152,'Subbu- Mini Project EXcel Clean'!I153:I1152,"Entry Level",0)</f>
        <v>3</v>
      </c>
      <c r="C153" t="str">
        <f>_xlfn.XLOOKUP(A153,'Subbu- Mini Project EXcel Clean'!A153:A1152,'Subbu- Mini Project EXcel Clean'!J153:J1152," ",0)</f>
        <v>Consistent</v>
      </c>
      <c r="D153">
        <f>_xlfn.XLOOKUP(A153,'Subbu- Mini Project EXcel Clean'!A153:A1152,'Subbu- Mini Project EXcel Clean'!N153:N1152,"entry Level",0)</f>
        <v>7.7</v>
      </c>
      <c r="E153">
        <f>_xlfn.XLOOKUP(A153,'Subbu- Mini Project EXcel Clean'!A153:A1152,'Subbu- Mini Project EXcel Clean'!M153:M1152," ",0)</f>
        <v>83.3</v>
      </c>
      <c r="F153">
        <f>_xlfn.XLOOKUP(A153,'Subbu- Mini Project EXcel Clean'!A153:A1152,'Subbu- Mini Project EXcel Clean'!P153:P1152," ",0)</f>
        <v>2</v>
      </c>
      <c r="G153" t="str">
        <f>_xlfn.XLOOKUP(A153,'Subbu- Mini Project EXcel Clean'!A153:A1152,'Subbu- Mini Project EXcel Clean'!Q153:Q1152," ",0)</f>
        <v>Low</v>
      </c>
      <c r="H153">
        <f>VLOOKUP(A153,'Subbu- Mini Project EXcel Clean'!A152:R1152,15,FALSE)</f>
        <v>1.9</v>
      </c>
    </row>
    <row r="154" spans="1:8" x14ac:dyDescent="0.25">
      <c r="A154" t="s">
        <v>182</v>
      </c>
      <c r="B154">
        <f>_xlfn.XLOOKUP(A154,'Subbu- Mini Project EXcel Clean'!A154:A1153,'Subbu- Mini Project EXcel Clean'!I154:I1153,"Entry Level",0)</f>
        <v>4</v>
      </c>
      <c r="C154" t="str">
        <f>_xlfn.XLOOKUP(A154,'Subbu- Mini Project EXcel Clean'!A154:A1153,'Subbu- Mini Project EXcel Clean'!J154:J1153," ",0)</f>
        <v>Good</v>
      </c>
      <c r="D154">
        <f>_xlfn.XLOOKUP(A154,'Subbu- Mini Project EXcel Clean'!A154:A1153,'Subbu- Mini Project EXcel Clean'!N154:N1153,"entry Level",0)</f>
        <v>6.4</v>
      </c>
      <c r="E154">
        <f>_xlfn.XLOOKUP(A154,'Subbu- Mini Project EXcel Clean'!A154:A1153,'Subbu- Mini Project EXcel Clean'!M154:M1153," ",0)</f>
        <v>97.6</v>
      </c>
      <c r="F154">
        <f>_xlfn.XLOOKUP(A154,'Subbu- Mini Project EXcel Clean'!A154:A1153,'Subbu- Mini Project EXcel Clean'!P154:P1153," ",0)</f>
        <v>5</v>
      </c>
      <c r="G154" t="str">
        <f>_xlfn.XLOOKUP(A154,'Subbu- Mini Project EXcel Clean'!A154:A1153,'Subbu- Mini Project EXcel Clean'!Q154:Q1153," ",0)</f>
        <v>Moderate</v>
      </c>
      <c r="H154">
        <f>VLOOKUP(A154,'Subbu- Mini Project EXcel Clean'!A153:R1153,15,FALSE)</f>
        <v>5.0999999999999996</v>
      </c>
    </row>
    <row r="155" spans="1:8" x14ac:dyDescent="0.25">
      <c r="A155" t="s">
        <v>183</v>
      </c>
      <c r="B155">
        <f>_xlfn.XLOOKUP(A155,'Subbu- Mini Project EXcel Clean'!A155:A1154,'Subbu- Mini Project EXcel Clean'!I155:I1154,"Entry Level",0)</f>
        <v>3</v>
      </c>
      <c r="C155" t="str">
        <f>_xlfn.XLOOKUP(A155,'Subbu- Mini Project EXcel Clean'!A155:A1154,'Subbu- Mini Project EXcel Clean'!J155:J1154," ",0)</f>
        <v>Consistent</v>
      </c>
      <c r="D155">
        <f>_xlfn.XLOOKUP(A155,'Subbu- Mini Project EXcel Clean'!A155:A1154,'Subbu- Mini Project EXcel Clean'!N155:N1154,"entry Level",0)</f>
        <v>7.1</v>
      </c>
      <c r="E155">
        <f>_xlfn.XLOOKUP(A155,'Subbu- Mini Project EXcel Clean'!A155:A1154,'Subbu- Mini Project EXcel Clean'!M155:M1154," ",0)</f>
        <v>75.099999999999994</v>
      </c>
      <c r="F155">
        <f>_xlfn.XLOOKUP(A155,'Subbu- Mini Project EXcel Clean'!A155:A1154,'Subbu- Mini Project EXcel Clean'!P155:P1154," ",0)</f>
        <v>6</v>
      </c>
      <c r="G155" t="str">
        <f>_xlfn.XLOOKUP(A155,'Subbu- Mini Project EXcel Clean'!A155:A1154,'Subbu- Mini Project EXcel Clean'!Q155:Q1154," ",0)</f>
        <v>Moderate</v>
      </c>
      <c r="H155">
        <f>VLOOKUP(A155,'Subbu- Mini Project EXcel Clean'!A154:R1154,15,FALSE)</f>
        <v>1.7</v>
      </c>
    </row>
    <row r="156" spans="1:8" x14ac:dyDescent="0.25">
      <c r="A156" t="s">
        <v>184</v>
      </c>
      <c r="B156">
        <f>_xlfn.XLOOKUP(A156,'Subbu- Mini Project EXcel Clean'!A156:A1155,'Subbu- Mini Project EXcel Clean'!I156:I1155,"Entry Level",0)</f>
        <v>4</v>
      </c>
      <c r="C156" t="str">
        <f>_xlfn.XLOOKUP(A156,'Subbu- Mini Project EXcel Clean'!A156:A1155,'Subbu- Mini Project EXcel Clean'!J156:J1155," ",0)</f>
        <v>Good</v>
      </c>
      <c r="D156">
        <f>_xlfn.XLOOKUP(A156,'Subbu- Mini Project EXcel Clean'!A156:A1155,'Subbu- Mini Project EXcel Clean'!N156:N1155,"entry Level",0)</f>
        <v>7.5</v>
      </c>
      <c r="E156">
        <f>_xlfn.XLOOKUP(A156,'Subbu- Mini Project EXcel Clean'!A156:A1155,'Subbu- Mini Project EXcel Clean'!M156:M1155," ",0)</f>
        <v>96.8</v>
      </c>
      <c r="F156">
        <f>_xlfn.XLOOKUP(A156,'Subbu- Mini Project EXcel Clean'!A156:A1155,'Subbu- Mini Project EXcel Clean'!P156:P1155," ",0)</f>
        <v>6</v>
      </c>
      <c r="G156" t="str">
        <f>_xlfn.XLOOKUP(A156,'Subbu- Mini Project EXcel Clean'!A156:A1155,'Subbu- Mini Project EXcel Clean'!Q156:Q1155," ",0)</f>
        <v>Moderate</v>
      </c>
      <c r="H156">
        <f>VLOOKUP(A156,'Subbu- Mini Project EXcel Clean'!A155:R1155,15,FALSE)</f>
        <v>3.3</v>
      </c>
    </row>
    <row r="157" spans="1:8" x14ac:dyDescent="0.25">
      <c r="A157" t="s">
        <v>185</v>
      </c>
      <c r="B157">
        <f>_xlfn.XLOOKUP(A157,'Subbu- Mini Project EXcel Clean'!A157:A1156,'Subbu- Mini Project EXcel Clean'!I157:I1156,"Entry Level",0)</f>
        <v>5</v>
      </c>
      <c r="C157" t="str">
        <f>_xlfn.XLOOKUP(A157,'Subbu- Mini Project EXcel Clean'!A157:A1156,'Subbu- Mini Project EXcel Clean'!J157:J1156," ",0)</f>
        <v>Good</v>
      </c>
      <c r="D157">
        <f>_xlfn.XLOOKUP(A157,'Subbu- Mini Project EXcel Clean'!A157:A1156,'Subbu- Mini Project EXcel Clean'!N157:N1156,"entry Level",0)</f>
        <v>6.1</v>
      </c>
      <c r="E157">
        <f>_xlfn.XLOOKUP(A157,'Subbu- Mini Project EXcel Clean'!A157:A1156,'Subbu- Mini Project EXcel Clean'!M157:M1156," ",0)</f>
        <v>100.2</v>
      </c>
      <c r="F157">
        <f>_xlfn.XLOOKUP(A157,'Subbu- Mini Project EXcel Clean'!A157:A1156,'Subbu- Mini Project EXcel Clean'!P157:P1156," ",0)</f>
        <v>7</v>
      </c>
      <c r="G157" t="str">
        <f>_xlfn.XLOOKUP(A157,'Subbu- Mini Project EXcel Clean'!A157:A1156,'Subbu- Mini Project EXcel Clean'!Q157:Q1156," ",0)</f>
        <v>High</v>
      </c>
      <c r="H157">
        <f>VLOOKUP(A157,'Subbu- Mini Project EXcel Clean'!A156:R1156,15,FALSE)</f>
        <v>5.7</v>
      </c>
    </row>
    <row r="158" spans="1:8" x14ac:dyDescent="0.25">
      <c r="A158" t="s">
        <v>186</v>
      </c>
      <c r="B158">
        <f>_xlfn.XLOOKUP(A158,'Subbu- Mini Project EXcel Clean'!A158:A1157,'Subbu- Mini Project EXcel Clean'!I158:I1157,"Entry Level",0)</f>
        <v>4</v>
      </c>
      <c r="C158" t="str">
        <f>_xlfn.XLOOKUP(A158,'Subbu- Mini Project EXcel Clean'!A158:A1157,'Subbu- Mini Project EXcel Clean'!J158:J1157," ",0)</f>
        <v>Excellent</v>
      </c>
      <c r="D158">
        <f>_xlfn.XLOOKUP(A158,'Subbu- Mini Project EXcel Clean'!A158:A1157,'Subbu- Mini Project EXcel Clean'!N158:N1157,"entry Level",0)</f>
        <v>6.7</v>
      </c>
      <c r="E158">
        <f>_xlfn.XLOOKUP(A158,'Subbu- Mini Project EXcel Clean'!A158:A1157,'Subbu- Mini Project EXcel Clean'!M158:M1157," ",0)</f>
        <v>85.1</v>
      </c>
      <c r="F158">
        <f>_xlfn.XLOOKUP(A158,'Subbu- Mini Project EXcel Clean'!A158:A1157,'Subbu- Mini Project EXcel Clean'!P158:P1157," ",0)</f>
        <v>5</v>
      </c>
      <c r="G158" t="str">
        <f>_xlfn.XLOOKUP(A158,'Subbu- Mini Project EXcel Clean'!A158:A1157,'Subbu- Mini Project EXcel Clean'!Q158:Q1157," ",0)</f>
        <v>Moderate</v>
      </c>
      <c r="H158">
        <f>VLOOKUP(A158,'Subbu- Mini Project EXcel Clean'!A157:R1157,15,FALSE)</f>
        <v>1.9</v>
      </c>
    </row>
    <row r="159" spans="1:8" x14ac:dyDescent="0.25">
      <c r="A159" t="s">
        <v>187</v>
      </c>
      <c r="B159">
        <f>_xlfn.XLOOKUP(A159,'Subbu- Mini Project EXcel Clean'!A159:A1158,'Subbu- Mini Project EXcel Clean'!I159:I1158,"Entry Level",0)</f>
        <v>4</v>
      </c>
      <c r="C159" t="str">
        <f>_xlfn.XLOOKUP(A159,'Subbu- Mini Project EXcel Clean'!A159:A1158,'Subbu- Mini Project EXcel Clean'!J159:J1158," ",0)</f>
        <v>Excellent</v>
      </c>
      <c r="D159">
        <f>_xlfn.XLOOKUP(A159,'Subbu- Mini Project EXcel Clean'!A159:A1158,'Subbu- Mini Project EXcel Clean'!N159:N1158,"entry Level",0)</f>
        <v>5.2</v>
      </c>
      <c r="E159">
        <f>_xlfn.XLOOKUP(A159,'Subbu- Mini Project EXcel Clean'!A159:A1158,'Subbu- Mini Project EXcel Clean'!M159:M1158," ",0)</f>
        <v>88.1</v>
      </c>
      <c r="F159">
        <f>_xlfn.XLOOKUP(A159,'Subbu- Mini Project EXcel Clean'!A159:A1158,'Subbu- Mini Project EXcel Clean'!P159:P1158," ",0)</f>
        <v>7</v>
      </c>
      <c r="G159" t="str">
        <f>_xlfn.XLOOKUP(A159,'Subbu- Mini Project EXcel Clean'!A159:A1158,'Subbu- Mini Project EXcel Clean'!Q159:Q1158," ",0)</f>
        <v>High</v>
      </c>
      <c r="H159">
        <f>VLOOKUP(A159,'Subbu- Mini Project EXcel Clean'!A158:R1158,15,FALSE)</f>
        <v>5.9</v>
      </c>
    </row>
    <row r="160" spans="1:8" x14ac:dyDescent="0.25">
      <c r="A160" t="s">
        <v>188</v>
      </c>
      <c r="B160">
        <f>_xlfn.XLOOKUP(A160,'Subbu- Mini Project EXcel Clean'!A160:A1159,'Subbu- Mini Project EXcel Clean'!I160:I1159,"Entry Level",0)</f>
        <v>4</v>
      </c>
      <c r="C160" t="str">
        <f>_xlfn.XLOOKUP(A160,'Subbu- Mini Project EXcel Clean'!A160:A1159,'Subbu- Mini Project EXcel Clean'!J160:J1159," ",0)</f>
        <v>Good</v>
      </c>
      <c r="D160">
        <f>_xlfn.XLOOKUP(A160,'Subbu- Mini Project EXcel Clean'!A160:A1159,'Subbu- Mini Project EXcel Clean'!N160:N1159,"entry Level",0)</f>
        <v>6.8</v>
      </c>
      <c r="E160">
        <f>_xlfn.XLOOKUP(A160,'Subbu- Mini Project EXcel Clean'!A160:A1159,'Subbu- Mini Project EXcel Clean'!M160:M1159," ",0)</f>
        <v>91.8</v>
      </c>
      <c r="F160">
        <f>_xlfn.XLOOKUP(A160,'Subbu- Mini Project EXcel Clean'!A160:A1159,'Subbu- Mini Project EXcel Clean'!P160:P1159," ",0)</f>
        <v>4</v>
      </c>
      <c r="G160" t="str">
        <f>_xlfn.XLOOKUP(A160,'Subbu- Mini Project EXcel Clean'!A160:A1159,'Subbu- Mini Project EXcel Clean'!Q160:Q1159," ",0)</f>
        <v>Moderate</v>
      </c>
      <c r="H160">
        <f>VLOOKUP(A160,'Subbu- Mini Project EXcel Clean'!A159:R1159,15,FALSE)</f>
        <v>6</v>
      </c>
    </row>
    <row r="161" spans="1:8" x14ac:dyDescent="0.25">
      <c r="A161" t="s">
        <v>189</v>
      </c>
      <c r="B161">
        <f>_xlfn.XLOOKUP(A161,'Subbu- Mini Project EXcel Clean'!A161:A1160,'Subbu- Mini Project EXcel Clean'!I161:I1160,"Entry Level",0)</f>
        <v>4</v>
      </c>
      <c r="C161" t="str">
        <f>_xlfn.XLOOKUP(A161,'Subbu- Mini Project EXcel Clean'!A161:A1160,'Subbu- Mini Project EXcel Clean'!J161:J1160," ",0)</f>
        <v>Good</v>
      </c>
      <c r="D161">
        <f>_xlfn.XLOOKUP(A161,'Subbu- Mini Project EXcel Clean'!A161:A1160,'Subbu- Mini Project EXcel Clean'!N161:N1160,"entry Level",0)</f>
        <v>7.2</v>
      </c>
      <c r="E161">
        <f>_xlfn.XLOOKUP(A161,'Subbu- Mini Project EXcel Clean'!A161:A1160,'Subbu- Mini Project EXcel Clean'!M161:M1160," ",0)</f>
        <v>77.900000000000006</v>
      </c>
      <c r="F161">
        <f>_xlfn.XLOOKUP(A161,'Subbu- Mini Project EXcel Clean'!A161:A1160,'Subbu- Mini Project EXcel Clean'!P161:P1160," ",0)</f>
        <v>5</v>
      </c>
      <c r="G161" t="str">
        <f>_xlfn.XLOOKUP(A161,'Subbu- Mini Project EXcel Clean'!A161:A1160,'Subbu- Mini Project EXcel Clean'!Q161:Q1160," ",0)</f>
        <v>Moderate</v>
      </c>
      <c r="H161">
        <f>VLOOKUP(A161,'Subbu- Mini Project EXcel Clean'!A160:R1160,15,FALSE)</f>
        <v>3.8</v>
      </c>
    </row>
    <row r="162" spans="1:8" x14ac:dyDescent="0.25">
      <c r="A162" t="s">
        <v>190</v>
      </c>
      <c r="B162">
        <f>_xlfn.XLOOKUP(A162,'Subbu- Mini Project EXcel Clean'!A162:A1161,'Subbu- Mini Project EXcel Clean'!I162:I1161,"Entry Level",0)</f>
        <v>3</v>
      </c>
      <c r="C162" t="str">
        <f>_xlfn.XLOOKUP(A162,'Subbu- Mini Project EXcel Clean'!A162:A1161,'Subbu- Mini Project EXcel Clean'!J162:J1161," ",0)</f>
        <v>Consistent</v>
      </c>
      <c r="D162">
        <f>_xlfn.XLOOKUP(A162,'Subbu- Mini Project EXcel Clean'!A162:A1161,'Subbu- Mini Project EXcel Clean'!N162:N1161,"entry Level",0)</f>
        <v>7.5</v>
      </c>
      <c r="E162">
        <f>_xlfn.XLOOKUP(A162,'Subbu- Mini Project EXcel Clean'!A162:A1161,'Subbu- Mini Project EXcel Clean'!M162:M1161," ",0)</f>
        <v>76.900000000000006</v>
      </c>
      <c r="F162">
        <f>_xlfn.XLOOKUP(A162,'Subbu- Mini Project EXcel Clean'!A162:A1161,'Subbu- Mini Project EXcel Clean'!P162:P1161," ",0)</f>
        <v>1</v>
      </c>
      <c r="G162" t="str">
        <f>_xlfn.XLOOKUP(A162,'Subbu- Mini Project EXcel Clean'!A162:A1161,'Subbu- Mini Project EXcel Clean'!Q162:Q1161," ",0)</f>
        <v>Low</v>
      </c>
      <c r="H162">
        <f>VLOOKUP(A162,'Subbu- Mini Project EXcel Clean'!A161:R1161,15,FALSE)</f>
        <v>1.9</v>
      </c>
    </row>
    <row r="163" spans="1:8" x14ac:dyDescent="0.25">
      <c r="A163" t="s">
        <v>191</v>
      </c>
      <c r="B163">
        <f>_xlfn.XLOOKUP(A163,'Subbu- Mini Project EXcel Clean'!A163:A1162,'Subbu- Mini Project EXcel Clean'!I163:I1162,"Entry Level",0)</f>
        <v>1</v>
      </c>
      <c r="C163" t="str">
        <f>_xlfn.XLOOKUP(A163,'Subbu- Mini Project EXcel Clean'!A163:A1162,'Subbu- Mini Project EXcel Clean'!J163:J1162," ",0)</f>
        <v>Consistent</v>
      </c>
      <c r="D163">
        <f>_xlfn.XLOOKUP(A163,'Subbu- Mini Project EXcel Clean'!A163:A1162,'Subbu- Mini Project EXcel Clean'!N163:N1162,"entry Level",0)</f>
        <v>7</v>
      </c>
      <c r="E163">
        <f>_xlfn.XLOOKUP(A163,'Subbu- Mini Project EXcel Clean'!A163:A1162,'Subbu- Mini Project EXcel Clean'!M163:M1162," ",0)</f>
        <v>59.6</v>
      </c>
      <c r="F163">
        <f>_xlfn.XLOOKUP(A163,'Subbu- Mini Project EXcel Clean'!A163:A1162,'Subbu- Mini Project EXcel Clean'!P163:P1162," ",0)</f>
        <v>4</v>
      </c>
      <c r="G163" t="str">
        <f>_xlfn.XLOOKUP(A163,'Subbu- Mini Project EXcel Clean'!A163:A1162,'Subbu- Mini Project EXcel Clean'!Q163:Q1162," ",0)</f>
        <v>Moderate</v>
      </c>
      <c r="H163">
        <f>VLOOKUP(A163,'Subbu- Mini Project EXcel Clean'!A162:R1162,15,FALSE)</f>
        <v>2.6</v>
      </c>
    </row>
    <row r="164" spans="1:8" x14ac:dyDescent="0.25">
      <c r="A164" t="s">
        <v>192</v>
      </c>
      <c r="B164">
        <f>_xlfn.XLOOKUP(A164,'Subbu- Mini Project EXcel Clean'!A164:A1163,'Subbu- Mini Project EXcel Clean'!I164:I1163,"Entry Level",0)</f>
        <v>3</v>
      </c>
      <c r="C164" t="str">
        <f>_xlfn.XLOOKUP(A164,'Subbu- Mini Project EXcel Clean'!A164:A1163,'Subbu- Mini Project EXcel Clean'!J164:J1163," ",0)</f>
        <v>Consistent</v>
      </c>
      <c r="D164">
        <f>_xlfn.XLOOKUP(A164,'Subbu- Mini Project EXcel Clean'!A164:A1163,'Subbu- Mini Project EXcel Clean'!N164:N1163,"entry Level",0)</f>
        <v>6.8</v>
      </c>
      <c r="E164">
        <f>_xlfn.XLOOKUP(A164,'Subbu- Mini Project EXcel Clean'!A164:A1163,'Subbu- Mini Project EXcel Clean'!M164:M1163," ",0)</f>
        <v>84</v>
      </c>
      <c r="F164">
        <f>_xlfn.XLOOKUP(A164,'Subbu- Mini Project EXcel Clean'!A164:A1163,'Subbu- Mini Project EXcel Clean'!P164:P1163," ",0)</f>
        <v>6</v>
      </c>
      <c r="G164" t="str">
        <f>_xlfn.XLOOKUP(A164,'Subbu- Mini Project EXcel Clean'!A164:A1163,'Subbu- Mini Project EXcel Clean'!Q164:Q1163," ",0)</f>
        <v>Moderate</v>
      </c>
      <c r="H164">
        <f>VLOOKUP(A164,'Subbu- Mini Project EXcel Clean'!A163:R1163,15,FALSE)</f>
        <v>3.1</v>
      </c>
    </row>
    <row r="165" spans="1:8" x14ac:dyDescent="0.25">
      <c r="A165" t="s">
        <v>193</v>
      </c>
      <c r="B165">
        <f>_xlfn.XLOOKUP(A165,'Subbu- Mini Project EXcel Clean'!A165:A1164,'Subbu- Mini Project EXcel Clean'!I165:I1164,"Entry Level",0)</f>
        <v>4</v>
      </c>
      <c r="C165" t="str">
        <f>_xlfn.XLOOKUP(A165,'Subbu- Mini Project EXcel Clean'!A165:A1164,'Subbu- Mini Project EXcel Clean'!J165:J1164," ",0)</f>
        <v>Excellent</v>
      </c>
      <c r="D165">
        <f>_xlfn.XLOOKUP(A165,'Subbu- Mini Project EXcel Clean'!A165:A1164,'Subbu- Mini Project EXcel Clean'!N165:N1164,"entry Level",0)</f>
        <v>6.7</v>
      </c>
      <c r="E165">
        <f>_xlfn.XLOOKUP(A165,'Subbu- Mini Project EXcel Clean'!A165:A1164,'Subbu- Mini Project EXcel Clean'!M165:M1164," ",0)</f>
        <v>87</v>
      </c>
      <c r="F165">
        <f>_xlfn.XLOOKUP(A165,'Subbu- Mini Project EXcel Clean'!A165:A1164,'Subbu- Mini Project EXcel Clean'!P165:P1164," ",0)</f>
        <v>3</v>
      </c>
      <c r="G165" t="str">
        <f>_xlfn.XLOOKUP(A165,'Subbu- Mini Project EXcel Clean'!A165:A1164,'Subbu- Mini Project EXcel Clean'!Q165:Q1164," ",0)</f>
        <v>Moderate</v>
      </c>
      <c r="H165">
        <f>VLOOKUP(A165,'Subbu- Mini Project EXcel Clean'!A164:R1164,15,FALSE)</f>
        <v>2.5</v>
      </c>
    </row>
    <row r="166" spans="1:8" x14ac:dyDescent="0.25">
      <c r="A166" t="s">
        <v>194</v>
      </c>
      <c r="B166">
        <f>_xlfn.XLOOKUP(A166,'Subbu- Mini Project EXcel Clean'!A166:A1165,'Subbu- Mini Project EXcel Clean'!I166:I1165,"Entry Level",0)</f>
        <v>3</v>
      </c>
      <c r="C166" t="str">
        <f>_xlfn.XLOOKUP(A166,'Subbu- Mini Project EXcel Clean'!A166:A1165,'Subbu- Mini Project EXcel Clean'!J166:J1165," ",0)</f>
        <v>Consistent</v>
      </c>
      <c r="D166">
        <f>_xlfn.XLOOKUP(A166,'Subbu- Mini Project EXcel Clean'!A166:A1165,'Subbu- Mini Project EXcel Clean'!N166:N1165,"entry Level",0)</f>
        <v>7.1</v>
      </c>
      <c r="E166">
        <f>_xlfn.XLOOKUP(A166,'Subbu- Mini Project EXcel Clean'!A166:A1165,'Subbu- Mini Project EXcel Clean'!M166:M1165," ",0)</f>
        <v>72.099999999999994</v>
      </c>
      <c r="F166">
        <f>_xlfn.XLOOKUP(A166,'Subbu- Mini Project EXcel Clean'!A166:A1165,'Subbu- Mini Project EXcel Clean'!P166:P1165," ",0)</f>
        <v>1</v>
      </c>
      <c r="G166" t="str">
        <f>_xlfn.XLOOKUP(A166,'Subbu- Mini Project EXcel Clean'!A166:A1165,'Subbu- Mini Project EXcel Clean'!Q166:Q1165," ",0)</f>
        <v>Low</v>
      </c>
      <c r="H166">
        <f>VLOOKUP(A166,'Subbu- Mini Project EXcel Clean'!A165:R1165,15,FALSE)</f>
        <v>2.4</v>
      </c>
    </row>
    <row r="167" spans="1:8" x14ac:dyDescent="0.25">
      <c r="A167" t="s">
        <v>195</v>
      </c>
      <c r="B167">
        <f>_xlfn.XLOOKUP(A167,'Subbu- Mini Project EXcel Clean'!A167:A1166,'Subbu- Mini Project EXcel Clean'!I167:I1166,"Entry Level",0)</f>
        <v>4</v>
      </c>
      <c r="C167" t="str">
        <f>_xlfn.XLOOKUP(A167,'Subbu- Mini Project EXcel Clean'!A167:A1166,'Subbu- Mini Project EXcel Clean'!J167:J1166," ",0)</f>
        <v>Excellent</v>
      </c>
      <c r="D167">
        <f>_xlfn.XLOOKUP(A167,'Subbu- Mini Project EXcel Clean'!A167:A1166,'Subbu- Mini Project EXcel Clean'!N167:N1166,"entry Level",0)</f>
        <v>5.2</v>
      </c>
      <c r="E167">
        <f>_xlfn.XLOOKUP(A167,'Subbu- Mini Project EXcel Clean'!A167:A1166,'Subbu- Mini Project EXcel Clean'!M167:M1166," ",0)</f>
        <v>89.7</v>
      </c>
      <c r="F167">
        <f>_xlfn.XLOOKUP(A167,'Subbu- Mini Project EXcel Clean'!A167:A1166,'Subbu- Mini Project EXcel Clean'!P167:P1166," ",0)</f>
        <v>1</v>
      </c>
      <c r="G167" t="str">
        <f>_xlfn.XLOOKUP(A167,'Subbu- Mini Project EXcel Clean'!A167:A1166,'Subbu- Mini Project EXcel Clean'!Q167:Q1166," ",0)</f>
        <v>Low</v>
      </c>
      <c r="H167">
        <f>VLOOKUP(A167,'Subbu- Mini Project EXcel Clean'!A166:R1166,15,FALSE)</f>
        <v>5.9</v>
      </c>
    </row>
    <row r="168" spans="1:8" x14ac:dyDescent="0.25">
      <c r="A168" t="s">
        <v>196</v>
      </c>
      <c r="B168">
        <f>_xlfn.XLOOKUP(A168,'Subbu- Mini Project EXcel Clean'!A168:A1167,'Subbu- Mini Project EXcel Clean'!I168:I1167,"Entry Level",0)</f>
        <v>2</v>
      </c>
      <c r="C168" t="str">
        <f>_xlfn.XLOOKUP(A168,'Subbu- Mini Project EXcel Clean'!A168:A1167,'Subbu- Mini Project EXcel Clean'!J168:J1167," ",0)</f>
        <v>Consistent</v>
      </c>
      <c r="D168">
        <f>_xlfn.XLOOKUP(A168,'Subbu- Mini Project EXcel Clean'!A168:A1167,'Subbu- Mini Project EXcel Clean'!N168:N1167,"entry Level",0)</f>
        <v>7.1</v>
      </c>
      <c r="E168">
        <f>_xlfn.XLOOKUP(A168,'Subbu- Mini Project EXcel Clean'!A168:A1167,'Subbu- Mini Project EXcel Clean'!M168:M1167," ",0)</f>
        <v>69</v>
      </c>
      <c r="F168">
        <f>_xlfn.XLOOKUP(A168,'Subbu- Mini Project EXcel Clean'!A168:A1167,'Subbu- Mini Project EXcel Clean'!P168:P1167," ",0)</f>
        <v>7</v>
      </c>
      <c r="G168" t="str">
        <f>_xlfn.XLOOKUP(A168,'Subbu- Mini Project EXcel Clean'!A168:A1167,'Subbu- Mini Project EXcel Clean'!Q168:Q1167," ",0)</f>
        <v>High</v>
      </c>
      <c r="H168">
        <f>VLOOKUP(A168,'Subbu- Mini Project EXcel Clean'!A167:R1167,15,FALSE)</f>
        <v>1.8</v>
      </c>
    </row>
    <row r="169" spans="1:8" x14ac:dyDescent="0.25">
      <c r="A169" t="s">
        <v>197</v>
      </c>
      <c r="B169">
        <f>_xlfn.XLOOKUP(A169,'Subbu- Mini Project EXcel Clean'!A169:A1168,'Subbu- Mini Project EXcel Clean'!I169:I1168,"Entry Level",0)</f>
        <v>4</v>
      </c>
      <c r="C169" t="str">
        <f>_xlfn.XLOOKUP(A169,'Subbu- Mini Project EXcel Clean'!A169:A1168,'Subbu- Mini Project EXcel Clean'!J169:J1168," ",0)</f>
        <v>Excellent</v>
      </c>
      <c r="D169">
        <f>_xlfn.XLOOKUP(A169,'Subbu- Mini Project EXcel Clean'!A169:A1168,'Subbu- Mini Project EXcel Clean'!N169:N1168,"entry Level",0)</f>
        <v>6.4</v>
      </c>
      <c r="E169">
        <f>_xlfn.XLOOKUP(A169,'Subbu- Mini Project EXcel Clean'!A169:A1168,'Subbu- Mini Project EXcel Clean'!M169:M1168," ",0)</f>
        <v>87.8</v>
      </c>
      <c r="F169">
        <f>_xlfn.XLOOKUP(A169,'Subbu- Mini Project EXcel Clean'!A169:A1168,'Subbu- Mini Project EXcel Clean'!P169:P1168," ",0)</f>
        <v>2</v>
      </c>
      <c r="G169" t="str">
        <f>_xlfn.XLOOKUP(A169,'Subbu- Mini Project EXcel Clean'!A169:A1168,'Subbu- Mini Project EXcel Clean'!Q169:Q1168," ",0)</f>
        <v>Low</v>
      </c>
      <c r="H169">
        <f>VLOOKUP(A169,'Subbu- Mini Project EXcel Clean'!A168:R1168,15,FALSE)</f>
        <v>4.7</v>
      </c>
    </row>
    <row r="170" spans="1:8" x14ac:dyDescent="0.25">
      <c r="A170" t="s">
        <v>198</v>
      </c>
      <c r="B170">
        <f>_xlfn.XLOOKUP(A170,'Subbu- Mini Project EXcel Clean'!A170:A1169,'Subbu- Mini Project EXcel Clean'!I170:I1169,"Entry Level",0)</f>
        <v>2</v>
      </c>
      <c r="C170" t="str">
        <f>_xlfn.XLOOKUP(A170,'Subbu- Mini Project EXcel Clean'!A170:A1169,'Subbu- Mini Project EXcel Clean'!J170:J1169," ",0)</f>
        <v>Consistent</v>
      </c>
      <c r="D170">
        <f>_xlfn.XLOOKUP(A170,'Subbu- Mini Project EXcel Clean'!A170:A1169,'Subbu- Mini Project EXcel Clean'!N170:N1169,"entry Level",0)</f>
        <v>8</v>
      </c>
      <c r="E170">
        <f>_xlfn.XLOOKUP(A170,'Subbu- Mini Project EXcel Clean'!A170:A1169,'Subbu- Mini Project EXcel Clean'!M170:M1169," ",0)</f>
        <v>68.900000000000006</v>
      </c>
      <c r="F170">
        <f>_xlfn.XLOOKUP(A170,'Subbu- Mini Project EXcel Clean'!A170:A1169,'Subbu- Mini Project EXcel Clean'!P170:P1169," ",0)</f>
        <v>2</v>
      </c>
      <c r="G170" t="str">
        <f>_xlfn.XLOOKUP(A170,'Subbu- Mini Project EXcel Clean'!A170:A1169,'Subbu- Mini Project EXcel Clean'!Q170:Q1169," ",0)</f>
        <v>Low</v>
      </c>
      <c r="H170">
        <f>VLOOKUP(A170,'Subbu- Mini Project EXcel Clean'!A169:R1169,15,FALSE)</f>
        <v>1</v>
      </c>
    </row>
    <row r="171" spans="1:8" x14ac:dyDescent="0.25">
      <c r="A171" t="s">
        <v>199</v>
      </c>
      <c r="B171">
        <f>_xlfn.XLOOKUP(A171,'Subbu- Mini Project EXcel Clean'!A171:A1170,'Subbu- Mini Project EXcel Clean'!I171:I1170,"Entry Level",0)</f>
        <v>4</v>
      </c>
      <c r="C171" t="str">
        <f>_xlfn.XLOOKUP(A171,'Subbu- Mini Project EXcel Clean'!A171:A1170,'Subbu- Mini Project EXcel Clean'!J171:J1170," ",0)</f>
        <v>Excellent</v>
      </c>
      <c r="D171">
        <f>_xlfn.XLOOKUP(A171,'Subbu- Mini Project EXcel Clean'!A171:A1170,'Subbu- Mini Project EXcel Clean'!N171:N1170,"entry Level",0)</f>
        <v>6.8</v>
      </c>
      <c r="E171">
        <f>_xlfn.XLOOKUP(A171,'Subbu- Mini Project EXcel Clean'!A171:A1170,'Subbu- Mini Project EXcel Clean'!M171:M1170," ",0)</f>
        <v>94.8</v>
      </c>
      <c r="F171">
        <f>_xlfn.XLOOKUP(A171,'Subbu- Mini Project EXcel Clean'!A171:A1170,'Subbu- Mini Project EXcel Clean'!P171:P1170," ",0)</f>
        <v>1</v>
      </c>
      <c r="G171" t="str">
        <f>_xlfn.XLOOKUP(A171,'Subbu- Mini Project EXcel Clean'!A171:A1170,'Subbu- Mini Project EXcel Clean'!Q171:Q1170," ",0)</f>
        <v>Low</v>
      </c>
      <c r="H171">
        <f>VLOOKUP(A171,'Subbu- Mini Project EXcel Clean'!A170:R1170,15,FALSE)</f>
        <v>4</v>
      </c>
    </row>
    <row r="172" spans="1:8" x14ac:dyDescent="0.25">
      <c r="A172" t="s">
        <v>200</v>
      </c>
      <c r="B172">
        <f>_xlfn.XLOOKUP(A172,'Subbu- Mini Project EXcel Clean'!A172:A1171,'Subbu- Mini Project EXcel Clean'!I172:I1171,"Entry Level",0)</f>
        <v>3</v>
      </c>
      <c r="C172" t="str">
        <f>_xlfn.XLOOKUP(A172,'Subbu- Mini Project EXcel Clean'!A172:A1171,'Subbu- Mini Project EXcel Clean'!J172:J1171," ",0)</f>
        <v>Excellent</v>
      </c>
      <c r="D172">
        <f>_xlfn.XLOOKUP(A172,'Subbu- Mini Project EXcel Clean'!A172:A1171,'Subbu- Mini Project EXcel Clean'!N172:N1171,"entry Level",0)</f>
        <v>6.7</v>
      </c>
      <c r="E172">
        <f>_xlfn.XLOOKUP(A172,'Subbu- Mini Project EXcel Clean'!A172:A1171,'Subbu- Mini Project EXcel Clean'!M172:M1171," ",0)</f>
        <v>77.900000000000006</v>
      </c>
      <c r="F172">
        <f>_xlfn.XLOOKUP(A172,'Subbu- Mini Project EXcel Clean'!A172:A1171,'Subbu- Mini Project EXcel Clean'!P172:P1171," ",0)</f>
        <v>2</v>
      </c>
      <c r="G172" t="str">
        <f>_xlfn.XLOOKUP(A172,'Subbu- Mini Project EXcel Clean'!A172:A1171,'Subbu- Mini Project EXcel Clean'!Q172:Q1171," ",0)</f>
        <v>Low</v>
      </c>
      <c r="H172">
        <f>VLOOKUP(A172,'Subbu- Mini Project EXcel Clean'!A171:R1171,15,FALSE)</f>
        <v>5.6</v>
      </c>
    </row>
    <row r="173" spans="1:8" x14ac:dyDescent="0.25">
      <c r="A173" t="s">
        <v>201</v>
      </c>
      <c r="B173">
        <f>_xlfn.XLOOKUP(A173,'Subbu- Mini Project EXcel Clean'!A173:A1172,'Subbu- Mini Project EXcel Clean'!I173:I1172,"Entry Level",0)</f>
        <v>2</v>
      </c>
      <c r="C173" t="str">
        <f>_xlfn.XLOOKUP(A173,'Subbu- Mini Project EXcel Clean'!A173:A1172,'Subbu- Mini Project EXcel Clean'!J173:J1172," ",0)</f>
        <v>Consistent</v>
      </c>
      <c r="D173">
        <f>_xlfn.XLOOKUP(A173,'Subbu- Mini Project EXcel Clean'!A173:A1172,'Subbu- Mini Project EXcel Clean'!N173:N1172,"entry Level",0)</f>
        <v>7.9</v>
      </c>
      <c r="E173">
        <f>_xlfn.XLOOKUP(A173,'Subbu- Mini Project EXcel Clean'!A173:A1172,'Subbu- Mini Project EXcel Clean'!M173:M1172," ",0)</f>
        <v>68.3</v>
      </c>
      <c r="F173">
        <f>_xlfn.XLOOKUP(A173,'Subbu- Mini Project EXcel Clean'!A173:A1172,'Subbu- Mini Project EXcel Clean'!P173:P1172," ",0)</f>
        <v>1</v>
      </c>
      <c r="G173" t="str">
        <f>_xlfn.XLOOKUP(A173,'Subbu- Mini Project EXcel Clean'!A173:A1172,'Subbu- Mini Project EXcel Clean'!Q173:Q1172," ",0)</f>
        <v>Low</v>
      </c>
      <c r="H173">
        <f>VLOOKUP(A173,'Subbu- Mini Project EXcel Clean'!A172:R1172,15,FALSE)</f>
        <v>2.4</v>
      </c>
    </row>
    <row r="174" spans="1:8" x14ac:dyDescent="0.25">
      <c r="A174" t="s">
        <v>202</v>
      </c>
      <c r="B174">
        <f>_xlfn.XLOOKUP(A174,'Subbu- Mini Project EXcel Clean'!A174:A1173,'Subbu- Mini Project EXcel Clean'!I174:I1173,"Entry Level",0)</f>
        <v>2</v>
      </c>
      <c r="C174" t="str">
        <f>_xlfn.XLOOKUP(A174,'Subbu- Mini Project EXcel Clean'!A174:A1173,'Subbu- Mini Project EXcel Clean'!J174:J1173," ",0)</f>
        <v>Consistent</v>
      </c>
      <c r="D174">
        <f>_xlfn.XLOOKUP(A174,'Subbu- Mini Project EXcel Clean'!A174:A1173,'Subbu- Mini Project EXcel Clean'!N174:N1173,"entry Level",0)</f>
        <v>8</v>
      </c>
      <c r="E174">
        <f>_xlfn.XLOOKUP(A174,'Subbu- Mini Project EXcel Clean'!A174:A1173,'Subbu- Mini Project EXcel Clean'!M174:M1173," ",0)</f>
        <v>64.900000000000006</v>
      </c>
      <c r="F174">
        <f>_xlfn.XLOOKUP(A174,'Subbu- Mini Project EXcel Clean'!A174:A1173,'Subbu- Mini Project EXcel Clean'!P174:P1173," ",0)</f>
        <v>1</v>
      </c>
      <c r="G174" t="str">
        <f>_xlfn.XLOOKUP(A174,'Subbu- Mini Project EXcel Clean'!A174:A1173,'Subbu- Mini Project EXcel Clean'!Q174:Q1173," ",0)</f>
        <v>Low</v>
      </c>
      <c r="H174">
        <f>VLOOKUP(A174,'Subbu- Mini Project EXcel Clean'!A173:R1173,15,FALSE)</f>
        <v>1.9</v>
      </c>
    </row>
    <row r="175" spans="1:8" x14ac:dyDescent="0.25">
      <c r="A175" t="s">
        <v>203</v>
      </c>
      <c r="B175">
        <f>_xlfn.XLOOKUP(A175,'Subbu- Mini Project EXcel Clean'!A175:A1174,'Subbu- Mini Project EXcel Clean'!I175:I1174,"Entry Level",0)</f>
        <v>4</v>
      </c>
      <c r="C175" t="str">
        <f>_xlfn.XLOOKUP(A175,'Subbu- Mini Project EXcel Clean'!A175:A1174,'Subbu- Mini Project EXcel Clean'!J175:J1174," ",0)</f>
        <v>Excellent</v>
      </c>
      <c r="D175">
        <f>_xlfn.XLOOKUP(A175,'Subbu- Mini Project EXcel Clean'!A175:A1174,'Subbu- Mini Project EXcel Clean'!N175:N1174,"entry Level",0)</f>
        <v>7</v>
      </c>
      <c r="E175">
        <f>_xlfn.XLOOKUP(A175,'Subbu- Mini Project EXcel Clean'!A175:A1174,'Subbu- Mini Project EXcel Clean'!M175:M1174," ",0)</f>
        <v>93.5</v>
      </c>
      <c r="F175">
        <f>_xlfn.XLOOKUP(A175,'Subbu- Mini Project EXcel Clean'!A175:A1174,'Subbu- Mini Project EXcel Clean'!P175:P1174," ",0)</f>
        <v>1</v>
      </c>
      <c r="G175" t="str">
        <f>_xlfn.XLOOKUP(A175,'Subbu- Mini Project EXcel Clean'!A175:A1174,'Subbu- Mini Project EXcel Clean'!Q175:Q1174," ",0)</f>
        <v>Low</v>
      </c>
      <c r="H175">
        <f>VLOOKUP(A175,'Subbu- Mini Project EXcel Clean'!A174:R1174,15,FALSE)</f>
        <v>4.3</v>
      </c>
    </row>
    <row r="176" spans="1:8" x14ac:dyDescent="0.25">
      <c r="A176" t="s">
        <v>204</v>
      </c>
      <c r="B176">
        <f>_xlfn.XLOOKUP(A176,'Subbu- Mini Project EXcel Clean'!A176:A1175,'Subbu- Mini Project EXcel Clean'!I176:I1175,"Entry Level",0)</f>
        <v>3</v>
      </c>
      <c r="C176" t="str">
        <f>_xlfn.XLOOKUP(A176,'Subbu- Mini Project EXcel Clean'!A176:A1175,'Subbu- Mini Project EXcel Clean'!J176:J1175," ",0)</f>
        <v>Consistent</v>
      </c>
      <c r="D176">
        <f>_xlfn.XLOOKUP(A176,'Subbu- Mini Project EXcel Clean'!A176:A1175,'Subbu- Mini Project EXcel Clean'!N176:N1175,"entry Level",0)</f>
        <v>6.6</v>
      </c>
      <c r="E176">
        <f>_xlfn.XLOOKUP(A176,'Subbu- Mini Project EXcel Clean'!A176:A1175,'Subbu- Mini Project EXcel Clean'!M176:M1175," ",0)</f>
        <v>81.900000000000006</v>
      </c>
      <c r="F176">
        <f>_xlfn.XLOOKUP(A176,'Subbu- Mini Project EXcel Clean'!A176:A1175,'Subbu- Mini Project EXcel Clean'!P176:P1175," ",0)</f>
        <v>4</v>
      </c>
      <c r="G176" t="str">
        <f>_xlfn.XLOOKUP(A176,'Subbu- Mini Project EXcel Clean'!A176:A1175,'Subbu- Mini Project EXcel Clean'!Q176:Q1175," ",0)</f>
        <v>Moderate</v>
      </c>
      <c r="H176">
        <f>VLOOKUP(A176,'Subbu- Mini Project EXcel Clean'!A175:R1175,15,FALSE)</f>
        <v>4.5999999999999996</v>
      </c>
    </row>
    <row r="177" spans="1:8" x14ac:dyDescent="0.25">
      <c r="A177" t="s">
        <v>205</v>
      </c>
      <c r="B177">
        <f>_xlfn.XLOOKUP(A177,'Subbu- Mini Project EXcel Clean'!A177:A1176,'Subbu- Mini Project EXcel Clean'!I177:I1176,"Entry Level",0)</f>
        <v>2</v>
      </c>
      <c r="C177" t="str">
        <f>_xlfn.XLOOKUP(A177,'Subbu- Mini Project EXcel Clean'!A177:A1176,'Subbu- Mini Project EXcel Clean'!J177:J1176," ",0)</f>
        <v>Consistent</v>
      </c>
      <c r="D177">
        <f>_xlfn.XLOOKUP(A177,'Subbu- Mini Project EXcel Clean'!A177:A1176,'Subbu- Mini Project EXcel Clean'!N177:N1176,"entry Level",0)</f>
        <v>6.2</v>
      </c>
      <c r="E177">
        <f>_xlfn.XLOOKUP(A177,'Subbu- Mini Project EXcel Clean'!A177:A1176,'Subbu- Mini Project EXcel Clean'!M177:M1176," ",0)</f>
        <v>71.099999999999994</v>
      </c>
      <c r="F177">
        <f>_xlfn.XLOOKUP(A177,'Subbu- Mini Project EXcel Clean'!A177:A1176,'Subbu- Mini Project EXcel Clean'!P177:P1176," ",0)</f>
        <v>1</v>
      </c>
      <c r="G177" t="str">
        <f>_xlfn.XLOOKUP(A177,'Subbu- Mini Project EXcel Clean'!A177:A1176,'Subbu- Mini Project EXcel Clean'!Q177:Q1176," ",0)</f>
        <v>Low</v>
      </c>
      <c r="H177">
        <f>VLOOKUP(A177,'Subbu- Mini Project EXcel Clean'!A176:R1176,15,FALSE)</f>
        <v>4.4000000000000004</v>
      </c>
    </row>
    <row r="178" spans="1:8" x14ac:dyDescent="0.25">
      <c r="A178" t="s">
        <v>206</v>
      </c>
      <c r="B178">
        <f>_xlfn.XLOOKUP(A178,'Subbu- Mini Project EXcel Clean'!A178:A1177,'Subbu- Mini Project EXcel Clean'!I178:I1177,"Entry Level",0)</f>
        <v>5</v>
      </c>
      <c r="C178" t="str">
        <f>_xlfn.XLOOKUP(A178,'Subbu- Mini Project EXcel Clean'!A178:A1177,'Subbu- Mini Project EXcel Clean'!J178:J1177," ",0)</f>
        <v>Good</v>
      </c>
      <c r="D178">
        <f>_xlfn.XLOOKUP(A178,'Subbu- Mini Project EXcel Clean'!A178:A1177,'Subbu- Mini Project EXcel Clean'!N178:N1177,"entry Level",0)</f>
        <v>7.6</v>
      </c>
      <c r="E178">
        <f>_xlfn.XLOOKUP(A178,'Subbu- Mini Project EXcel Clean'!A178:A1177,'Subbu- Mini Project EXcel Clean'!M178:M1177," ",0)</f>
        <v>98.7</v>
      </c>
      <c r="F178">
        <f>_xlfn.XLOOKUP(A178,'Subbu- Mini Project EXcel Clean'!A178:A1177,'Subbu- Mini Project EXcel Clean'!P178:P1177," ",0)</f>
        <v>1</v>
      </c>
      <c r="G178" t="str">
        <f>_xlfn.XLOOKUP(A178,'Subbu- Mini Project EXcel Clean'!A178:A1177,'Subbu- Mini Project EXcel Clean'!Q178:Q1177," ",0)</f>
        <v>Low</v>
      </c>
      <c r="H178">
        <f>VLOOKUP(A178,'Subbu- Mini Project EXcel Clean'!A177:R1177,15,FALSE)</f>
        <v>2.6</v>
      </c>
    </row>
    <row r="179" spans="1:8" x14ac:dyDescent="0.25">
      <c r="A179" t="s">
        <v>207</v>
      </c>
      <c r="B179">
        <f>_xlfn.XLOOKUP(A179,'Subbu- Mini Project EXcel Clean'!A179:A1178,'Subbu- Mini Project EXcel Clean'!I179:I1178,"Entry Level",0)</f>
        <v>4</v>
      </c>
      <c r="C179" t="str">
        <f>_xlfn.XLOOKUP(A179,'Subbu- Mini Project EXcel Clean'!A179:A1178,'Subbu- Mini Project EXcel Clean'!J179:J1178," ",0)</f>
        <v>Excellent</v>
      </c>
      <c r="D179">
        <f>_xlfn.XLOOKUP(A179,'Subbu- Mini Project EXcel Clean'!A179:A1178,'Subbu- Mini Project EXcel Clean'!N179:N1178,"entry Level",0)</f>
        <v>8.1999999999999993</v>
      </c>
      <c r="E179">
        <f>_xlfn.XLOOKUP(A179,'Subbu- Mini Project EXcel Clean'!A179:A1178,'Subbu- Mini Project EXcel Clean'!M179:M1178," ",0)</f>
        <v>90.7</v>
      </c>
      <c r="F179">
        <f>_xlfn.XLOOKUP(A179,'Subbu- Mini Project EXcel Clean'!A179:A1178,'Subbu- Mini Project EXcel Clean'!P179:P1178," ",0)</f>
        <v>5</v>
      </c>
      <c r="G179" t="str">
        <f>_xlfn.XLOOKUP(A179,'Subbu- Mini Project EXcel Clean'!A179:A1178,'Subbu- Mini Project EXcel Clean'!Q179:Q1178," ",0)</f>
        <v>Moderate</v>
      </c>
      <c r="H179">
        <f>VLOOKUP(A179,'Subbu- Mini Project EXcel Clean'!A178:R1178,15,FALSE)</f>
        <v>2.2999999999999998</v>
      </c>
    </row>
    <row r="180" spans="1:8" x14ac:dyDescent="0.25">
      <c r="A180" t="s">
        <v>208</v>
      </c>
      <c r="B180">
        <f>_xlfn.XLOOKUP(A180,'Subbu- Mini Project EXcel Clean'!A180:A1179,'Subbu- Mini Project EXcel Clean'!I180:I1179,"Entry Level",0)</f>
        <v>5</v>
      </c>
      <c r="C180" t="str">
        <f>_xlfn.XLOOKUP(A180,'Subbu- Mini Project EXcel Clean'!A180:A1179,'Subbu- Mini Project EXcel Clean'!J180:J1179," ",0)</f>
        <v>Good</v>
      </c>
      <c r="D180">
        <f>_xlfn.XLOOKUP(A180,'Subbu- Mini Project EXcel Clean'!A180:A1179,'Subbu- Mini Project EXcel Clean'!N180:N1179,"entry Level",0)</f>
        <v>6.4</v>
      </c>
      <c r="E180">
        <f>_xlfn.XLOOKUP(A180,'Subbu- Mini Project EXcel Clean'!A180:A1179,'Subbu- Mini Project EXcel Clean'!M180:M1179," ",0)</f>
        <v>106.3</v>
      </c>
      <c r="F180">
        <f>_xlfn.XLOOKUP(A180,'Subbu- Mini Project EXcel Clean'!A180:A1179,'Subbu- Mini Project EXcel Clean'!P180:P1179," ",0)</f>
        <v>1</v>
      </c>
      <c r="G180" t="str">
        <f>_xlfn.XLOOKUP(A180,'Subbu- Mini Project EXcel Clean'!A180:A1179,'Subbu- Mini Project EXcel Clean'!Q180:Q1179," ",0)</f>
        <v>Low</v>
      </c>
      <c r="H180">
        <f>VLOOKUP(A180,'Subbu- Mini Project EXcel Clean'!A179:R1179,15,FALSE)</f>
        <v>5.8</v>
      </c>
    </row>
    <row r="181" spans="1:8" x14ac:dyDescent="0.25">
      <c r="A181" t="s">
        <v>209</v>
      </c>
      <c r="B181">
        <f>_xlfn.XLOOKUP(A181,'Subbu- Mini Project EXcel Clean'!A181:A1180,'Subbu- Mini Project EXcel Clean'!I181:I1180,"Entry Level",0)</f>
        <v>3</v>
      </c>
      <c r="C181" t="str">
        <f>_xlfn.XLOOKUP(A181,'Subbu- Mini Project EXcel Clean'!A181:A1180,'Subbu- Mini Project EXcel Clean'!J181:J1180," ",0)</f>
        <v>Consistent</v>
      </c>
      <c r="D181">
        <f>_xlfn.XLOOKUP(A181,'Subbu- Mini Project EXcel Clean'!A181:A1180,'Subbu- Mini Project EXcel Clean'!N181:N1180,"entry Level",0)</f>
        <v>7.3</v>
      </c>
      <c r="E181">
        <f>_xlfn.XLOOKUP(A181,'Subbu- Mini Project EXcel Clean'!A181:A1180,'Subbu- Mini Project EXcel Clean'!M181:M1180," ",0)</f>
        <v>75.7</v>
      </c>
      <c r="F181">
        <f>_xlfn.XLOOKUP(A181,'Subbu- Mini Project EXcel Clean'!A181:A1180,'Subbu- Mini Project EXcel Clean'!P181:P1180," ",0)</f>
        <v>5</v>
      </c>
      <c r="G181" t="str">
        <f>_xlfn.XLOOKUP(A181,'Subbu- Mini Project EXcel Clean'!A181:A1180,'Subbu- Mini Project EXcel Clean'!Q181:Q1180," ",0)</f>
        <v>Moderate</v>
      </c>
      <c r="H181">
        <f>VLOOKUP(A181,'Subbu- Mini Project EXcel Clean'!A180:R1180,15,FALSE)</f>
        <v>5.6</v>
      </c>
    </row>
    <row r="182" spans="1:8" x14ac:dyDescent="0.25">
      <c r="A182" t="s">
        <v>210</v>
      </c>
      <c r="B182">
        <f>_xlfn.XLOOKUP(A182,'Subbu- Mini Project EXcel Clean'!A182:A1181,'Subbu- Mini Project EXcel Clean'!I182:I1181,"Entry Level",0)</f>
        <v>3</v>
      </c>
      <c r="C182" t="str">
        <f>_xlfn.XLOOKUP(A182,'Subbu- Mini Project EXcel Clean'!A182:A1181,'Subbu- Mini Project EXcel Clean'!J182:J1181," ",0)</f>
        <v>Consistent</v>
      </c>
      <c r="D182">
        <f>_xlfn.XLOOKUP(A182,'Subbu- Mini Project EXcel Clean'!A182:A1181,'Subbu- Mini Project EXcel Clean'!N182:N1181,"entry Level",0)</f>
        <v>6.3</v>
      </c>
      <c r="E182">
        <f>_xlfn.XLOOKUP(A182,'Subbu- Mini Project EXcel Clean'!A182:A1181,'Subbu- Mini Project EXcel Clean'!M182:M1181," ",0)</f>
        <v>79.7</v>
      </c>
      <c r="F182">
        <f>_xlfn.XLOOKUP(A182,'Subbu- Mini Project EXcel Clean'!A182:A1181,'Subbu- Mini Project EXcel Clean'!P182:P1181," ",0)</f>
        <v>2</v>
      </c>
      <c r="G182" t="str">
        <f>_xlfn.XLOOKUP(A182,'Subbu- Mini Project EXcel Clean'!A182:A1181,'Subbu- Mini Project EXcel Clean'!Q182:Q1181," ",0)</f>
        <v>Low</v>
      </c>
      <c r="H182">
        <f>VLOOKUP(A182,'Subbu- Mini Project EXcel Clean'!A181:R1181,15,FALSE)</f>
        <v>3.3</v>
      </c>
    </row>
    <row r="183" spans="1:8" x14ac:dyDescent="0.25">
      <c r="A183" t="s">
        <v>211</v>
      </c>
      <c r="B183">
        <f>_xlfn.XLOOKUP(A183,'Subbu- Mini Project EXcel Clean'!A183:A1182,'Subbu- Mini Project EXcel Clean'!I183:I1182,"Entry Level",0)</f>
        <v>5</v>
      </c>
      <c r="C183" t="str">
        <f>_xlfn.XLOOKUP(A183,'Subbu- Mini Project EXcel Clean'!A183:A1182,'Subbu- Mini Project EXcel Clean'!J183:J1182," ",0)</f>
        <v>Good</v>
      </c>
      <c r="D183">
        <f>_xlfn.XLOOKUP(A183,'Subbu- Mini Project EXcel Clean'!A183:A1182,'Subbu- Mini Project EXcel Clean'!N183:N1182,"entry Level",0)</f>
        <v>5.9</v>
      </c>
      <c r="E183">
        <f>_xlfn.XLOOKUP(A183,'Subbu- Mini Project EXcel Clean'!A183:A1182,'Subbu- Mini Project EXcel Clean'!M183:M1182," ",0)</f>
        <v>90.5</v>
      </c>
      <c r="F183">
        <f>_xlfn.XLOOKUP(A183,'Subbu- Mini Project EXcel Clean'!A183:A1182,'Subbu- Mini Project EXcel Clean'!P183:P1182," ",0)</f>
        <v>1</v>
      </c>
      <c r="G183" t="str">
        <f>_xlfn.XLOOKUP(A183,'Subbu- Mini Project EXcel Clean'!A183:A1182,'Subbu- Mini Project EXcel Clean'!Q183:Q1182," ",0)</f>
        <v>Low</v>
      </c>
      <c r="H183">
        <f>VLOOKUP(A183,'Subbu- Mini Project EXcel Clean'!A182:R1182,15,FALSE)</f>
        <v>5.2</v>
      </c>
    </row>
    <row r="184" spans="1:8" x14ac:dyDescent="0.25">
      <c r="A184" t="s">
        <v>212</v>
      </c>
      <c r="B184">
        <f>_xlfn.XLOOKUP(A184,'Subbu- Mini Project EXcel Clean'!A184:A1183,'Subbu- Mini Project EXcel Clean'!I184:I1183,"Entry Level",0)</f>
        <v>3</v>
      </c>
      <c r="C184" t="str">
        <f>_xlfn.XLOOKUP(A184,'Subbu- Mini Project EXcel Clean'!A184:A1183,'Subbu- Mini Project EXcel Clean'!J184:J1183," ",0)</f>
        <v>Excellent</v>
      </c>
      <c r="D184">
        <f>_xlfn.XLOOKUP(A184,'Subbu- Mini Project EXcel Clean'!A184:A1183,'Subbu- Mini Project EXcel Clean'!N184:N1183,"entry Level",0)</f>
        <v>7.4</v>
      </c>
      <c r="E184">
        <f>_xlfn.XLOOKUP(A184,'Subbu- Mini Project EXcel Clean'!A184:A1183,'Subbu- Mini Project EXcel Clean'!M184:M1183," ",0)</f>
        <v>76.7</v>
      </c>
      <c r="F184">
        <f>_xlfn.XLOOKUP(A184,'Subbu- Mini Project EXcel Clean'!A184:A1183,'Subbu- Mini Project EXcel Clean'!P184:P1183," ",0)</f>
        <v>4</v>
      </c>
      <c r="G184" t="str">
        <f>_xlfn.XLOOKUP(A184,'Subbu- Mini Project EXcel Clean'!A184:A1183,'Subbu- Mini Project EXcel Clean'!Q184:Q1183," ",0)</f>
        <v>Moderate</v>
      </c>
      <c r="H184">
        <f>VLOOKUP(A184,'Subbu- Mini Project EXcel Clean'!A183:R1183,15,FALSE)</f>
        <v>3.3</v>
      </c>
    </row>
    <row r="185" spans="1:8" x14ac:dyDescent="0.25">
      <c r="A185" t="s">
        <v>213</v>
      </c>
      <c r="B185">
        <f>_xlfn.XLOOKUP(A185,'Subbu- Mini Project EXcel Clean'!A185:A1184,'Subbu- Mini Project EXcel Clean'!I185:I1184,"Entry Level",0)</f>
        <v>4</v>
      </c>
      <c r="C185" t="str">
        <f>_xlfn.XLOOKUP(A185,'Subbu- Mini Project EXcel Clean'!A185:A1184,'Subbu- Mini Project EXcel Clean'!J185:J1184," ",0)</f>
        <v>Excellent</v>
      </c>
      <c r="D185">
        <f>_xlfn.XLOOKUP(A185,'Subbu- Mini Project EXcel Clean'!A185:A1184,'Subbu- Mini Project EXcel Clean'!N185:N1184,"entry Level",0)</f>
        <v>7.2</v>
      </c>
      <c r="E185">
        <f>_xlfn.XLOOKUP(A185,'Subbu- Mini Project EXcel Clean'!A185:A1184,'Subbu- Mini Project EXcel Clean'!M185:M1184," ",0)</f>
        <v>88.8</v>
      </c>
      <c r="F185">
        <f>_xlfn.XLOOKUP(A185,'Subbu- Mini Project EXcel Clean'!A185:A1184,'Subbu- Mini Project EXcel Clean'!P185:P1184," ",0)</f>
        <v>1</v>
      </c>
      <c r="G185" t="str">
        <f>_xlfn.XLOOKUP(A185,'Subbu- Mini Project EXcel Clean'!A185:A1184,'Subbu- Mini Project EXcel Clean'!Q185:Q1184," ",0)</f>
        <v>Low</v>
      </c>
      <c r="H185">
        <f>VLOOKUP(A185,'Subbu- Mini Project EXcel Clean'!A184:R1184,15,FALSE)</f>
        <v>3.1</v>
      </c>
    </row>
    <row r="186" spans="1:8" x14ac:dyDescent="0.25">
      <c r="A186" t="s">
        <v>214</v>
      </c>
      <c r="B186">
        <f>_xlfn.XLOOKUP(A186,'Subbu- Mini Project EXcel Clean'!A186:A1185,'Subbu- Mini Project EXcel Clean'!I186:I1185,"Entry Level",0)</f>
        <v>2</v>
      </c>
      <c r="C186" t="str">
        <f>_xlfn.XLOOKUP(A186,'Subbu- Mini Project EXcel Clean'!A186:A1185,'Subbu- Mini Project EXcel Clean'!J186:J1185," ",0)</f>
        <v>Consistent</v>
      </c>
      <c r="D186">
        <f>_xlfn.XLOOKUP(A186,'Subbu- Mini Project EXcel Clean'!A186:A1185,'Subbu- Mini Project EXcel Clean'!N186:N1185,"entry Level",0)</f>
        <v>8.1</v>
      </c>
      <c r="E186">
        <f>_xlfn.XLOOKUP(A186,'Subbu- Mini Project EXcel Clean'!A186:A1185,'Subbu- Mini Project EXcel Clean'!M186:M1185," ",0)</f>
        <v>75.599999999999994</v>
      </c>
      <c r="F186">
        <f>_xlfn.XLOOKUP(A186,'Subbu- Mini Project EXcel Clean'!A186:A1185,'Subbu- Mini Project EXcel Clean'!P186:P1185," ",0)</f>
        <v>6</v>
      </c>
      <c r="G186" t="str">
        <f>_xlfn.XLOOKUP(A186,'Subbu- Mini Project EXcel Clean'!A186:A1185,'Subbu- Mini Project EXcel Clean'!Q186:Q1185," ",0)</f>
        <v>High</v>
      </c>
      <c r="H186">
        <f>VLOOKUP(A186,'Subbu- Mini Project EXcel Clean'!A185:R1185,15,FALSE)</f>
        <v>1.8</v>
      </c>
    </row>
    <row r="187" spans="1:8" x14ac:dyDescent="0.25">
      <c r="A187" t="s">
        <v>215</v>
      </c>
      <c r="B187">
        <f>_xlfn.XLOOKUP(A187,'Subbu- Mini Project EXcel Clean'!A187:A1186,'Subbu- Mini Project EXcel Clean'!I187:I1186,"Entry Level",0)</f>
        <v>3</v>
      </c>
      <c r="C187" t="str">
        <f>_xlfn.XLOOKUP(A187,'Subbu- Mini Project EXcel Clean'!A187:A1186,'Subbu- Mini Project EXcel Clean'!J187:J1186," ",0)</f>
        <v>Consistent</v>
      </c>
      <c r="D187">
        <f>_xlfn.XLOOKUP(A187,'Subbu- Mini Project EXcel Clean'!A187:A1186,'Subbu- Mini Project EXcel Clean'!N187:N1186,"entry Level",0)</f>
        <v>7.1</v>
      </c>
      <c r="E187">
        <f>_xlfn.XLOOKUP(A187,'Subbu- Mini Project EXcel Clean'!A187:A1186,'Subbu- Mini Project EXcel Clean'!M187:M1186," ",0)</f>
        <v>76.599999999999994</v>
      </c>
      <c r="F187">
        <f>_xlfn.XLOOKUP(A187,'Subbu- Mini Project EXcel Clean'!A187:A1186,'Subbu- Mini Project EXcel Clean'!P187:P1186," ",0)</f>
        <v>2</v>
      </c>
      <c r="G187" t="str">
        <f>_xlfn.XLOOKUP(A187,'Subbu- Mini Project EXcel Clean'!A187:A1186,'Subbu- Mini Project EXcel Clean'!Q187:Q1186," ",0)</f>
        <v>Low</v>
      </c>
      <c r="H187">
        <f>VLOOKUP(A187,'Subbu- Mini Project EXcel Clean'!A186:R1186,15,FALSE)</f>
        <v>3.1</v>
      </c>
    </row>
    <row r="188" spans="1:8" x14ac:dyDescent="0.25">
      <c r="A188" t="s">
        <v>216</v>
      </c>
      <c r="B188">
        <f>_xlfn.XLOOKUP(A188,'Subbu- Mini Project EXcel Clean'!A188:A1187,'Subbu- Mini Project EXcel Clean'!I188:I1187,"Entry Level",0)</f>
        <v>2</v>
      </c>
      <c r="C188" t="str">
        <f>_xlfn.XLOOKUP(A188,'Subbu- Mini Project EXcel Clean'!A188:A1187,'Subbu- Mini Project EXcel Clean'!J188:J1187," ",0)</f>
        <v>Consistent</v>
      </c>
      <c r="D188">
        <f>_xlfn.XLOOKUP(A188,'Subbu- Mini Project EXcel Clean'!A188:A1187,'Subbu- Mini Project EXcel Clean'!N188:N1187,"entry Level",0)</f>
        <v>6.5</v>
      </c>
      <c r="E188">
        <f>_xlfn.XLOOKUP(A188,'Subbu- Mini Project EXcel Clean'!A188:A1187,'Subbu- Mini Project EXcel Clean'!M188:M1187," ",0)</f>
        <v>63.8</v>
      </c>
      <c r="F188">
        <f>_xlfn.XLOOKUP(A188,'Subbu- Mini Project EXcel Clean'!A188:A1187,'Subbu- Mini Project EXcel Clean'!P188:P1187," ",0)</f>
        <v>5</v>
      </c>
      <c r="G188" t="str">
        <f>_xlfn.XLOOKUP(A188,'Subbu- Mini Project EXcel Clean'!A188:A1187,'Subbu- Mini Project EXcel Clean'!Q188:Q1187," ",0)</f>
        <v>Moderate</v>
      </c>
      <c r="H188">
        <f>VLOOKUP(A188,'Subbu- Mini Project EXcel Clean'!A187:R1187,15,FALSE)</f>
        <v>3.7</v>
      </c>
    </row>
    <row r="189" spans="1:8" x14ac:dyDescent="0.25">
      <c r="A189" t="s">
        <v>217</v>
      </c>
      <c r="B189">
        <f>_xlfn.XLOOKUP(A189,'Subbu- Mini Project EXcel Clean'!A189:A1188,'Subbu- Mini Project EXcel Clean'!I189:I1188,"Entry Level",0)</f>
        <v>2</v>
      </c>
      <c r="C189" t="str">
        <f>_xlfn.XLOOKUP(A189,'Subbu- Mini Project EXcel Clean'!A189:A1188,'Subbu- Mini Project EXcel Clean'!J189:J1188," ",0)</f>
        <v>Consistent</v>
      </c>
      <c r="D189">
        <f>_xlfn.XLOOKUP(A189,'Subbu- Mini Project EXcel Clean'!A189:A1188,'Subbu- Mini Project EXcel Clean'!N189:N1188,"entry Level",0)</f>
        <v>7.6</v>
      </c>
      <c r="E189">
        <f>_xlfn.XLOOKUP(A189,'Subbu- Mini Project EXcel Clean'!A189:A1188,'Subbu- Mini Project EXcel Clean'!M189:M1188," ",0)</f>
        <v>66.2</v>
      </c>
      <c r="F189">
        <f>_xlfn.XLOOKUP(A189,'Subbu- Mini Project EXcel Clean'!A189:A1188,'Subbu- Mini Project EXcel Clean'!P189:P1188," ",0)</f>
        <v>5</v>
      </c>
      <c r="G189" t="str">
        <f>_xlfn.XLOOKUP(A189,'Subbu- Mini Project EXcel Clean'!A189:A1188,'Subbu- Mini Project EXcel Clean'!Q189:Q1188," ",0)</f>
        <v>Moderate</v>
      </c>
      <c r="H189">
        <f>VLOOKUP(A189,'Subbu- Mini Project EXcel Clean'!A188:R1188,15,FALSE)</f>
        <v>1.1000000000000001</v>
      </c>
    </row>
    <row r="190" spans="1:8" x14ac:dyDescent="0.25">
      <c r="A190" t="s">
        <v>218</v>
      </c>
      <c r="B190">
        <f>_xlfn.XLOOKUP(A190,'Subbu- Mini Project EXcel Clean'!A190:A1189,'Subbu- Mini Project EXcel Clean'!I190:I1189,"Entry Level",0)</f>
        <v>1</v>
      </c>
      <c r="C190" t="str">
        <f>_xlfn.XLOOKUP(A190,'Subbu- Mini Project EXcel Clean'!A190:A1189,'Subbu- Mini Project EXcel Clean'!J190:J1189," ",0)</f>
        <v>Average</v>
      </c>
      <c r="D190">
        <f>_xlfn.XLOOKUP(A190,'Subbu- Mini Project EXcel Clean'!A190:A1189,'Subbu- Mini Project EXcel Clean'!N190:N1189,"entry Level",0)</f>
        <v>6.3</v>
      </c>
      <c r="E190">
        <f>_xlfn.XLOOKUP(A190,'Subbu- Mini Project EXcel Clean'!A190:A1189,'Subbu- Mini Project EXcel Clean'!M190:M1189," ",0)</f>
        <v>57.4</v>
      </c>
      <c r="F190">
        <f>_xlfn.XLOOKUP(A190,'Subbu- Mini Project EXcel Clean'!A190:A1189,'Subbu- Mini Project EXcel Clean'!P190:P1189," ",0)</f>
        <v>3</v>
      </c>
      <c r="G190" t="str">
        <f>_xlfn.XLOOKUP(A190,'Subbu- Mini Project EXcel Clean'!A190:A1189,'Subbu- Mini Project EXcel Clean'!Q190:Q1189," ",0)</f>
        <v>Moderate</v>
      </c>
      <c r="H190">
        <f>VLOOKUP(A190,'Subbu- Mini Project EXcel Clean'!A189:R1189,15,FALSE)</f>
        <v>3.2</v>
      </c>
    </row>
    <row r="191" spans="1:8" x14ac:dyDescent="0.25">
      <c r="A191" t="s">
        <v>219</v>
      </c>
      <c r="B191">
        <f>_xlfn.XLOOKUP(A191,'Subbu- Mini Project EXcel Clean'!A191:A1190,'Subbu- Mini Project EXcel Clean'!I191:I1190,"Entry Level",0)</f>
        <v>1</v>
      </c>
      <c r="C191" t="str">
        <f>_xlfn.XLOOKUP(A191,'Subbu- Mini Project EXcel Clean'!A191:A1190,'Subbu- Mini Project EXcel Clean'!J191:J1190," ",0)</f>
        <v>Consistent</v>
      </c>
      <c r="D191">
        <f>_xlfn.XLOOKUP(A191,'Subbu- Mini Project EXcel Clean'!A191:A1190,'Subbu- Mini Project EXcel Clean'!N191:N1190,"entry Level",0)</f>
        <v>6</v>
      </c>
      <c r="E191">
        <f>_xlfn.XLOOKUP(A191,'Subbu- Mini Project EXcel Clean'!A191:A1190,'Subbu- Mini Project EXcel Clean'!M191:M1190," ",0)</f>
        <v>63</v>
      </c>
      <c r="F191">
        <f>_xlfn.XLOOKUP(A191,'Subbu- Mini Project EXcel Clean'!A191:A1190,'Subbu- Mini Project EXcel Clean'!P191:P1190," ",0)</f>
        <v>1</v>
      </c>
      <c r="G191" t="str">
        <f>_xlfn.XLOOKUP(A191,'Subbu- Mini Project EXcel Clean'!A191:A1190,'Subbu- Mini Project EXcel Clean'!Q191:Q1190," ",0)</f>
        <v>Low</v>
      </c>
      <c r="H191">
        <f>VLOOKUP(A191,'Subbu- Mini Project EXcel Clean'!A190:R1190,15,FALSE)</f>
        <v>4.9000000000000004</v>
      </c>
    </row>
    <row r="192" spans="1:8" x14ac:dyDescent="0.25">
      <c r="A192" t="s">
        <v>220</v>
      </c>
      <c r="B192">
        <f>_xlfn.XLOOKUP(A192,'Subbu- Mini Project EXcel Clean'!A192:A1191,'Subbu- Mini Project EXcel Clean'!I192:I1191,"Entry Level",0)</f>
        <v>5</v>
      </c>
      <c r="C192" t="str">
        <f>_xlfn.XLOOKUP(A192,'Subbu- Mini Project EXcel Clean'!A192:A1191,'Subbu- Mini Project EXcel Clean'!J192:J1191," ",0)</f>
        <v>Good</v>
      </c>
      <c r="D192">
        <f>_xlfn.XLOOKUP(A192,'Subbu- Mini Project EXcel Clean'!A192:A1191,'Subbu- Mini Project EXcel Clean'!N192:N1191,"entry Level",0)</f>
        <v>7.2</v>
      </c>
      <c r="E192">
        <f>_xlfn.XLOOKUP(A192,'Subbu- Mini Project EXcel Clean'!A192:A1191,'Subbu- Mini Project EXcel Clean'!M192:M1191," ",0)</f>
        <v>91.6</v>
      </c>
      <c r="F192">
        <f>_xlfn.XLOOKUP(A192,'Subbu- Mini Project EXcel Clean'!A192:A1191,'Subbu- Mini Project EXcel Clean'!P192:P1191," ",0)</f>
        <v>1</v>
      </c>
      <c r="G192" t="str">
        <f>_xlfn.XLOOKUP(A192,'Subbu- Mini Project EXcel Clean'!A192:A1191,'Subbu- Mini Project EXcel Clean'!Q192:Q1191," ",0)</f>
        <v>Low</v>
      </c>
      <c r="H192">
        <f>VLOOKUP(A192,'Subbu- Mini Project EXcel Clean'!A191:R1191,15,FALSE)</f>
        <v>4.4000000000000004</v>
      </c>
    </row>
    <row r="193" spans="1:8" x14ac:dyDescent="0.25">
      <c r="A193" t="s">
        <v>221</v>
      </c>
      <c r="B193">
        <f>_xlfn.XLOOKUP(A193,'Subbu- Mini Project EXcel Clean'!A193:A1192,'Subbu- Mini Project EXcel Clean'!I193:I1192,"Entry Level",0)</f>
        <v>2</v>
      </c>
      <c r="C193" t="str">
        <f>_xlfn.XLOOKUP(A193,'Subbu- Mini Project EXcel Clean'!A193:A1192,'Subbu- Mini Project EXcel Clean'!J193:J1192," ",0)</f>
        <v>Consistent</v>
      </c>
      <c r="D193">
        <f>_xlfn.XLOOKUP(A193,'Subbu- Mini Project EXcel Clean'!A193:A1192,'Subbu- Mini Project EXcel Clean'!N193:N1192,"entry Level",0)</f>
        <v>7.2</v>
      </c>
      <c r="E193">
        <f>_xlfn.XLOOKUP(A193,'Subbu- Mini Project EXcel Clean'!A193:A1192,'Subbu- Mini Project EXcel Clean'!M193:M1192," ",0)</f>
        <v>76.099999999999994</v>
      </c>
      <c r="F193">
        <f>_xlfn.XLOOKUP(A193,'Subbu- Mini Project EXcel Clean'!A193:A1192,'Subbu- Mini Project EXcel Clean'!P193:P1192," ",0)</f>
        <v>6</v>
      </c>
      <c r="G193" t="str">
        <f>_xlfn.XLOOKUP(A193,'Subbu- Mini Project EXcel Clean'!A193:A1192,'Subbu- Mini Project EXcel Clean'!Q193:Q1192," ",0)</f>
        <v>High</v>
      </c>
      <c r="H193">
        <f>VLOOKUP(A193,'Subbu- Mini Project EXcel Clean'!A192:R1192,15,FALSE)</f>
        <v>4.2</v>
      </c>
    </row>
    <row r="194" spans="1:8" x14ac:dyDescent="0.25">
      <c r="A194" t="s">
        <v>222</v>
      </c>
      <c r="B194">
        <f>_xlfn.XLOOKUP(A194,'Subbu- Mini Project EXcel Clean'!A194:A1193,'Subbu- Mini Project EXcel Clean'!I194:I1193,"Entry Level",0)</f>
        <v>4</v>
      </c>
      <c r="C194" t="str">
        <f>_xlfn.XLOOKUP(A194,'Subbu- Mini Project EXcel Clean'!A194:A1193,'Subbu- Mini Project EXcel Clean'!J194:J1193," ",0)</f>
        <v>Excellent</v>
      </c>
      <c r="D194">
        <f>_xlfn.XLOOKUP(A194,'Subbu- Mini Project EXcel Clean'!A194:A1193,'Subbu- Mini Project EXcel Clean'!N194:N1193,"entry Level",0)</f>
        <v>6.5</v>
      </c>
      <c r="E194">
        <f>_xlfn.XLOOKUP(A194,'Subbu- Mini Project EXcel Clean'!A194:A1193,'Subbu- Mini Project EXcel Clean'!M194:M1193," ",0)</f>
        <v>83.2</v>
      </c>
      <c r="F194">
        <f>_xlfn.XLOOKUP(A194,'Subbu- Mini Project EXcel Clean'!A194:A1193,'Subbu- Mini Project EXcel Clean'!P194:P1193," ",0)</f>
        <v>1</v>
      </c>
      <c r="G194" t="str">
        <f>_xlfn.XLOOKUP(A194,'Subbu- Mini Project EXcel Clean'!A194:A1193,'Subbu- Mini Project EXcel Clean'!Q194:Q1193," ",0)</f>
        <v>Low</v>
      </c>
      <c r="H194">
        <f>VLOOKUP(A194,'Subbu- Mini Project EXcel Clean'!A193:R1193,15,FALSE)</f>
        <v>5.5</v>
      </c>
    </row>
    <row r="195" spans="1:8" x14ac:dyDescent="0.25">
      <c r="A195" t="s">
        <v>223</v>
      </c>
      <c r="B195">
        <f>_xlfn.XLOOKUP(A195,'Subbu- Mini Project EXcel Clean'!A195:A1194,'Subbu- Mini Project EXcel Clean'!I195:I1194,"Entry Level",0)</f>
        <v>4</v>
      </c>
      <c r="C195" t="str">
        <f>_xlfn.XLOOKUP(A195,'Subbu- Mini Project EXcel Clean'!A195:A1194,'Subbu- Mini Project EXcel Clean'!J195:J1194," ",0)</f>
        <v>Good</v>
      </c>
      <c r="D195">
        <f>_xlfn.XLOOKUP(A195,'Subbu- Mini Project EXcel Clean'!A195:A1194,'Subbu- Mini Project EXcel Clean'!N195:N1194,"entry Level",0)</f>
        <v>6.8</v>
      </c>
      <c r="E195">
        <f>_xlfn.XLOOKUP(A195,'Subbu- Mini Project EXcel Clean'!A195:A1194,'Subbu- Mini Project EXcel Clean'!M195:M1194," ",0)</f>
        <v>97.2</v>
      </c>
      <c r="F195">
        <f>_xlfn.XLOOKUP(A195,'Subbu- Mini Project EXcel Clean'!A195:A1194,'Subbu- Mini Project EXcel Clean'!P195:P1194," ",0)</f>
        <v>6</v>
      </c>
      <c r="G195" t="str">
        <f>_xlfn.XLOOKUP(A195,'Subbu- Mini Project EXcel Clean'!A195:A1194,'Subbu- Mini Project EXcel Clean'!Q195:Q1194," ",0)</f>
        <v>Moderate</v>
      </c>
      <c r="H195">
        <f>VLOOKUP(A195,'Subbu- Mini Project EXcel Clean'!A194:R1194,15,FALSE)</f>
        <v>1.1000000000000001</v>
      </c>
    </row>
    <row r="196" spans="1:8" x14ac:dyDescent="0.25">
      <c r="A196" t="s">
        <v>224</v>
      </c>
      <c r="B196">
        <f>_xlfn.XLOOKUP(A196,'Subbu- Mini Project EXcel Clean'!A196:A1195,'Subbu- Mini Project EXcel Clean'!I196:I1195,"Entry Level",0)</f>
        <v>3</v>
      </c>
      <c r="C196" t="str">
        <f>_xlfn.XLOOKUP(A196,'Subbu- Mini Project EXcel Clean'!A196:A1195,'Subbu- Mini Project EXcel Clean'!J196:J1195," ",0)</f>
        <v>Excellent</v>
      </c>
      <c r="D196">
        <f>_xlfn.XLOOKUP(A196,'Subbu- Mini Project EXcel Clean'!A196:A1195,'Subbu- Mini Project EXcel Clean'!N196:N1195,"entry Level",0)</f>
        <v>6.7</v>
      </c>
      <c r="E196">
        <f>_xlfn.XLOOKUP(A196,'Subbu- Mini Project EXcel Clean'!A196:A1195,'Subbu- Mini Project EXcel Clean'!M196:M1195," ",0)</f>
        <v>75.7</v>
      </c>
      <c r="F196">
        <f>_xlfn.XLOOKUP(A196,'Subbu- Mini Project EXcel Clean'!A196:A1195,'Subbu- Mini Project EXcel Clean'!P196:P1195," ",0)</f>
        <v>4</v>
      </c>
      <c r="G196" t="str">
        <f>_xlfn.XLOOKUP(A196,'Subbu- Mini Project EXcel Clean'!A196:A1195,'Subbu- Mini Project EXcel Clean'!Q196:Q1195," ",0)</f>
        <v>Moderate</v>
      </c>
      <c r="H196">
        <f>VLOOKUP(A196,'Subbu- Mini Project EXcel Clean'!A195:R1195,15,FALSE)</f>
        <v>3.8</v>
      </c>
    </row>
    <row r="197" spans="1:8" x14ac:dyDescent="0.25">
      <c r="A197" t="s">
        <v>225</v>
      </c>
      <c r="B197">
        <f>_xlfn.XLOOKUP(A197,'Subbu- Mini Project EXcel Clean'!A197:A1196,'Subbu- Mini Project EXcel Clean'!I197:I1196,"Entry Level",0)</f>
        <v>2</v>
      </c>
      <c r="C197" t="str">
        <f>_xlfn.XLOOKUP(A197,'Subbu- Mini Project EXcel Clean'!A197:A1196,'Subbu- Mini Project EXcel Clean'!J197:J1196," ",0)</f>
        <v>Consistent</v>
      </c>
      <c r="D197">
        <f>_xlfn.XLOOKUP(A197,'Subbu- Mini Project EXcel Clean'!A197:A1196,'Subbu- Mini Project EXcel Clean'!N197:N1196,"entry Level",0)</f>
        <v>5.9</v>
      </c>
      <c r="E197">
        <f>_xlfn.XLOOKUP(A197,'Subbu- Mini Project EXcel Clean'!A197:A1196,'Subbu- Mini Project EXcel Clean'!M197:M1196," ",0)</f>
        <v>69.5</v>
      </c>
      <c r="F197">
        <f>_xlfn.XLOOKUP(A197,'Subbu- Mini Project EXcel Clean'!A197:A1196,'Subbu- Mini Project EXcel Clean'!P197:P1196," ",0)</f>
        <v>5</v>
      </c>
      <c r="G197" t="str">
        <f>_xlfn.XLOOKUP(A197,'Subbu- Mini Project EXcel Clean'!A197:A1196,'Subbu- Mini Project EXcel Clean'!Q197:Q1196," ",0)</f>
        <v>Moderate</v>
      </c>
      <c r="H197">
        <f>VLOOKUP(A197,'Subbu- Mini Project EXcel Clean'!A196:R1196,15,FALSE)</f>
        <v>4.9000000000000004</v>
      </c>
    </row>
    <row r="198" spans="1:8" x14ac:dyDescent="0.25">
      <c r="A198" t="s">
        <v>226</v>
      </c>
      <c r="B198">
        <f>_xlfn.XLOOKUP(A198,'Subbu- Mini Project EXcel Clean'!A198:A1197,'Subbu- Mini Project EXcel Clean'!I198:I1197,"Entry Level",0)</f>
        <v>4</v>
      </c>
      <c r="C198" t="str">
        <f>_xlfn.XLOOKUP(A198,'Subbu- Mini Project EXcel Clean'!A198:A1197,'Subbu- Mini Project EXcel Clean'!J198:J1197," ",0)</f>
        <v>Excellent</v>
      </c>
      <c r="D198">
        <f>_xlfn.XLOOKUP(A198,'Subbu- Mini Project EXcel Clean'!A198:A1197,'Subbu- Mini Project EXcel Clean'!N198:N1197,"entry Level",0)</f>
        <v>7.5</v>
      </c>
      <c r="E198">
        <f>_xlfn.XLOOKUP(A198,'Subbu- Mini Project EXcel Clean'!A198:A1197,'Subbu- Mini Project EXcel Clean'!M198:M1197," ",0)</f>
        <v>92.5</v>
      </c>
      <c r="F198">
        <f>_xlfn.XLOOKUP(A198,'Subbu- Mini Project EXcel Clean'!A198:A1197,'Subbu- Mini Project EXcel Clean'!P198:P1197," ",0)</f>
        <v>1</v>
      </c>
      <c r="G198" t="str">
        <f>_xlfn.XLOOKUP(A198,'Subbu- Mini Project EXcel Clean'!A198:A1197,'Subbu- Mini Project EXcel Clean'!Q198:Q1197," ",0)</f>
        <v>Low</v>
      </c>
      <c r="H198">
        <f>VLOOKUP(A198,'Subbu- Mini Project EXcel Clean'!A197:R1197,15,FALSE)</f>
        <v>3.7</v>
      </c>
    </row>
    <row r="199" spans="1:8" x14ac:dyDescent="0.25">
      <c r="A199" t="s">
        <v>227</v>
      </c>
      <c r="B199">
        <f>_xlfn.XLOOKUP(A199,'Subbu- Mini Project EXcel Clean'!A199:A1198,'Subbu- Mini Project EXcel Clean'!I199:I1198,"Entry Level",0)</f>
        <v>3</v>
      </c>
      <c r="C199" t="str">
        <f>_xlfn.XLOOKUP(A199,'Subbu- Mini Project EXcel Clean'!A199:A1198,'Subbu- Mini Project EXcel Clean'!J199:J1198," ",0)</f>
        <v>Excellent</v>
      </c>
      <c r="D199">
        <f>_xlfn.XLOOKUP(A199,'Subbu- Mini Project EXcel Clean'!A199:A1198,'Subbu- Mini Project EXcel Clean'!N199:N1198,"entry Level",0)</f>
        <v>6.9</v>
      </c>
      <c r="E199">
        <f>_xlfn.XLOOKUP(A199,'Subbu- Mini Project EXcel Clean'!A199:A1198,'Subbu- Mini Project EXcel Clean'!M199:M1198," ",0)</f>
        <v>85.9</v>
      </c>
      <c r="F199">
        <f>_xlfn.XLOOKUP(A199,'Subbu- Mini Project EXcel Clean'!A199:A1198,'Subbu- Mini Project EXcel Clean'!P199:P1198," ",0)</f>
        <v>1</v>
      </c>
      <c r="G199" t="str">
        <f>_xlfn.XLOOKUP(A199,'Subbu- Mini Project EXcel Clean'!A199:A1198,'Subbu- Mini Project EXcel Clean'!Q199:Q1198," ",0)</f>
        <v>Low</v>
      </c>
      <c r="H199">
        <f>VLOOKUP(A199,'Subbu- Mini Project EXcel Clean'!A198:R1198,15,FALSE)</f>
        <v>2.6</v>
      </c>
    </row>
    <row r="200" spans="1:8" x14ac:dyDescent="0.25">
      <c r="A200" t="s">
        <v>228</v>
      </c>
      <c r="B200">
        <f>_xlfn.XLOOKUP(A200,'Subbu- Mini Project EXcel Clean'!A200:A1199,'Subbu- Mini Project EXcel Clean'!I200:I1199,"Entry Level",0)</f>
        <v>4</v>
      </c>
      <c r="C200" t="str">
        <f>_xlfn.XLOOKUP(A200,'Subbu- Mini Project EXcel Clean'!A200:A1199,'Subbu- Mini Project EXcel Clean'!J200:J1199," ",0)</f>
        <v>Excellent</v>
      </c>
      <c r="D200">
        <f>_xlfn.XLOOKUP(A200,'Subbu- Mini Project EXcel Clean'!A200:A1199,'Subbu- Mini Project EXcel Clean'!N200:N1199,"entry Level",0)</f>
        <v>7</v>
      </c>
      <c r="E200">
        <f>_xlfn.XLOOKUP(A200,'Subbu- Mini Project EXcel Clean'!A200:A1199,'Subbu- Mini Project EXcel Clean'!M200:M1199," ",0)</f>
        <v>84.3</v>
      </c>
      <c r="F200">
        <f>_xlfn.XLOOKUP(A200,'Subbu- Mini Project EXcel Clean'!A200:A1199,'Subbu- Mini Project EXcel Clean'!P200:P1199," ",0)</f>
        <v>4</v>
      </c>
      <c r="G200" t="str">
        <f>_xlfn.XLOOKUP(A200,'Subbu- Mini Project EXcel Clean'!A200:A1199,'Subbu- Mini Project EXcel Clean'!Q200:Q1199," ",0)</f>
        <v>Moderate</v>
      </c>
      <c r="H200">
        <f>VLOOKUP(A200,'Subbu- Mini Project EXcel Clean'!A199:R1199,15,FALSE)</f>
        <v>1.7</v>
      </c>
    </row>
    <row r="201" spans="1:8" x14ac:dyDescent="0.25">
      <c r="A201" t="s">
        <v>229</v>
      </c>
      <c r="B201">
        <f>_xlfn.XLOOKUP(A201,'Subbu- Mini Project EXcel Clean'!A201:A1200,'Subbu- Mini Project EXcel Clean'!I201:I1200,"Entry Level",0)</f>
        <v>4</v>
      </c>
      <c r="C201" t="str">
        <f>_xlfn.XLOOKUP(A201,'Subbu- Mini Project EXcel Clean'!A201:A1200,'Subbu- Mini Project EXcel Clean'!J201:J1200," ",0)</f>
        <v>Good</v>
      </c>
      <c r="D201">
        <f>_xlfn.XLOOKUP(A201,'Subbu- Mini Project EXcel Clean'!A201:A1200,'Subbu- Mini Project EXcel Clean'!N201:N1200,"entry Level",0)</f>
        <v>6.4</v>
      </c>
      <c r="E201">
        <f>_xlfn.XLOOKUP(A201,'Subbu- Mini Project EXcel Clean'!A201:A1200,'Subbu- Mini Project EXcel Clean'!M201:M1200," ",0)</f>
        <v>92</v>
      </c>
      <c r="F201">
        <f>_xlfn.XLOOKUP(A201,'Subbu- Mini Project EXcel Clean'!A201:A1200,'Subbu- Mini Project EXcel Clean'!P201:P1200," ",0)</f>
        <v>4</v>
      </c>
      <c r="G201" t="str">
        <f>_xlfn.XLOOKUP(A201,'Subbu- Mini Project EXcel Clean'!A201:A1200,'Subbu- Mini Project EXcel Clean'!Q201:Q1200," ",0)</f>
        <v>Moderate</v>
      </c>
      <c r="H201">
        <f>VLOOKUP(A201,'Subbu- Mini Project EXcel Clean'!A200:R1200,15,FALSE)</f>
        <v>5.4</v>
      </c>
    </row>
    <row r="202" spans="1:8" x14ac:dyDescent="0.25">
      <c r="A202" t="s">
        <v>230</v>
      </c>
      <c r="B202">
        <f>_xlfn.XLOOKUP(A202,'Subbu- Mini Project EXcel Clean'!A202:A1201,'Subbu- Mini Project EXcel Clean'!I202:I1201,"Entry Level",0)</f>
        <v>5</v>
      </c>
      <c r="C202" t="str">
        <f>_xlfn.XLOOKUP(A202,'Subbu- Mini Project EXcel Clean'!A202:A1201,'Subbu- Mini Project EXcel Clean'!J202:J1201," ",0)</f>
        <v>Good</v>
      </c>
      <c r="D202">
        <f>_xlfn.XLOOKUP(A202,'Subbu- Mini Project EXcel Clean'!A202:A1201,'Subbu- Mini Project EXcel Clean'!N202:N1201,"entry Level",0)</f>
        <v>6.7</v>
      </c>
      <c r="E202">
        <f>_xlfn.XLOOKUP(A202,'Subbu- Mini Project EXcel Clean'!A202:A1201,'Subbu- Mini Project EXcel Clean'!M202:M1201," ",0)</f>
        <v>93.1</v>
      </c>
      <c r="F202">
        <f>_xlfn.XLOOKUP(A202,'Subbu- Mini Project EXcel Clean'!A202:A1201,'Subbu- Mini Project EXcel Clean'!P202:P1201," ",0)</f>
        <v>5</v>
      </c>
      <c r="G202" t="str">
        <f>_xlfn.XLOOKUP(A202,'Subbu- Mini Project EXcel Clean'!A202:A1201,'Subbu- Mini Project EXcel Clean'!Q202:Q1201," ",0)</f>
        <v>Moderate</v>
      </c>
      <c r="H202">
        <f>VLOOKUP(A202,'Subbu- Mini Project EXcel Clean'!A201:R1201,15,FALSE)</f>
        <v>3.4</v>
      </c>
    </row>
    <row r="203" spans="1:8" x14ac:dyDescent="0.25">
      <c r="A203" t="s">
        <v>231</v>
      </c>
      <c r="B203">
        <f>_xlfn.XLOOKUP(A203,'Subbu- Mini Project EXcel Clean'!A203:A1202,'Subbu- Mini Project EXcel Clean'!I203:I1202,"Entry Level",0)</f>
        <v>3</v>
      </c>
      <c r="C203" t="str">
        <f>_xlfn.XLOOKUP(A203,'Subbu- Mini Project EXcel Clean'!A203:A1202,'Subbu- Mini Project EXcel Clean'!J203:J1202," ",0)</f>
        <v>Excellent</v>
      </c>
      <c r="D203">
        <f>_xlfn.XLOOKUP(A203,'Subbu- Mini Project EXcel Clean'!A203:A1202,'Subbu- Mini Project EXcel Clean'!N203:N1202,"entry Level",0)</f>
        <v>7.1</v>
      </c>
      <c r="E203">
        <f>_xlfn.XLOOKUP(A203,'Subbu- Mini Project EXcel Clean'!A203:A1202,'Subbu- Mini Project EXcel Clean'!M203:M1202," ",0)</f>
        <v>81.7</v>
      </c>
      <c r="F203">
        <f>_xlfn.XLOOKUP(A203,'Subbu- Mini Project EXcel Clean'!A203:A1202,'Subbu- Mini Project EXcel Clean'!P203:P1202," ",0)</f>
        <v>4</v>
      </c>
      <c r="G203" t="str">
        <f>_xlfn.XLOOKUP(A203,'Subbu- Mini Project EXcel Clean'!A203:A1202,'Subbu- Mini Project EXcel Clean'!Q203:Q1202," ",0)</f>
        <v>Moderate</v>
      </c>
      <c r="H203">
        <f>VLOOKUP(A203,'Subbu- Mini Project EXcel Clean'!A202:R1202,15,FALSE)</f>
        <v>5.4</v>
      </c>
    </row>
    <row r="204" spans="1:8" x14ac:dyDescent="0.25">
      <c r="A204" t="s">
        <v>232</v>
      </c>
      <c r="B204">
        <f>_xlfn.XLOOKUP(A204,'Subbu- Mini Project EXcel Clean'!A204:A1203,'Subbu- Mini Project EXcel Clean'!I204:I1203,"Entry Level",0)</f>
        <v>2</v>
      </c>
      <c r="C204" t="str">
        <f>_xlfn.XLOOKUP(A204,'Subbu- Mini Project EXcel Clean'!A204:A1203,'Subbu- Mini Project EXcel Clean'!J204:J1203," ",0)</f>
        <v>Consistent</v>
      </c>
      <c r="D204">
        <f>_xlfn.XLOOKUP(A204,'Subbu- Mini Project EXcel Clean'!A204:A1203,'Subbu- Mini Project EXcel Clean'!N204:N1203,"entry Level",0)</f>
        <v>6.5</v>
      </c>
      <c r="E204">
        <f>_xlfn.XLOOKUP(A204,'Subbu- Mini Project EXcel Clean'!A204:A1203,'Subbu- Mini Project EXcel Clean'!M204:M1203," ",0)</f>
        <v>78.8</v>
      </c>
      <c r="F204">
        <f>_xlfn.XLOOKUP(A204,'Subbu- Mini Project EXcel Clean'!A204:A1203,'Subbu- Mini Project EXcel Clean'!P204:P1203," ",0)</f>
        <v>2</v>
      </c>
      <c r="G204" t="str">
        <f>_xlfn.XLOOKUP(A204,'Subbu- Mini Project EXcel Clean'!A204:A1203,'Subbu- Mini Project EXcel Clean'!Q204:Q1203," ",0)</f>
        <v>Low</v>
      </c>
      <c r="H204">
        <f>VLOOKUP(A204,'Subbu- Mini Project EXcel Clean'!A203:R1203,15,FALSE)</f>
        <v>3.9</v>
      </c>
    </row>
    <row r="205" spans="1:8" x14ac:dyDescent="0.25">
      <c r="A205" t="s">
        <v>233</v>
      </c>
      <c r="B205">
        <f>_xlfn.XLOOKUP(A205,'Subbu- Mini Project EXcel Clean'!A205:A1204,'Subbu- Mini Project EXcel Clean'!I205:I1204,"Entry Level",0)</f>
        <v>4</v>
      </c>
      <c r="C205" t="str">
        <f>_xlfn.XLOOKUP(A205,'Subbu- Mini Project EXcel Clean'!A205:A1204,'Subbu- Mini Project EXcel Clean'!J205:J1204," ",0)</f>
        <v>Excellent</v>
      </c>
      <c r="D205">
        <f>_xlfn.XLOOKUP(A205,'Subbu- Mini Project EXcel Clean'!A205:A1204,'Subbu- Mini Project EXcel Clean'!N205:N1204,"entry Level",0)</f>
        <v>6</v>
      </c>
      <c r="E205">
        <f>_xlfn.XLOOKUP(A205,'Subbu- Mini Project EXcel Clean'!A205:A1204,'Subbu- Mini Project EXcel Clean'!M205:M1204," ",0)</f>
        <v>89.9</v>
      </c>
      <c r="F205">
        <f>_xlfn.XLOOKUP(A205,'Subbu- Mini Project EXcel Clean'!A205:A1204,'Subbu- Mini Project EXcel Clean'!P205:P1204," ",0)</f>
        <v>4</v>
      </c>
      <c r="G205" t="str">
        <f>_xlfn.XLOOKUP(A205,'Subbu- Mini Project EXcel Clean'!A205:A1204,'Subbu- Mini Project EXcel Clean'!Q205:Q1204," ",0)</f>
        <v>Moderate</v>
      </c>
      <c r="H205">
        <f>VLOOKUP(A205,'Subbu- Mini Project EXcel Clean'!A204:R1204,15,FALSE)</f>
        <v>4.4000000000000004</v>
      </c>
    </row>
    <row r="206" spans="1:8" x14ac:dyDescent="0.25">
      <c r="A206" t="s">
        <v>234</v>
      </c>
      <c r="B206">
        <f>_xlfn.XLOOKUP(A206,'Subbu- Mini Project EXcel Clean'!A206:A1205,'Subbu- Mini Project EXcel Clean'!I206:I1205,"Entry Level",0)</f>
        <v>1</v>
      </c>
      <c r="C206" t="str">
        <f>_xlfn.XLOOKUP(A206,'Subbu- Mini Project EXcel Clean'!A206:A1205,'Subbu- Mini Project EXcel Clean'!J206:J1205," ",0)</f>
        <v>Consistent</v>
      </c>
      <c r="D206">
        <f>_xlfn.XLOOKUP(A206,'Subbu- Mini Project EXcel Clean'!A206:A1205,'Subbu- Mini Project EXcel Clean'!N206:N1205,"entry Level",0)</f>
        <v>5.4</v>
      </c>
      <c r="E206">
        <f>_xlfn.XLOOKUP(A206,'Subbu- Mini Project EXcel Clean'!A206:A1205,'Subbu- Mini Project EXcel Clean'!M206:M1205," ",0)</f>
        <v>62.8</v>
      </c>
      <c r="F206">
        <f>_xlfn.XLOOKUP(A206,'Subbu- Mini Project EXcel Clean'!A206:A1205,'Subbu- Mini Project EXcel Clean'!P206:P1205," ",0)</f>
        <v>2</v>
      </c>
      <c r="G206" t="str">
        <f>_xlfn.XLOOKUP(A206,'Subbu- Mini Project EXcel Clean'!A206:A1205,'Subbu- Mini Project EXcel Clean'!Q206:Q1205," ",0)</f>
        <v>Low</v>
      </c>
      <c r="H206">
        <f>VLOOKUP(A206,'Subbu- Mini Project EXcel Clean'!A205:R1205,15,FALSE)</f>
        <v>5</v>
      </c>
    </row>
    <row r="207" spans="1:8" x14ac:dyDescent="0.25">
      <c r="A207" t="s">
        <v>235</v>
      </c>
      <c r="B207">
        <f>_xlfn.XLOOKUP(A207,'Subbu- Mini Project EXcel Clean'!A207:A1206,'Subbu- Mini Project EXcel Clean'!I207:I1206,"Entry Level",0)</f>
        <v>5</v>
      </c>
      <c r="C207" t="str">
        <f>_xlfn.XLOOKUP(A207,'Subbu- Mini Project EXcel Clean'!A207:A1206,'Subbu- Mini Project EXcel Clean'!J207:J1206," ",0)</f>
        <v>Good</v>
      </c>
      <c r="D207">
        <f>_xlfn.XLOOKUP(A207,'Subbu- Mini Project EXcel Clean'!A207:A1206,'Subbu- Mini Project EXcel Clean'!N207:N1206,"entry Level",0)</f>
        <v>6.7</v>
      </c>
      <c r="E207">
        <f>_xlfn.XLOOKUP(A207,'Subbu- Mini Project EXcel Clean'!A207:A1206,'Subbu- Mini Project EXcel Clean'!M207:M1206," ",0)</f>
        <v>91</v>
      </c>
      <c r="F207">
        <f>_xlfn.XLOOKUP(A207,'Subbu- Mini Project EXcel Clean'!A207:A1206,'Subbu- Mini Project EXcel Clean'!P207:P1206," ",0)</f>
        <v>5</v>
      </c>
      <c r="G207" t="str">
        <f>_xlfn.XLOOKUP(A207,'Subbu- Mini Project EXcel Clean'!A207:A1206,'Subbu- Mini Project EXcel Clean'!Q207:Q1206," ",0)</f>
        <v>Moderate</v>
      </c>
      <c r="H207">
        <f>VLOOKUP(A207,'Subbu- Mini Project EXcel Clean'!A206:R1206,15,FALSE)</f>
        <v>4.3</v>
      </c>
    </row>
    <row r="208" spans="1:8" x14ac:dyDescent="0.25">
      <c r="A208" t="s">
        <v>236</v>
      </c>
      <c r="B208">
        <f>_xlfn.XLOOKUP(A208,'Subbu- Mini Project EXcel Clean'!A208:A1207,'Subbu- Mini Project EXcel Clean'!I208:I1207,"Entry Level",0)</f>
        <v>2</v>
      </c>
      <c r="C208" t="str">
        <f>_xlfn.XLOOKUP(A208,'Subbu- Mini Project EXcel Clean'!A208:A1207,'Subbu- Mini Project EXcel Clean'!J208:J1207," ",0)</f>
        <v>Consistent</v>
      </c>
      <c r="D208">
        <f>_xlfn.XLOOKUP(A208,'Subbu- Mini Project EXcel Clean'!A208:A1207,'Subbu- Mini Project EXcel Clean'!N208:N1207,"entry Level",0)</f>
        <v>6.8</v>
      </c>
      <c r="E208">
        <f>_xlfn.XLOOKUP(A208,'Subbu- Mini Project EXcel Clean'!A208:A1207,'Subbu- Mini Project EXcel Clean'!M208:M1207," ",0)</f>
        <v>68</v>
      </c>
      <c r="F208">
        <f>_xlfn.XLOOKUP(A208,'Subbu- Mini Project EXcel Clean'!A208:A1207,'Subbu- Mini Project EXcel Clean'!P208:P1207," ",0)</f>
        <v>1</v>
      </c>
      <c r="G208" t="str">
        <f>_xlfn.XLOOKUP(A208,'Subbu- Mini Project EXcel Clean'!A208:A1207,'Subbu- Mini Project EXcel Clean'!Q208:Q1207," ",0)</f>
        <v>Low</v>
      </c>
      <c r="H208">
        <f>VLOOKUP(A208,'Subbu- Mini Project EXcel Clean'!A207:R1207,15,FALSE)</f>
        <v>3</v>
      </c>
    </row>
    <row r="209" spans="1:8" x14ac:dyDescent="0.25">
      <c r="A209" t="s">
        <v>237</v>
      </c>
      <c r="B209">
        <f>_xlfn.XLOOKUP(A209,'Subbu- Mini Project EXcel Clean'!A209:A1208,'Subbu- Mini Project EXcel Clean'!I209:I1208,"Entry Level",0)</f>
        <v>2</v>
      </c>
      <c r="C209" t="str">
        <f>_xlfn.XLOOKUP(A209,'Subbu- Mini Project EXcel Clean'!A209:A1208,'Subbu- Mini Project EXcel Clean'!J209:J1208," ",0)</f>
        <v>Consistent</v>
      </c>
      <c r="D209">
        <f>_xlfn.XLOOKUP(A209,'Subbu- Mini Project EXcel Clean'!A209:A1208,'Subbu- Mini Project EXcel Clean'!N209:N1208,"entry Level",0)</f>
        <v>6.2</v>
      </c>
      <c r="E209">
        <f>_xlfn.XLOOKUP(A209,'Subbu- Mini Project EXcel Clean'!A209:A1208,'Subbu- Mini Project EXcel Clean'!M209:M1208," ",0)</f>
        <v>73.2</v>
      </c>
      <c r="F209">
        <f>_xlfn.XLOOKUP(A209,'Subbu- Mini Project EXcel Clean'!A209:A1208,'Subbu- Mini Project EXcel Clean'!P209:P1208," ",0)</f>
        <v>2</v>
      </c>
      <c r="G209" t="str">
        <f>_xlfn.XLOOKUP(A209,'Subbu- Mini Project EXcel Clean'!A209:A1208,'Subbu- Mini Project EXcel Clean'!Q209:Q1208," ",0)</f>
        <v>Low</v>
      </c>
      <c r="H209">
        <f>VLOOKUP(A209,'Subbu- Mini Project EXcel Clean'!A208:R1208,15,FALSE)</f>
        <v>3.6</v>
      </c>
    </row>
    <row r="210" spans="1:8" x14ac:dyDescent="0.25">
      <c r="A210" t="s">
        <v>238</v>
      </c>
      <c r="B210">
        <f>_xlfn.XLOOKUP(A210,'Subbu- Mini Project EXcel Clean'!A210:A1209,'Subbu- Mini Project EXcel Clean'!I210:I1209,"Entry Level",0)</f>
        <v>4</v>
      </c>
      <c r="C210" t="str">
        <f>_xlfn.XLOOKUP(A210,'Subbu- Mini Project EXcel Clean'!A210:A1209,'Subbu- Mini Project EXcel Clean'!J210:J1209," ",0)</f>
        <v>Good</v>
      </c>
      <c r="D210">
        <f>_xlfn.XLOOKUP(A210,'Subbu- Mini Project EXcel Clean'!A210:A1209,'Subbu- Mini Project EXcel Clean'!N210:N1209,"entry Level",0)</f>
        <v>7.1</v>
      </c>
      <c r="E210">
        <f>_xlfn.XLOOKUP(A210,'Subbu- Mini Project EXcel Clean'!A210:A1209,'Subbu- Mini Project EXcel Clean'!M210:M1209," ",0)</f>
        <v>81</v>
      </c>
      <c r="F210">
        <f>_xlfn.XLOOKUP(A210,'Subbu- Mini Project EXcel Clean'!A210:A1209,'Subbu- Mini Project EXcel Clean'!P210:P1209," ",0)</f>
        <v>4</v>
      </c>
      <c r="G210" t="str">
        <f>_xlfn.XLOOKUP(A210,'Subbu- Mini Project EXcel Clean'!A210:A1209,'Subbu- Mini Project EXcel Clean'!Q210:Q1209," ",0)</f>
        <v>Moderate</v>
      </c>
      <c r="H210">
        <f>VLOOKUP(A210,'Subbu- Mini Project EXcel Clean'!A209:R1209,15,FALSE)</f>
        <v>5</v>
      </c>
    </row>
    <row r="211" spans="1:8" x14ac:dyDescent="0.25">
      <c r="A211" t="s">
        <v>239</v>
      </c>
      <c r="B211">
        <f>_xlfn.XLOOKUP(A211,'Subbu- Mini Project EXcel Clean'!A211:A1210,'Subbu- Mini Project EXcel Clean'!I211:I1210,"Entry Level",0)</f>
        <v>3</v>
      </c>
      <c r="C211" t="str">
        <f>_xlfn.XLOOKUP(A211,'Subbu- Mini Project EXcel Clean'!A211:A1210,'Subbu- Mini Project EXcel Clean'!J211:J1210," ",0)</f>
        <v>Excellent</v>
      </c>
      <c r="D211">
        <f>_xlfn.XLOOKUP(A211,'Subbu- Mini Project EXcel Clean'!A211:A1210,'Subbu- Mini Project EXcel Clean'!N211:N1210,"entry Level",0)</f>
        <v>7.5</v>
      </c>
      <c r="E211">
        <f>_xlfn.XLOOKUP(A211,'Subbu- Mini Project EXcel Clean'!A211:A1210,'Subbu- Mini Project EXcel Clean'!M211:M1210," ",0)</f>
        <v>87.8</v>
      </c>
      <c r="F211">
        <f>_xlfn.XLOOKUP(A211,'Subbu- Mini Project EXcel Clean'!A211:A1210,'Subbu- Mini Project EXcel Clean'!P211:P1210," ",0)</f>
        <v>1</v>
      </c>
      <c r="G211" t="str">
        <f>_xlfn.XLOOKUP(A211,'Subbu- Mini Project EXcel Clean'!A211:A1210,'Subbu- Mini Project EXcel Clean'!Q211:Q1210," ",0)</f>
        <v>Low</v>
      </c>
      <c r="H211">
        <f>VLOOKUP(A211,'Subbu- Mini Project EXcel Clean'!A210:R1210,15,FALSE)</f>
        <v>2.9</v>
      </c>
    </row>
    <row r="212" spans="1:8" x14ac:dyDescent="0.25">
      <c r="A212" t="s">
        <v>240</v>
      </c>
      <c r="B212">
        <f>_xlfn.XLOOKUP(A212,'Subbu- Mini Project EXcel Clean'!A212:A1211,'Subbu- Mini Project EXcel Clean'!I212:I1211,"Entry Level",0)</f>
        <v>3</v>
      </c>
      <c r="C212" t="str">
        <f>_xlfn.XLOOKUP(A212,'Subbu- Mini Project EXcel Clean'!A212:A1211,'Subbu- Mini Project EXcel Clean'!J212:J1211," ",0)</f>
        <v>Consistent</v>
      </c>
      <c r="D212">
        <f>_xlfn.XLOOKUP(A212,'Subbu- Mini Project EXcel Clean'!A212:A1211,'Subbu- Mini Project EXcel Clean'!N212:N1211,"entry Level",0)</f>
        <v>7.1</v>
      </c>
      <c r="E212">
        <f>_xlfn.XLOOKUP(A212,'Subbu- Mini Project EXcel Clean'!A212:A1211,'Subbu- Mini Project EXcel Clean'!M212:M1211," ",0)</f>
        <v>75.599999999999994</v>
      </c>
      <c r="F212">
        <f>_xlfn.XLOOKUP(A212,'Subbu- Mini Project EXcel Clean'!A212:A1211,'Subbu- Mini Project EXcel Clean'!P212:P1211," ",0)</f>
        <v>1</v>
      </c>
      <c r="G212" t="str">
        <f>_xlfn.XLOOKUP(A212,'Subbu- Mini Project EXcel Clean'!A212:A1211,'Subbu- Mini Project EXcel Clean'!Q212:Q1211," ",0)</f>
        <v>Low</v>
      </c>
      <c r="H212">
        <f>VLOOKUP(A212,'Subbu- Mini Project EXcel Clean'!A211:R1211,15,FALSE)</f>
        <v>2.9</v>
      </c>
    </row>
    <row r="213" spans="1:8" x14ac:dyDescent="0.25">
      <c r="A213" t="s">
        <v>241</v>
      </c>
      <c r="B213">
        <f>_xlfn.XLOOKUP(A213,'Subbu- Mini Project EXcel Clean'!A213:A1212,'Subbu- Mini Project EXcel Clean'!I213:I1212,"Entry Level",0)</f>
        <v>3</v>
      </c>
      <c r="C213" t="str">
        <f>_xlfn.XLOOKUP(A213,'Subbu- Mini Project EXcel Clean'!A213:A1212,'Subbu- Mini Project EXcel Clean'!J213:J1212," ",0)</f>
        <v>Consistent</v>
      </c>
      <c r="D213">
        <f>_xlfn.XLOOKUP(A213,'Subbu- Mini Project EXcel Clean'!A213:A1212,'Subbu- Mini Project EXcel Clean'!N213:N1212,"entry Level",0)</f>
        <v>8.1999999999999993</v>
      </c>
      <c r="E213">
        <f>_xlfn.XLOOKUP(A213,'Subbu- Mini Project EXcel Clean'!A213:A1212,'Subbu- Mini Project EXcel Clean'!M213:M1212," ",0)</f>
        <v>84.9</v>
      </c>
      <c r="F213">
        <f>_xlfn.XLOOKUP(A213,'Subbu- Mini Project EXcel Clean'!A213:A1212,'Subbu- Mini Project EXcel Clean'!P213:P1212," ",0)</f>
        <v>5</v>
      </c>
      <c r="G213" t="str">
        <f>_xlfn.XLOOKUP(A213,'Subbu- Mini Project EXcel Clean'!A213:A1212,'Subbu- Mini Project EXcel Clean'!Q213:Q1212," ",0)</f>
        <v>Moderate</v>
      </c>
      <c r="H213">
        <f>VLOOKUP(A213,'Subbu- Mini Project EXcel Clean'!A212:R1212,15,FALSE)</f>
        <v>1.5</v>
      </c>
    </row>
    <row r="214" spans="1:8" x14ac:dyDescent="0.25">
      <c r="A214" t="s">
        <v>242</v>
      </c>
      <c r="B214">
        <f>_xlfn.XLOOKUP(A214,'Subbu- Mini Project EXcel Clean'!A214:A1213,'Subbu- Mini Project EXcel Clean'!I214:I1213,"Entry Level",0)</f>
        <v>4</v>
      </c>
      <c r="C214" t="str">
        <f>_xlfn.XLOOKUP(A214,'Subbu- Mini Project EXcel Clean'!A214:A1213,'Subbu- Mini Project EXcel Clean'!J214:J1213," ",0)</f>
        <v>Good</v>
      </c>
      <c r="D214">
        <f>_xlfn.XLOOKUP(A214,'Subbu- Mini Project EXcel Clean'!A214:A1213,'Subbu- Mini Project EXcel Clean'!N214:N1213,"entry Level",0)</f>
        <v>6.7</v>
      </c>
      <c r="E214">
        <f>_xlfn.XLOOKUP(A214,'Subbu- Mini Project EXcel Clean'!A214:A1213,'Subbu- Mini Project EXcel Clean'!M214:M1213," ",0)</f>
        <v>88.7</v>
      </c>
      <c r="F214">
        <f>_xlfn.XLOOKUP(A214,'Subbu- Mini Project EXcel Clean'!A214:A1213,'Subbu- Mini Project EXcel Clean'!P214:P1213," ",0)</f>
        <v>6</v>
      </c>
      <c r="G214" t="str">
        <f>_xlfn.XLOOKUP(A214,'Subbu- Mini Project EXcel Clean'!A214:A1213,'Subbu- Mini Project EXcel Clean'!Q214:Q1213," ",0)</f>
        <v>Moderate</v>
      </c>
      <c r="H214">
        <f>VLOOKUP(A214,'Subbu- Mini Project EXcel Clean'!A213:R1213,15,FALSE)</f>
        <v>5.6</v>
      </c>
    </row>
    <row r="215" spans="1:8" x14ac:dyDescent="0.25">
      <c r="A215" t="s">
        <v>243</v>
      </c>
      <c r="B215">
        <f>_xlfn.XLOOKUP(A215,'Subbu- Mini Project EXcel Clean'!A215:A1214,'Subbu- Mini Project EXcel Clean'!I215:I1214,"Entry Level",0)</f>
        <v>2</v>
      </c>
      <c r="C215" t="str">
        <f>_xlfn.XLOOKUP(A215,'Subbu- Mini Project EXcel Clean'!A215:A1214,'Subbu- Mini Project EXcel Clean'!J215:J1214," ",0)</f>
        <v>Consistent</v>
      </c>
      <c r="D215">
        <f>_xlfn.XLOOKUP(A215,'Subbu- Mini Project EXcel Clean'!A215:A1214,'Subbu- Mini Project EXcel Clean'!N215:N1214,"entry Level",0)</f>
        <v>7.2</v>
      </c>
      <c r="E215">
        <f>_xlfn.XLOOKUP(A215,'Subbu- Mini Project EXcel Clean'!A215:A1214,'Subbu- Mini Project EXcel Clean'!M215:M1214," ",0)</f>
        <v>57.7</v>
      </c>
      <c r="F215">
        <f>_xlfn.XLOOKUP(A215,'Subbu- Mini Project EXcel Clean'!A215:A1214,'Subbu- Mini Project EXcel Clean'!P215:P1214," ",0)</f>
        <v>1</v>
      </c>
      <c r="G215" t="str">
        <f>_xlfn.XLOOKUP(A215,'Subbu- Mini Project EXcel Clean'!A215:A1214,'Subbu- Mini Project EXcel Clean'!Q215:Q1214," ",0)</f>
        <v>Low</v>
      </c>
      <c r="H215">
        <f>VLOOKUP(A215,'Subbu- Mini Project EXcel Clean'!A214:R1214,15,FALSE)</f>
        <v>1.5</v>
      </c>
    </row>
    <row r="216" spans="1:8" x14ac:dyDescent="0.25">
      <c r="A216" t="s">
        <v>244</v>
      </c>
      <c r="B216">
        <f>_xlfn.XLOOKUP(A216,'Subbu- Mini Project EXcel Clean'!A216:A1215,'Subbu- Mini Project EXcel Clean'!I216:I1215,"Entry Level",0)</f>
        <v>5</v>
      </c>
      <c r="C216" t="str">
        <f>_xlfn.XLOOKUP(A216,'Subbu- Mini Project EXcel Clean'!A216:A1215,'Subbu- Mini Project EXcel Clean'!J216:J1215," ",0)</f>
        <v>Good</v>
      </c>
      <c r="D216">
        <f>_xlfn.XLOOKUP(A216,'Subbu- Mini Project EXcel Clean'!A216:A1215,'Subbu- Mini Project EXcel Clean'!N216:N1215,"entry Level",0)</f>
        <v>6.2</v>
      </c>
      <c r="E216">
        <f>_xlfn.XLOOKUP(A216,'Subbu- Mini Project EXcel Clean'!A216:A1215,'Subbu- Mini Project EXcel Clean'!M216:M1215," ",0)</f>
        <v>96.2</v>
      </c>
      <c r="F216">
        <f>_xlfn.XLOOKUP(A216,'Subbu- Mini Project EXcel Clean'!A216:A1215,'Subbu- Mini Project EXcel Clean'!P216:P1215," ",0)</f>
        <v>4</v>
      </c>
      <c r="G216" t="str">
        <f>_xlfn.XLOOKUP(A216,'Subbu- Mini Project EXcel Clean'!A216:A1215,'Subbu- Mini Project EXcel Clean'!Q216:Q1215," ",0)</f>
        <v>Moderate</v>
      </c>
      <c r="H216">
        <f>VLOOKUP(A216,'Subbu- Mini Project EXcel Clean'!A215:R1215,15,FALSE)</f>
        <v>4.2</v>
      </c>
    </row>
    <row r="217" spans="1:8" x14ac:dyDescent="0.25">
      <c r="A217" t="s">
        <v>245</v>
      </c>
      <c r="B217">
        <f>_xlfn.XLOOKUP(A217,'Subbu- Mini Project EXcel Clean'!A217:A1216,'Subbu- Mini Project EXcel Clean'!I217:I1216,"Entry Level",0)</f>
        <v>1</v>
      </c>
      <c r="C217" t="str">
        <f>_xlfn.XLOOKUP(A217,'Subbu- Mini Project EXcel Clean'!A217:A1216,'Subbu- Mini Project EXcel Clean'!J217:J1216," ",0)</f>
        <v>Consistent</v>
      </c>
      <c r="D217">
        <f>_xlfn.XLOOKUP(A217,'Subbu- Mini Project EXcel Clean'!A217:A1216,'Subbu- Mini Project EXcel Clean'!N217:N1216,"entry Level",0)</f>
        <v>7.5</v>
      </c>
      <c r="E217">
        <f>_xlfn.XLOOKUP(A217,'Subbu- Mini Project EXcel Clean'!A217:A1216,'Subbu- Mini Project EXcel Clean'!M217:M1216," ",0)</f>
        <v>65</v>
      </c>
      <c r="F217">
        <f>_xlfn.XLOOKUP(A217,'Subbu- Mini Project EXcel Clean'!A217:A1216,'Subbu- Mini Project EXcel Clean'!P217:P1216," ",0)</f>
        <v>5</v>
      </c>
      <c r="G217" t="str">
        <f>_xlfn.XLOOKUP(A217,'Subbu- Mini Project EXcel Clean'!A217:A1216,'Subbu- Mini Project EXcel Clean'!Q217:Q1216," ",0)</f>
        <v>Moderate</v>
      </c>
      <c r="H217">
        <f>VLOOKUP(A217,'Subbu- Mini Project EXcel Clean'!A216:R1216,15,FALSE)</f>
        <v>3.1</v>
      </c>
    </row>
    <row r="218" spans="1:8" x14ac:dyDescent="0.25">
      <c r="A218" t="s">
        <v>246</v>
      </c>
      <c r="B218">
        <f>_xlfn.XLOOKUP(A218,'Subbu- Mini Project EXcel Clean'!A218:A1217,'Subbu- Mini Project EXcel Clean'!I218:I1217,"Entry Level",0)</f>
        <v>4</v>
      </c>
      <c r="C218" t="str">
        <f>_xlfn.XLOOKUP(A218,'Subbu- Mini Project EXcel Clean'!A218:A1217,'Subbu- Mini Project EXcel Clean'!J218:J1217," ",0)</f>
        <v>Good</v>
      </c>
      <c r="D218">
        <f>_xlfn.XLOOKUP(A218,'Subbu- Mini Project EXcel Clean'!A218:A1217,'Subbu- Mini Project EXcel Clean'!N218:N1217,"entry Level",0)</f>
        <v>7.3</v>
      </c>
      <c r="E218">
        <f>_xlfn.XLOOKUP(A218,'Subbu- Mini Project EXcel Clean'!A218:A1217,'Subbu- Mini Project EXcel Clean'!M218:M1217," ",0)</f>
        <v>82.6</v>
      </c>
      <c r="F218">
        <f>_xlfn.XLOOKUP(A218,'Subbu- Mini Project EXcel Clean'!A218:A1217,'Subbu- Mini Project EXcel Clean'!P218:P1217," ",0)</f>
        <v>5</v>
      </c>
      <c r="G218" t="str">
        <f>_xlfn.XLOOKUP(A218,'Subbu- Mini Project EXcel Clean'!A218:A1217,'Subbu- Mini Project EXcel Clean'!Q218:Q1217," ",0)</f>
        <v>Moderate</v>
      </c>
      <c r="H218">
        <f>VLOOKUP(A218,'Subbu- Mini Project EXcel Clean'!A217:R1217,15,FALSE)</f>
        <v>3</v>
      </c>
    </row>
    <row r="219" spans="1:8" x14ac:dyDescent="0.25">
      <c r="A219" t="s">
        <v>247</v>
      </c>
      <c r="B219">
        <f>_xlfn.XLOOKUP(A219,'Subbu- Mini Project EXcel Clean'!A219:A1218,'Subbu- Mini Project EXcel Clean'!I219:I1218,"Entry Level",0)</f>
        <v>4</v>
      </c>
      <c r="C219" t="str">
        <f>_xlfn.XLOOKUP(A219,'Subbu- Mini Project EXcel Clean'!A219:A1218,'Subbu- Mini Project EXcel Clean'!J219:J1218," ",0)</f>
        <v>Good</v>
      </c>
      <c r="D219">
        <f>_xlfn.XLOOKUP(A219,'Subbu- Mini Project EXcel Clean'!A219:A1218,'Subbu- Mini Project EXcel Clean'!N219:N1218,"entry Level",0)</f>
        <v>6.8</v>
      </c>
      <c r="E219">
        <f>_xlfn.XLOOKUP(A219,'Subbu- Mini Project EXcel Clean'!A219:A1218,'Subbu- Mini Project EXcel Clean'!M219:M1218," ",0)</f>
        <v>89</v>
      </c>
      <c r="F219">
        <f>_xlfn.XLOOKUP(A219,'Subbu- Mini Project EXcel Clean'!A219:A1218,'Subbu- Mini Project EXcel Clean'!P219:P1218," ",0)</f>
        <v>2</v>
      </c>
      <c r="G219" t="str">
        <f>_xlfn.XLOOKUP(A219,'Subbu- Mini Project EXcel Clean'!A219:A1218,'Subbu- Mini Project EXcel Clean'!Q219:Q1218," ",0)</f>
        <v>Low</v>
      </c>
      <c r="H219">
        <f>VLOOKUP(A219,'Subbu- Mini Project EXcel Clean'!A218:R1218,15,FALSE)</f>
        <v>4.4000000000000004</v>
      </c>
    </row>
    <row r="220" spans="1:8" x14ac:dyDescent="0.25">
      <c r="A220" t="s">
        <v>248</v>
      </c>
      <c r="B220">
        <f>_xlfn.XLOOKUP(A220,'Subbu- Mini Project EXcel Clean'!A220:A1219,'Subbu- Mini Project EXcel Clean'!I220:I1219,"Entry Level",0)</f>
        <v>2</v>
      </c>
      <c r="C220" t="str">
        <f>_xlfn.XLOOKUP(A220,'Subbu- Mini Project EXcel Clean'!A220:A1219,'Subbu- Mini Project EXcel Clean'!J220:J1219," ",0)</f>
        <v>Consistent</v>
      </c>
      <c r="D220">
        <f>_xlfn.XLOOKUP(A220,'Subbu- Mini Project EXcel Clean'!A220:A1219,'Subbu- Mini Project EXcel Clean'!N220:N1219,"entry Level",0)</f>
        <v>7.2</v>
      </c>
      <c r="E220">
        <f>_xlfn.XLOOKUP(A220,'Subbu- Mini Project EXcel Clean'!A220:A1219,'Subbu- Mini Project EXcel Clean'!M220:M1219," ",0)</f>
        <v>81</v>
      </c>
      <c r="F220">
        <f>_xlfn.XLOOKUP(A220,'Subbu- Mini Project EXcel Clean'!A220:A1219,'Subbu- Mini Project EXcel Clean'!P220:P1219," ",0)</f>
        <v>2</v>
      </c>
      <c r="G220" t="str">
        <f>_xlfn.XLOOKUP(A220,'Subbu- Mini Project EXcel Clean'!A220:A1219,'Subbu- Mini Project EXcel Clean'!Q220:Q1219," ",0)</f>
        <v>Low</v>
      </c>
      <c r="H220">
        <f>VLOOKUP(A220,'Subbu- Mini Project EXcel Clean'!A219:R1219,15,FALSE)</f>
        <v>1.3</v>
      </c>
    </row>
    <row r="221" spans="1:8" x14ac:dyDescent="0.25">
      <c r="A221" t="s">
        <v>249</v>
      </c>
      <c r="B221">
        <f>_xlfn.XLOOKUP(A221,'Subbu- Mini Project EXcel Clean'!A221:A1220,'Subbu- Mini Project EXcel Clean'!I221:I1220,"Entry Level",0)</f>
        <v>3</v>
      </c>
      <c r="C221" t="str">
        <f>_xlfn.XLOOKUP(A221,'Subbu- Mini Project EXcel Clean'!A221:A1220,'Subbu- Mini Project EXcel Clean'!J221:J1220," ",0)</f>
        <v>Consistent</v>
      </c>
      <c r="D221">
        <f>_xlfn.XLOOKUP(A221,'Subbu- Mini Project EXcel Clean'!A221:A1220,'Subbu- Mini Project EXcel Clean'!N221:N1220,"entry Level",0)</f>
        <v>7.1</v>
      </c>
      <c r="E221">
        <f>_xlfn.XLOOKUP(A221,'Subbu- Mini Project EXcel Clean'!A221:A1220,'Subbu- Mini Project EXcel Clean'!M221:M1220," ",0)</f>
        <v>75.7</v>
      </c>
      <c r="F221">
        <f>_xlfn.XLOOKUP(A221,'Subbu- Mini Project EXcel Clean'!A221:A1220,'Subbu- Mini Project EXcel Clean'!P221:P1220," ",0)</f>
        <v>1</v>
      </c>
      <c r="G221" t="str">
        <f>_xlfn.XLOOKUP(A221,'Subbu- Mini Project EXcel Clean'!A221:A1220,'Subbu- Mini Project EXcel Clean'!Q221:Q1220," ",0)</f>
        <v>Low</v>
      </c>
      <c r="H221">
        <f>VLOOKUP(A221,'Subbu- Mini Project EXcel Clean'!A220:R1220,15,FALSE)</f>
        <v>4</v>
      </c>
    </row>
    <row r="222" spans="1:8" x14ac:dyDescent="0.25">
      <c r="A222" t="s">
        <v>250</v>
      </c>
      <c r="B222">
        <f>_xlfn.XLOOKUP(A222,'Subbu- Mini Project EXcel Clean'!A222:A1221,'Subbu- Mini Project EXcel Clean'!I222:I1221,"Entry Level",0)</f>
        <v>2</v>
      </c>
      <c r="C222" t="str">
        <f>_xlfn.XLOOKUP(A222,'Subbu- Mini Project EXcel Clean'!A222:A1221,'Subbu- Mini Project EXcel Clean'!J222:J1221," ",0)</f>
        <v>Consistent</v>
      </c>
      <c r="D222">
        <f>_xlfn.XLOOKUP(A222,'Subbu- Mini Project EXcel Clean'!A222:A1221,'Subbu- Mini Project EXcel Clean'!N222:N1221,"entry Level",0)</f>
        <v>6.2</v>
      </c>
      <c r="E222">
        <f>_xlfn.XLOOKUP(A222,'Subbu- Mini Project EXcel Clean'!A222:A1221,'Subbu- Mini Project EXcel Clean'!M222:M1221," ",0)</f>
        <v>70.3</v>
      </c>
      <c r="F222">
        <f>_xlfn.XLOOKUP(A222,'Subbu- Mini Project EXcel Clean'!A222:A1221,'Subbu- Mini Project EXcel Clean'!P222:P1221," ",0)</f>
        <v>2</v>
      </c>
      <c r="G222" t="str">
        <f>_xlfn.XLOOKUP(A222,'Subbu- Mini Project EXcel Clean'!A222:A1221,'Subbu- Mini Project EXcel Clean'!Q222:Q1221," ",0)</f>
        <v>Low</v>
      </c>
      <c r="H222">
        <f>VLOOKUP(A222,'Subbu- Mini Project EXcel Clean'!A221:R1221,15,FALSE)</f>
        <v>4.9000000000000004</v>
      </c>
    </row>
    <row r="223" spans="1:8" x14ac:dyDescent="0.25">
      <c r="A223" t="s">
        <v>251</v>
      </c>
      <c r="B223">
        <f>_xlfn.XLOOKUP(A223,'Subbu- Mini Project EXcel Clean'!A223:A1222,'Subbu- Mini Project EXcel Clean'!I223:I1222,"Entry Level",0)</f>
        <v>4</v>
      </c>
      <c r="C223" t="str">
        <f>_xlfn.XLOOKUP(A223,'Subbu- Mini Project EXcel Clean'!A223:A1222,'Subbu- Mini Project EXcel Clean'!J223:J1222," ",0)</f>
        <v>Excellent</v>
      </c>
      <c r="D223">
        <f>_xlfn.XLOOKUP(A223,'Subbu- Mini Project EXcel Clean'!A223:A1222,'Subbu- Mini Project EXcel Clean'!N223:N1222,"entry Level",0)</f>
        <v>6.4</v>
      </c>
      <c r="E223">
        <f>_xlfn.XLOOKUP(A223,'Subbu- Mini Project EXcel Clean'!A223:A1222,'Subbu- Mini Project EXcel Clean'!M223:M1222," ",0)</f>
        <v>85</v>
      </c>
      <c r="F223">
        <f>_xlfn.XLOOKUP(A223,'Subbu- Mini Project EXcel Clean'!A223:A1222,'Subbu- Mini Project EXcel Clean'!P223:P1222," ",0)</f>
        <v>5</v>
      </c>
      <c r="G223" t="str">
        <f>_xlfn.XLOOKUP(A223,'Subbu- Mini Project EXcel Clean'!A223:A1222,'Subbu- Mini Project EXcel Clean'!Q223:Q1222," ",0)</f>
        <v>Moderate</v>
      </c>
      <c r="H223">
        <f>VLOOKUP(A223,'Subbu- Mini Project EXcel Clean'!A222:R1222,15,FALSE)</f>
        <v>5.0999999999999996</v>
      </c>
    </row>
    <row r="224" spans="1:8" x14ac:dyDescent="0.25">
      <c r="A224" t="s">
        <v>252</v>
      </c>
      <c r="B224">
        <f>_xlfn.XLOOKUP(A224,'Subbu- Mini Project EXcel Clean'!A224:A1223,'Subbu- Mini Project EXcel Clean'!I224:I1223,"Entry Level",0)</f>
        <v>3</v>
      </c>
      <c r="C224" t="str">
        <f>_xlfn.XLOOKUP(A224,'Subbu- Mini Project EXcel Clean'!A224:A1223,'Subbu- Mini Project EXcel Clean'!J224:J1223," ",0)</f>
        <v>Excellent</v>
      </c>
      <c r="D224">
        <f>_xlfn.XLOOKUP(A224,'Subbu- Mini Project EXcel Clean'!A224:A1223,'Subbu- Mini Project EXcel Clean'!N224:N1223,"entry Level",0)</f>
        <v>8.1999999999999993</v>
      </c>
      <c r="E224">
        <f>_xlfn.XLOOKUP(A224,'Subbu- Mini Project EXcel Clean'!A224:A1223,'Subbu- Mini Project EXcel Clean'!M224:M1223," ",0)</f>
        <v>71</v>
      </c>
      <c r="F224">
        <f>_xlfn.XLOOKUP(A224,'Subbu- Mini Project EXcel Clean'!A224:A1223,'Subbu- Mini Project EXcel Clean'!P224:P1223," ",0)</f>
        <v>2</v>
      </c>
      <c r="G224" t="str">
        <f>_xlfn.XLOOKUP(A224,'Subbu- Mini Project EXcel Clean'!A224:A1223,'Subbu- Mini Project EXcel Clean'!Q224:Q1223," ",0)</f>
        <v>Low</v>
      </c>
      <c r="H224">
        <f>VLOOKUP(A224,'Subbu- Mini Project EXcel Clean'!A223:R1223,15,FALSE)</f>
        <v>1.9</v>
      </c>
    </row>
    <row r="225" spans="1:8" x14ac:dyDescent="0.25">
      <c r="A225" t="s">
        <v>253</v>
      </c>
      <c r="B225">
        <f>_xlfn.XLOOKUP(A225,'Subbu- Mini Project EXcel Clean'!A225:A1224,'Subbu- Mini Project EXcel Clean'!I225:I1224,"Entry Level",0)</f>
        <v>4</v>
      </c>
      <c r="C225" t="str">
        <f>_xlfn.XLOOKUP(A225,'Subbu- Mini Project EXcel Clean'!A225:A1224,'Subbu- Mini Project EXcel Clean'!J225:J1224," ",0)</f>
        <v>Excellent</v>
      </c>
      <c r="D225">
        <f>_xlfn.XLOOKUP(A225,'Subbu- Mini Project EXcel Clean'!A225:A1224,'Subbu- Mini Project EXcel Clean'!N225:N1224,"entry Level",0)</f>
        <v>6</v>
      </c>
      <c r="E225">
        <f>_xlfn.XLOOKUP(A225,'Subbu- Mini Project EXcel Clean'!A225:A1224,'Subbu- Mini Project EXcel Clean'!M225:M1224," ",0)</f>
        <v>84.6</v>
      </c>
      <c r="F225">
        <f>_xlfn.XLOOKUP(A225,'Subbu- Mini Project EXcel Clean'!A225:A1224,'Subbu- Mini Project EXcel Clean'!P225:P1224," ",0)</f>
        <v>2</v>
      </c>
      <c r="G225" t="str">
        <f>_xlfn.XLOOKUP(A225,'Subbu- Mini Project EXcel Clean'!A225:A1224,'Subbu- Mini Project EXcel Clean'!Q225:Q1224," ",0)</f>
        <v>Low</v>
      </c>
      <c r="H225">
        <f>VLOOKUP(A225,'Subbu- Mini Project EXcel Clean'!A224:R1224,15,FALSE)</f>
        <v>5.5</v>
      </c>
    </row>
    <row r="226" spans="1:8" x14ac:dyDescent="0.25">
      <c r="A226" t="s">
        <v>254</v>
      </c>
      <c r="B226">
        <f>_xlfn.XLOOKUP(A226,'Subbu- Mini Project EXcel Clean'!A226:A1225,'Subbu- Mini Project EXcel Clean'!I226:I1225,"Entry Level",0)</f>
        <v>2</v>
      </c>
      <c r="C226" t="str">
        <f>_xlfn.XLOOKUP(A226,'Subbu- Mini Project EXcel Clean'!A226:A1225,'Subbu- Mini Project EXcel Clean'!J226:J1225," ",0)</f>
        <v>Consistent</v>
      </c>
      <c r="D226">
        <f>_xlfn.XLOOKUP(A226,'Subbu- Mini Project EXcel Clean'!A226:A1225,'Subbu- Mini Project EXcel Clean'!N226:N1225,"entry Level",0)</f>
        <v>5.9</v>
      </c>
      <c r="E226">
        <f>_xlfn.XLOOKUP(A226,'Subbu- Mini Project EXcel Clean'!A226:A1225,'Subbu- Mini Project EXcel Clean'!M226:M1225," ",0)</f>
        <v>66.5</v>
      </c>
      <c r="F226">
        <f>_xlfn.XLOOKUP(A226,'Subbu- Mini Project EXcel Clean'!A226:A1225,'Subbu- Mini Project EXcel Clean'!P226:P1225," ",0)</f>
        <v>7</v>
      </c>
      <c r="G226" t="str">
        <f>_xlfn.XLOOKUP(A226,'Subbu- Mini Project EXcel Clean'!A226:A1225,'Subbu- Mini Project EXcel Clean'!Q226:Q1225," ",0)</f>
        <v>High</v>
      </c>
      <c r="H226">
        <f>VLOOKUP(A226,'Subbu- Mini Project EXcel Clean'!A225:R1225,15,FALSE)</f>
        <v>4.3</v>
      </c>
    </row>
    <row r="227" spans="1:8" x14ac:dyDescent="0.25">
      <c r="A227" t="s">
        <v>255</v>
      </c>
      <c r="B227">
        <f>_xlfn.XLOOKUP(A227,'Subbu- Mini Project EXcel Clean'!A227:A1226,'Subbu- Mini Project EXcel Clean'!I227:I1226,"Entry Level",0)</f>
        <v>2</v>
      </c>
      <c r="C227" t="str">
        <f>_xlfn.XLOOKUP(A227,'Subbu- Mini Project EXcel Clean'!A227:A1226,'Subbu- Mini Project EXcel Clean'!J227:J1226," ",0)</f>
        <v>Consistent</v>
      </c>
      <c r="D227">
        <f>_xlfn.XLOOKUP(A227,'Subbu- Mini Project EXcel Clean'!A227:A1226,'Subbu- Mini Project EXcel Clean'!N227:N1226,"entry Level",0)</f>
        <v>5.9</v>
      </c>
      <c r="E227">
        <f>_xlfn.XLOOKUP(A227,'Subbu- Mini Project EXcel Clean'!A227:A1226,'Subbu- Mini Project EXcel Clean'!M227:M1226," ",0)</f>
        <v>66.5</v>
      </c>
      <c r="F227">
        <f>_xlfn.XLOOKUP(A227,'Subbu- Mini Project EXcel Clean'!A227:A1226,'Subbu- Mini Project EXcel Clean'!P227:P1226," ",0)</f>
        <v>6</v>
      </c>
      <c r="G227" t="str">
        <f>_xlfn.XLOOKUP(A227,'Subbu- Mini Project EXcel Clean'!A227:A1226,'Subbu- Mini Project EXcel Clean'!Q227:Q1226," ",0)</f>
        <v>High</v>
      </c>
      <c r="H227">
        <f>VLOOKUP(A227,'Subbu- Mini Project EXcel Clean'!A226:R1226,15,FALSE)</f>
        <v>5.4</v>
      </c>
    </row>
    <row r="228" spans="1:8" x14ac:dyDescent="0.25">
      <c r="A228" t="s">
        <v>256</v>
      </c>
      <c r="B228">
        <f>_xlfn.XLOOKUP(A228,'Subbu- Mini Project EXcel Clean'!A228:A1227,'Subbu- Mini Project EXcel Clean'!I228:I1227,"Entry Level",0)</f>
        <v>1</v>
      </c>
      <c r="C228" t="str">
        <f>_xlfn.XLOOKUP(A228,'Subbu- Mini Project EXcel Clean'!A228:A1227,'Subbu- Mini Project EXcel Clean'!J228:J1227," ",0)</f>
        <v>Consistent</v>
      </c>
      <c r="D228">
        <f>_xlfn.XLOOKUP(A228,'Subbu- Mini Project EXcel Clean'!A228:A1227,'Subbu- Mini Project EXcel Clean'!N228:N1227,"entry Level",0)</f>
        <v>7.5</v>
      </c>
      <c r="E228">
        <f>_xlfn.XLOOKUP(A228,'Subbu- Mini Project EXcel Clean'!A228:A1227,'Subbu- Mini Project EXcel Clean'!M228:M1227," ",0)</f>
        <v>61.1</v>
      </c>
      <c r="F228">
        <f>_xlfn.XLOOKUP(A228,'Subbu- Mini Project EXcel Clean'!A228:A1227,'Subbu- Mini Project EXcel Clean'!P228:P1227," ",0)</f>
        <v>5</v>
      </c>
      <c r="G228" t="str">
        <f>_xlfn.XLOOKUP(A228,'Subbu- Mini Project EXcel Clean'!A228:A1227,'Subbu- Mini Project EXcel Clean'!Q228:Q1227," ",0)</f>
        <v>Moderate</v>
      </c>
      <c r="H228">
        <f>VLOOKUP(A228,'Subbu- Mini Project EXcel Clean'!A227:R1227,15,FALSE)</f>
        <v>3.4</v>
      </c>
    </row>
    <row r="229" spans="1:8" x14ac:dyDescent="0.25">
      <c r="A229" t="s">
        <v>257</v>
      </c>
      <c r="B229">
        <f>_xlfn.XLOOKUP(A229,'Subbu- Mini Project EXcel Clean'!A229:A1228,'Subbu- Mini Project EXcel Clean'!I229:I1228,"Entry Level",0)</f>
        <v>2</v>
      </c>
      <c r="C229" t="str">
        <f>_xlfn.XLOOKUP(A229,'Subbu- Mini Project EXcel Clean'!A229:A1228,'Subbu- Mini Project EXcel Clean'!J229:J1228," ",0)</f>
        <v>Consistent</v>
      </c>
      <c r="D229">
        <f>_xlfn.XLOOKUP(A229,'Subbu- Mini Project EXcel Clean'!A229:A1228,'Subbu- Mini Project EXcel Clean'!N229:N1228,"entry Level",0)</f>
        <v>7</v>
      </c>
      <c r="E229">
        <f>_xlfn.XLOOKUP(A229,'Subbu- Mini Project EXcel Clean'!A229:A1228,'Subbu- Mini Project EXcel Clean'!M229:M1228," ",0)</f>
        <v>74.2</v>
      </c>
      <c r="F229">
        <f>_xlfn.XLOOKUP(A229,'Subbu- Mini Project EXcel Clean'!A229:A1228,'Subbu- Mini Project EXcel Clean'!P229:P1228," ",0)</f>
        <v>3</v>
      </c>
      <c r="G229" t="str">
        <f>_xlfn.XLOOKUP(A229,'Subbu- Mini Project EXcel Clean'!A229:A1228,'Subbu- Mini Project EXcel Clean'!Q229:Q1228," ",0)</f>
        <v>Low</v>
      </c>
      <c r="H229">
        <f>VLOOKUP(A229,'Subbu- Mini Project EXcel Clean'!A228:R1228,15,FALSE)</f>
        <v>3.7</v>
      </c>
    </row>
    <row r="230" spans="1:8" x14ac:dyDescent="0.25">
      <c r="A230" t="s">
        <v>258</v>
      </c>
      <c r="B230">
        <f>_xlfn.XLOOKUP(A230,'Subbu- Mini Project EXcel Clean'!A230:A1229,'Subbu- Mini Project EXcel Clean'!I230:I1229,"Entry Level",0)</f>
        <v>3</v>
      </c>
      <c r="C230" t="str">
        <f>_xlfn.XLOOKUP(A230,'Subbu- Mini Project EXcel Clean'!A230:A1229,'Subbu- Mini Project EXcel Clean'!J230:J1229," ",0)</f>
        <v>Excellent</v>
      </c>
      <c r="D230">
        <f>_xlfn.XLOOKUP(A230,'Subbu- Mini Project EXcel Clean'!A230:A1229,'Subbu- Mini Project EXcel Clean'!N230:N1229,"entry Level",0)</f>
        <v>6.3</v>
      </c>
      <c r="E230">
        <f>_xlfn.XLOOKUP(A230,'Subbu- Mini Project EXcel Clean'!A230:A1229,'Subbu- Mini Project EXcel Clean'!M230:M1229," ",0)</f>
        <v>81.599999999999994</v>
      </c>
      <c r="F230">
        <f>_xlfn.XLOOKUP(A230,'Subbu- Mini Project EXcel Clean'!A230:A1229,'Subbu- Mini Project EXcel Clean'!P230:P1229," ",0)</f>
        <v>1</v>
      </c>
      <c r="G230" t="str">
        <f>_xlfn.XLOOKUP(A230,'Subbu- Mini Project EXcel Clean'!A230:A1229,'Subbu- Mini Project EXcel Clean'!Q230:Q1229," ",0)</f>
        <v>Low</v>
      </c>
      <c r="H230">
        <f>VLOOKUP(A230,'Subbu- Mini Project EXcel Clean'!A229:R1229,15,FALSE)</f>
        <v>5.6</v>
      </c>
    </row>
    <row r="231" spans="1:8" x14ac:dyDescent="0.25">
      <c r="A231" t="s">
        <v>259</v>
      </c>
      <c r="B231">
        <f>_xlfn.XLOOKUP(A231,'Subbu- Mini Project EXcel Clean'!A231:A1230,'Subbu- Mini Project EXcel Clean'!I231:I1230,"Entry Level",0)</f>
        <v>4</v>
      </c>
      <c r="C231" t="str">
        <f>_xlfn.XLOOKUP(A231,'Subbu- Mini Project EXcel Clean'!A231:A1230,'Subbu- Mini Project EXcel Clean'!J231:J1230," ",0)</f>
        <v>Good</v>
      </c>
      <c r="D231">
        <f>_xlfn.XLOOKUP(A231,'Subbu- Mini Project EXcel Clean'!A231:A1230,'Subbu- Mini Project EXcel Clean'!N231:N1230,"entry Level",0)</f>
        <v>6.1</v>
      </c>
      <c r="E231">
        <f>_xlfn.XLOOKUP(A231,'Subbu- Mini Project EXcel Clean'!A231:A1230,'Subbu- Mini Project EXcel Clean'!M231:M1230," ",0)</f>
        <v>88</v>
      </c>
      <c r="F231">
        <f>_xlfn.XLOOKUP(A231,'Subbu- Mini Project EXcel Clean'!A231:A1230,'Subbu- Mini Project EXcel Clean'!P231:P1230," ",0)</f>
        <v>3</v>
      </c>
      <c r="G231" t="str">
        <f>_xlfn.XLOOKUP(A231,'Subbu- Mini Project EXcel Clean'!A231:A1230,'Subbu- Mini Project EXcel Clean'!Q231:Q1230," ",0)</f>
        <v>Low</v>
      </c>
      <c r="H231">
        <f>VLOOKUP(A231,'Subbu- Mini Project EXcel Clean'!A230:R1230,15,FALSE)</f>
        <v>5.5</v>
      </c>
    </row>
    <row r="232" spans="1:8" x14ac:dyDescent="0.25">
      <c r="A232" t="s">
        <v>260</v>
      </c>
      <c r="B232">
        <f>_xlfn.XLOOKUP(A232,'Subbu- Mini Project EXcel Clean'!A232:A1231,'Subbu- Mini Project EXcel Clean'!I232:I1231,"Entry Level",0)</f>
        <v>4</v>
      </c>
      <c r="C232" t="str">
        <f>_xlfn.XLOOKUP(A232,'Subbu- Mini Project EXcel Clean'!A232:A1231,'Subbu- Mini Project EXcel Clean'!J232:J1231," ",0)</f>
        <v>Excellent</v>
      </c>
      <c r="D232">
        <f>_xlfn.XLOOKUP(A232,'Subbu- Mini Project EXcel Clean'!A232:A1231,'Subbu- Mini Project EXcel Clean'!N232:N1231,"entry Level",0)</f>
        <v>7.3</v>
      </c>
      <c r="E232">
        <f>_xlfn.XLOOKUP(A232,'Subbu- Mini Project EXcel Clean'!A232:A1231,'Subbu- Mini Project EXcel Clean'!M232:M1231," ",0)</f>
        <v>89.1</v>
      </c>
      <c r="F232">
        <f>_xlfn.XLOOKUP(A232,'Subbu- Mini Project EXcel Clean'!A232:A1231,'Subbu- Mini Project EXcel Clean'!P232:P1231," ",0)</f>
        <v>1</v>
      </c>
      <c r="G232" t="str">
        <f>_xlfn.XLOOKUP(A232,'Subbu- Mini Project EXcel Clean'!A232:A1231,'Subbu- Mini Project EXcel Clean'!Q232:Q1231," ",0)</f>
        <v>Low</v>
      </c>
      <c r="H232">
        <f>VLOOKUP(A232,'Subbu- Mini Project EXcel Clean'!A231:R1231,15,FALSE)</f>
        <v>3.2</v>
      </c>
    </row>
    <row r="233" spans="1:8" x14ac:dyDescent="0.25">
      <c r="A233" t="s">
        <v>261</v>
      </c>
      <c r="B233">
        <f>_xlfn.XLOOKUP(A233,'Subbu- Mini Project EXcel Clean'!A233:A1232,'Subbu- Mini Project EXcel Clean'!I233:I1232,"Entry Level",0)</f>
        <v>3</v>
      </c>
      <c r="C233" t="str">
        <f>_xlfn.XLOOKUP(A233,'Subbu- Mini Project EXcel Clean'!A233:A1232,'Subbu- Mini Project EXcel Clean'!J233:J1232," ",0)</f>
        <v>Consistent</v>
      </c>
      <c r="D233">
        <f>_xlfn.XLOOKUP(A233,'Subbu- Mini Project EXcel Clean'!A233:A1232,'Subbu- Mini Project EXcel Clean'!N233:N1232,"entry Level",0)</f>
        <v>6.9</v>
      </c>
      <c r="E233">
        <f>_xlfn.XLOOKUP(A233,'Subbu- Mini Project EXcel Clean'!A233:A1232,'Subbu- Mini Project EXcel Clean'!M233:M1232," ",0)</f>
        <v>67.7</v>
      </c>
      <c r="F233">
        <f>_xlfn.XLOOKUP(A233,'Subbu- Mini Project EXcel Clean'!A233:A1232,'Subbu- Mini Project EXcel Clean'!P233:P1232," ",0)</f>
        <v>9</v>
      </c>
      <c r="G233" t="str">
        <f>_xlfn.XLOOKUP(A233,'Subbu- Mini Project EXcel Clean'!A233:A1232,'Subbu- Mini Project EXcel Clean'!Q233:Q1232," ",0)</f>
        <v>High</v>
      </c>
      <c r="H233">
        <f>VLOOKUP(A233,'Subbu- Mini Project EXcel Clean'!A232:R1232,15,FALSE)</f>
        <v>2.4</v>
      </c>
    </row>
    <row r="234" spans="1:8" x14ac:dyDescent="0.25">
      <c r="A234" t="s">
        <v>262</v>
      </c>
      <c r="B234">
        <f>_xlfn.XLOOKUP(A234,'Subbu- Mini Project EXcel Clean'!A234:A1233,'Subbu- Mini Project EXcel Clean'!I234:I1233,"Entry Level",0)</f>
        <v>5</v>
      </c>
      <c r="C234" t="str">
        <f>_xlfn.XLOOKUP(A234,'Subbu- Mini Project EXcel Clean'!A234:A1233,'Subbu- Mini Project EXcel Clean'!J234:J1233," ",0)</f>
        <v>Good</v>
      </c>
      <c r="D234">
        <f>_xlfn.XLOOKUP(A234,'Subbu- Mini Project EXcel Clean'!A234:A1233,'Subbu- Mini Project EXcel Clean'!N234:N1233,"entry Level",0)</f>
        <v>7.3</v>
      </c>
      <c r="E234">
        <f>_xlfn.XLOOKUP(A234,'Subbu- Mini Project EXcel Clean'!A234:A1233,'Subbu- Mini Project EXcel Clean'!M234:M1233," ",0)</f>
        <v>87.9</v>
      </c>
      <c r="F234">
        <f>_xlfn.XLOOKUP(A234,'Subbu- Mini Project EXcel Clean'!A234:A1233,'Subbu- Mini Project EXcel Clean'!P234:P1233," ",0)</f>
        <v>1</v>
      </c>
      <c r="G234" t="str">
        <f>_xlfn.XLOOKUP(A234,'Subbu- Mini Project EXcel Clean'!A234:A1233,'Subbu- Mini Project EXcel Clean'!Q234:Q1233," ",0)</f>
        <v>Low</v>
      </c>
      <c r="H234">
        <f>VLOOKUP(A234,'Subbu- Mini Project EXcel Clean'!A233:R1233,15,FALSE)</f>
        <v>3</v>
      </c>
    </row>
    <row r="235" spans="1:8" x14ac:dyDescent="0.25">
      <c r="A235" t="s">
        <v>263</v>
      </c>
      <c r="B235">
        <f>_xlfn.XLOOKUP(A235,'Subbu- Mini Project EXcel Clean'!A235:A1234,'Subbu- Mini Project EXcel Clean'!I235:I1234,"Entry Level",0)</f>
        <v>4</v>
      </c>
      <c r="C235" t="str">
        <f>_xlfn.XLOOKUP(A235,'Subbu- Mini Project EXcel Clean'!A235:A1234,'Subbu- Mini Project EXcel Clean'!J235:J1234," ",0)</f>
        <v>Excellent</v>
      </c>
      <c r="D235">
        <f>_xlfn.XLOOKUP(A235,'Subbu- Mini Project EXcel Clean'!A235:A1234,'Subbu- Mini Project EXcel Clean'!N235:N1234,"entry Level",0)</f>
        <v>6.8</v>
      </c>
      <c r="E235">
        <f>_xlfn.XLOOKUP(A235,'Subbu- Mini Project EXcel Clean'!A235:A1234,'Subbu- Mini Project EXcel Clean'!M235:M1234," ",0)</f>
        <v>92.5</v>
      </c>
      <c r="F235">
        <f>_xlfn.XLOOKUP(A235,'Subbu- Mini Project EXcel Clean'!A235:A1234,'Subbu- Mini Project EXcel Clean'!P235:P1234," ",0)</f>
        <v>1</v>
      </c>
      <c r="G235" t="str">
        <f>_xlfn.XLOOKUP(A235,'Subbu- Mini Project EXcel Clean'!A235:A1234,'Subbu- Mini Project EXcel Clean'!Q235:Q1234," ",0)</f>
        <v>Low</v>
      </c>
      <c r="H235">
        <f>VLOOKUP(A235,'Subbu- Mini Project EXcel Clean'!A234:R1234,15,FALSE)</f>
        <v>2.9</v>
      </c>
    </row>
    <row r="236" spans="1:8" x14ac:dyDescent="0.25">
      <c r="A236" t="s">
        <v>264</v>
      </c>
      <c r="B236">
        <f>_xlfn.XLOOKUP(A236,'Subbu- Mini Project EXcel Clean'!A236:A1235,'Subbu- Mini Project EXcel Clean'!I236:I1235,"Entry Level",0)</f>
        <v>5</v>
      </c>
      <c r="C236" t="str">
        <f>_xlfn.XLOOKUP(A236,'Subbu- Mini Project EXcel Clean'!A236:A1235,'Subbu- Mini Project EXcel Clean'!J236:J1235," ",0)</f>
        <v>Good</v>
      </c>
      <c r="D236">
        <f>_xlfn.XLOOKUP(A236,'Subbu- Mini Project EXcel Clean'!A236:A1235,'Subbu- Mini Project EXcel Clean'!N236:N1235,"entry Level",0)</f>
        <v>6.8</v>
      </c>
      <c r="E236">
        <f>_xlfn.XLOOKUP(A236,'Subbu- Mini Project EXcel Clean'!A236:A1235,'Subbu- Mini Project EXcel Clean'!M236:M1235," ",0)</f>
        <v>99.7</v>
      </c>
      <c r="F236">
        <f>_xlfn.XLOOKUP(A236,'Subbu- Mini Project EXcel Clean'!A236:A1235,'Subbu- Mini Project EXcel Clean'!P236:P1235," ",0)</f>
        <v>4</v>
      </c>
      <c r="G236" t="str">
        <f>_xlfn.XLOOKUP(A236,'Subbu- Mini Project EXcel Clean'!A236:A1235,'Subbu- Mini Project EXcel Clean'!Q236:Q1235," ",0)</f>
        <v>Moderate</v>
      </c>
      <c r="H236">
        <f>VLOOKUP(A236,'Subbu- Mini Project EXcel Clean'!A235:R1235,15,FALSE)</f>
        <v>2.4</v>
      </c>
    </row>
    <row r="237" spans="1:8" x14ac:dyDescent="0.25">
      <c r="A237" t="s">
        <v>265</v>
      </c>
      <c r="B237">
        <f>_xlfn.XLOOKUP(A237,'Subbu- Mini Project EXcel Clean'!A237:A1236,'Subbu- Mini Project EXcel Clean'!I237:I1236,"Entry Level",0)</f>
        <v>3</v>
      </c>
      <c r="C237" t="str">
        <f>_xlfn.XLOOKUP(A237,'Subbu- Mini Project EXcel Clean'!A237:A1236,'Subbu- Mini Project EXcel Clean'!J237:J1236," ",0)</f>
        <v>Excellent</v>
      </c>
      <c r="D237">
        <f>_xlfn.XLOOKUP(A237,'Subbu- Mini Project EXcel Clean'!A237:A1236,'Subbu- Mini Project EXcel Clean'!N237:N1236,"entry Level",0)</f>
        <v>7</v>
      </c>
      <c r="E237">
        <f>_xlfn.XLOOKUP(A237,'Subbu- Mini Project EXcel Clean'!A237:A1236,'Subbu- Mini Project EXcel Clean'!M237:M1236," ",0)</f>
        <v>80.8</v>
      </c>
      <c r="F237">
        <f>_xlfn.XLOOKUP(A237,'Subbu- Mini Project EXcel Clean'!A237:A1236,'Subbu- Mini Project EXcel Clean'!P237:P1236," ",0)</f>
        <v>2</v>
      </c>
      <c r="G237" t="str">
        <f>_xlfn.XLOOKUP(A237,'Subbu- Mini Project EXcel Clean'!A237:A1236,'Subbu- Mini Project EXcel Clean'!Q237:Q1236," ",0)</f>
        <v>Low</v>
      </c>
      <c r="H237">
        <f>VLOOKUP(A237,'Subbu- Mini Project EXcel Clean'!A236:R1236,15,FALSE)</f>
        <v>2.2999999999999998</v>
      </c>
    </row>
    <row r="238" spans="1:8" x14ac:dyDescent="0.25">
      <c r="A238" t="s">
        <v>266</v>
      </c>
      <c r="B238">
        <f>_xlfn.XLOOKUP(A238,'Subbu- Mini Project EXcel Clean'!A238:A1237,'Subbu- Mini Project EXcel Clean'!I238:I1237,"Entry Level",0)</f>
        <v>2</v>
      </c>
      <c r="C238" t="str">
        <f>_xlfn.XLOOKUP(A238,'Subbu- Mini Project EXcel Clean'!A238:A1237,'Subbu- Mini Project EXcel Clean'!J238:J1237," ",0)</f>
        <v>Consistent</v>
      </c>
      <c r="D238">
        <f>_xlfn.XLOOKUP(A238,'Subbu- Mini Project EXcel Clean'!A238:A1237,'Subbu- Mini Project EXcel Clean'!N238:N1237,"entry Level",0)</f>
        <v>6.2</v>
      </c>
      <c r="E238">
        <f>_xlfn.XLOOKUP(A238,'Subbu- Mini Project EXcel Clean'!A238:A1237,'Subbu- Mini Project EXcel Clean'!M238:M1237," ",0)</f>
        <v>63.4</v>
      </c>
      <c r="F238">
        <f>_xlfn.XLOOKUP(A238,'Subbu- Mini Project EXcel Clean'!A238:A1237,'Subbu- Mini Project EXcel Clean'!P238:P1237," ",0)</f>
        <v>3</v>
      </c>
      <c r="G238" t="str">
        <f>_xlfn.XLOOKUP(A238,'Subbu- Mini Project EXcel Clean'!A238:A1237,'Subbu- Mini Project EXcel Clean'!Q238:Q1237," ",0)</f>
        <v>Moderate</v>
      </c>
      <c r="H238">
        <f>VLOOKUP(A238,'Subbu- Mini Project EXcel Clean'!A237:R1237,15,FALSE)</f>
        <v>5.3</v>
      </c>
    </row>
    <row r="239" spans="1:8" x14ac:dyDescent="0.25">
      <c r="A239" t="s">
        <v>267</v>
      </c>
      <c r="B239">
        <f>_xlfn.XLOOKUP(A239,'Subbu- Mini Project EXcel Clean'!A239:A1238,'Subbu- Mini Project EXcel Clean'!I239:I1238,"Entry Level",0)</f>
        <v>1</v>
      </c>
      <c r="C239" t="str">
        <f>_xlfn.XLOOKUP(A239,'Subbu- Mini Project EXcel Clean'!A239:A1238,'Subbu- Mini Project EXcel Clean'!J239:J1238," ",0)</f>
        <v>Consistent</v>
      </c>
      <c r="D239">
        <f>_xlfn.XLOOKUP(A239,'Subbu- Mini Project EXcel Clean'!A239:A1238,'Subbu- Mini Project EXcel Clean'!N239:N1238,"entry Level",0)</f>
        <v>7.6</v>
      </c>
      <c r="E239">
        <f>_xlfn.XLOOKUP(A239,'Subbu- Mini Project EXcel Clean'!A239:A1238,'Subbu- Mini Project EXcel Clean'!M239:M1238," ",0)</f>
        <v>58.6</v>
      </c>
      <c r="F239">
        <f>_xlfn.XLOOKUP(A239,'Subbu- Mini Project EXcel Clean'!A239:A1238,'Subbu- Mini Project EXcel Clean'!P239:P1238," ",0)</f>
        <v>1</v>
      </c>
      <c r="G239" t="str">
        <f>_xlfn.XLOOKUP(A239,'Subbu- Mini Project EXcel Clean'!A239:A1238,'Subbu- Mini Project EXcel Clean'!Q239:Q1238," ",0)</f>
        <v>Low</v>
      </c>
      <c r="H239">
        <f>VLOOKUP(A239,'Subbu- Mini Project EXcel Clean'!A238:R1238,15,FALSE)</f>
        <v>1.3</v>
      </c>
    </row>
    <row r="240" spans="1:8" x14ac:dyDescent="0.25">
      <c r="A240" t="s">
        <v>268</v>
      </c>
      <c r="B240">
        <f>_xlfn.XLOOKUP(A240,'Subbu- Mini Project EXcel Clean'!A240:A1239,'Subbu- Mini Project EXcel Clean'!I240:I1239,"Entry Level",0)</f>
        <v>4</v>
      </c>
      <c r="C240" t="str">
        <f>_xlfn.XLOOKUP(A240,'Subbu- Mini Project EXcel Clean'!A240:A1239,'Subbu- Mini Project EXcel Clean'!J240:J1239," ",0)</f>
        <v>Excellent</v>
      </c>
      <c r="D240">
        <f>_xlfn.XLOOKUP(A240,'Subbu- Mini Project EXcel Clean'!A240:A1239,'Subbu- Mini Project EXcel Clean'!N240:N1239,"entry Level",0)</f>
        <v>6.8</v>
      </c>
      <c r="E240">
        <f>_xlfn.XLOOKUP(A240,'Subbu- Mini Project EXcel Clean'!A240:A1239,'Subbu- Mini Project EXcel Clean'!M240:M1239," ",0)</f>
        <v>87.7</v>
      </c>
      <c r="F240">
        <f>_xlfn.XLOOKUP(A240,'Subbu- Mini Project EXcel Clean'!A240:A1239,'Subbu- Mini Project EXcel Clean'!P240:P1239," ",0)</f>
        <v>2</v>
      </c>
      <c r="G240" t="str">
        <f>_xlfn.XLOOKUP(A240,'Subbu- Mini Project EXcel Clean'!A240:A1239,'Subbu- Mini Project EXcel Clean'!Q240:Q1239," ",0)</f>
        <v>Low</v>
      </c>
      <c r="H240">
        <f>VLOOKUP(A240,'Subbu- Mini Project EXcel Clean'!A239:R1239,15,FALSE)</f>
        <v>4.4000000000000004</v>
      </c>
    </row>
    <row r="241" spans="1:8" x14ac:dyDescent="0.25">
      <c r="A241" t="s">
        <v>269</v>
      </c>
      <c r="B241">
        <f>_xlfn.XLOOKUP(A241,'Subbu- Mini Project EXcel Clean'!A241:A1240,'Subbu- Mini Project EXcel Clean'!I241:I1240,"Entry Level",0)</f>
        <v>2</v>
      </c>
      <c r="C241" t="str">
        <f>_xlfn.XLOOKUP(A241,'Subbu- Mini Project EXcel Clean'!A241:A1240,'Subbu- Mini Project EXcel Clean'!J241:J1240," ",0)</f>
        <v>Consistent</v>
      </c>
      <c r="D241">
        <f>_xlfn.XLOOKUP(A241,'Subbu- Mini Project EXcel Clean'!A241:A1240,'Subbu- Mini Project EXcel Clean'!N241:N1240,"entry Level",0)</f>
        <v>5.6</v>
      </c>
      <c r="E241">
        <f>_xlfn.XLOOKUP(A241,'Subbu- Mini Project EXcel Clean'!A241:A1240,'Subbu- Mini Project EXcel Clean'!M241:M1240," ",0)</f>
        <v>56.9</v>
      </c>
      <c r="F241">
        <f>_xlfn.XLOOKUP(A241,'Subbu- Mini Project EXcel Clean'!A241:A1240,'Subbu- Mini Project EXcel Clean'!P241:P1240," ",0)</f>
        <v>1</v>
      </c>
      <c r="G241" t="str">
        <f>_xlfn.XLOOKUP(A241,'Subbu- Mini Project EXcel Clean'!A241:A1240,'Subbu- Mini Project EXcel Clean'!Q241:Q1240," ",0)</f>
        <v>Low</v>
      </c>
      <c r="H241">
        <f>VLOOKUP(A241,'Subbu- Mini Project EXcel Clean'!A240:R1240,15,FALSE)</f>
        <v>1.9</v>
      </c>
    </row>
    <row r="242" spans="1:8" x14ac:dyDescent="0.25">
      <c r="A242" t="s">
        <v>270</v>
      </c>
      <c r="B242">
        <f>_xlfn.XLOOKUP(A242,'Subbu- Mini Project EXcel Clean'!A242:A1241,'Subbu- Mini Project EXcel Clean'!I242:I1241,"Entry Level",0)</f>
        <v>2</v>
      </c>
      <c r="C242" t="str">
        <f>_xlfn.XLOOKUP(A242,'Subbu- Mini Project EXcel Clean'!A242:A1241,'Subbu- Mini Project EXcel Clean'!J242:J1241," ",0)</f>
        <v>Consistent</v>
      </c>
      <c r="D242">
        <f>_xlfn.XLOOKUP(A242,'Subbu- Mini Project EXcel Clean'!A242:A1241,'Subbu- Mini Project EXcel Clean'!N242:N1241,"entry Level",0)</f>
        <v>6.8</v>
      </c>
      <c r="E242">
        <f>_xlfn.XLOOKUP(A242,'Subbu- Mini Project EXcel Clean'!A242:A1241,'Subbu- Mini Project EXcel Clean'!M242:M1241," ",0)</f>
        <v>68.400000000000006</v>
      </c>
      <c r="F242">
        <f>_xlfn.XLOOKUP(A242,'Subbu- Mini Project EXcel Clean'!A242:A1241,'Subbu- Mini Project EXcel Clean'!P242:P1241," ",0)</f>
        <v>2</v>
      </c>
      <c r="G242" t="str">
        <f>_xlfn.XLOOKUP(A242,'Subbu- Mini Project EXcel Clean'!A242:A1241,'Subbu- Mini Project EXcel Clean'!Q242:Q1241," ",0)</f>
        <v>Low</v>
      </c>
      <c r="H242">
        <f>VLOOKUP(A242,'Subbu- Mini Project EXcel Clean'!A241:R1241,15,FALSE)</f>
        <v>2.7</v>
      </c>
    </row>
    <row r="243" spans="1:8" x14ac:dyDescent="0.25">
      <c r="A243" t="s">
        <v>271</v>
      </c>
      <c r="B243">
        <f>_xlfn.XLOOKUP(A243,'Subbu- Mini Project EXcel Clean'!A243:A1242,'Subbu- Mini Project EXcel Clean'!I243:I1242,"Entry Level",0)</f>
        <v>3</v>
      </c>
      <c r="C243" t="str">
        <f>_xlfn.XLOOKUP(A243,'Subbu- Mini Project EXcel Clean'!A243:A1242,'Subbu- Mini Project EXcel Clean'!J243:J1242," ",0)</f>
        <v>Excellent</v>
      </c>
      <c r="D243">
        <f>_xlfn.XLOOKUP(A243,'Subbu- Mini Project EXcel Clean'!A243:A1242,'Subbu- Mini Project EXcel Clean'!N243:N1242,"entry Level",0)</f>
        <v>7.4</v>
      </c>
      <c r="E243">
        <f>_xlfn.XLOOKUP(A243,'Subbu- Mini Project EXcel Clean'!A243:A1242,'Subbu- Mini Project EXcel Clean'!M243:M1242," ",0)</f>
        <v>84.6</v>
      </c>
      <c r="F243">
        <f>_xlfn.XLOOKUP(A243,'Subbu- Mini Project EXcel Clean'!A243:A1242,'Subbu- Mini Project EXcel Clean'!P243:P1242," ",0)</f>
        <v>6</v>
      </c>
      <c r="G243" t="str">
        <f>_xlfn.XLOOKUP(A243,'Subbu- Mini Project EXcel Clean'!A243:A1242,'Subbu- Mini Project EXcel Clean'!Q243:Q1242," ",0)</f>
        <v>Moderate</v>
      </c>
      <c r="H243">
        <f>VLOOKUP(A243,'Subbu- Mini Project EXcel Clean'!A242:R1242,15,FALSE)</f>
        <v>1.3</v>
      </c>
    </row>
    <row r="244" spans="1:8" x14ac:dyDescent="0.25">
      <c r="A244" t="s">
        <v>272</v>
      </c>
      <c r="B244">
        <f>_xlfn.XLOOKUP(A244,'Subbu- Mini Project EXcel Clean'!A244:A1243,'Subbu- Mini Project EXcel Clean'!I244:I1243,"Entry Level",0)</f>
        <v>3</v>
      </c>
      <c r="C244" t="str">
        <f>_xlfn.XLOOKUP(A244,'Subbu- Mini Project EXcel Clean'!A244:A1243,'Subbu- Mini Project EXcel Clean'!J244:J1243," ",0)</f>
        <v>Excellent</v>
      </c>
      <c r="D244">
        <f>_xlfn.XLOOKUP(A244,'Subbu- Mini Project EXcel Clean'!A244:A1243,'Subbu- Mini Project EXcel Clean'!N244:N1243,"entry Level",0)</f>
        <v>8</v>
      </c>
      <c r="E244">
        <f>_xlfn.XLOOKUP(A244,'Subbu- Mini Project EXcel Clean'!A244:A1243,'Subbu- Mini Project EXcel Clean'!M244:M1243," ",0)</f>
        <v>89.7</v>
      </c>
      <c r="F244">
        <f>_xlfn.XLOOKUP(A244,'Subbu- Mini Project EXcel Clean'!A244:A1243,'Subbu- Mini Project EXcel Clean'!P244:P1243," ",0)</f>
        <v>3</v>
      </c>
      <c r="G244" t="str">
        <f>_xlfn.XLOOKUP(A244,'Subbu- Mini Project EXcel Clean'!A244:A1243,'Subbu- Mini Project EXcel Clean'!Q244:Q1243," ",0)</f>
        <v>Moderate</v>
      </c>
      <c r="H244">
        <f>VLOOKUP(A244,'Subbu- Mini Project EXcel Clean'!A243:R1243,15,FALSE)</f>
        <v>2.2999999999999998</v>
      </c>
    </row>
    <row r="245" spans="1:8" x14ac:dyDescent="0.25">
      <c r="A245" t="s">
        <v>273</v>
      </c>
      <c r="B245">
        <f>_xlfn.XLOOKUP(A245,'Subbu- Mini Project EXcel Clean'!A245:A1244,'Subbu- Mini Project EXcel Clean'!I245:I1244,"Entry Level",0)</f>
        <v>3</v>
      </c>
      <c r="C245" t="str">
        <f>_xlfn.XLOOKUP(A245,'Subbu- Mini Project EXcel Clean'!A245:A1244,'Subbu- Mini Project EXcel Clean'!J245:J1244," ",0)</f>
        <v>Excellent</v>
      </c>
      <c r="D245">
        <f>_xlfn.XLOOKUP(A245,'Subbu- Mini Project EXcel Clean'!A245:A1244,'Subbu- Mini Project EXcel Clean'!N245:N1244,"entry Level",0)</f>
        <v>6</v>
      </c>
      <c r="E245">
        <f>_xlfn.XLOOKUP(A245,'Subbu- Mini Project EXcel Clean'!A245:A1244,'Subbu- Mini Project EXcel Clean'!M245:M1244," ",0)</f>
        <v>81.900000000000006</v>
      </c>
      <c r="F245">
        <f>_xlfn.XLOOKUP(A245,'Subbu- Mini Project EXcel Clean'!A245:A1244,'Subbu- Mini Project EXcel Clean'!P245:P1244," ",0)</f>
        <v>5</v>
      </c>
      <c r="G245" t="str">
        <f>_xlfn.XLOOKUP(A245,'Subbu- Mini Project EXcel Clean'!A245:A1244,'Subbu- Mini Project EXcel Clean'!Q245:Q1244," ",0)</f>
        <v>Moderate</v>
      </c>
      <c r="H245">
        <f>VLOOKUP(A245,'Subbu- Mini Project EXcel Clean'!A244:R1244,15,FALSE)</f>
        <v>4.8</v>
      </c>
    </row>
    <row r="246" spans="1:8" x14ac:dyDescent="0.25">
      <c r="A246" t="s">
        <v>274</v>
      </c>
      <c r="B246">
        <f>_xlfn.XLOOKUP(A246,'Subbu- Mini Project EXcel Clean'!A246:A1245,'Subbu- Mini Project EXcel Clean'!I246:I1245,"Entry Level",0)</f>
        <v>2</v>
      </c>
      <c r="C246" t="str">
        <f>_xlfn.XLOOKUP(A246,'Subbu- Mini Project EXcel Clean'!A246:A1245,'Subbu- Mini Project EXcel Clean'!J246:J1245," ",0)</f>
        <v>Consistent</v>
      </c>
      <c r="D246">
        <f>_xlfn.XLOOKUP(A246,'Subbu- Mini Project EXcel Clean'!A246:A1245,'Subbu- Mini Project EXcel Clean'!N246:N1245,"entry Level",0)</f>
        <v>6.5</v>
      </c>
      <c r="E246">
        <f>_xlfn.XLOOKUP(A246,'Subbu- Mini Project EXcel Clean'!A246:A1245,'Subbu- Mini Project EXcel Clean'!M246:M1245," ",0)</f>
        <v>70.400000000000006</v>
      </c>
      <c r="F246">
        <f>_xlfn.XLOOKUP(A246,'Subbu- Mini Project EXcel Clean'!A246:A1245,'Subbu- Mini Project EXcel Clean'!P246:P1245," ",0)</f>
        <v>3</v>
      </c>
      <c r="G246" t="str">
        <f>_xlfn.XLOOKUP(A246,'Subbu- Mini Project EXcel Clean'!A246:A1245,'Subbu- Mini Project EXcel Clean'!Q246:Q1245," ",0)</f>
        <v>Low</v>
      </c>
      <c r="H246">
        <f>VLOOKUP(A246,'Subbu- Mini Project EXcel Clean'!A245:R1245,15,FALSE)</f>
        <v>5.4</v>
      </c>
    </row>
    <row r="247" spans="1:8" x14ac:dyDescent="0.25">
      <c r="A247" t="s">
        <v>275</v>
      </c>
      <c r="B247">
        <f>_xlfn.XLOOKUP(A247,'Subbu- Mini Project EXcel Clean'!A247:A1246,'Subbu- Mini Project EXcel Clean'!I247:I1246,"Entry Level",0)</f>
        <v>3</v>
      </c>
      <c r="C247" t="str">
        <f>_xlfn.XLOOKUP(A247,'Subbu- Mini Project EXcel Clean'!A247:A1246,'Subbu- Mini Project EXcel Clean'!J247:J1246," ",0)</f>
        <v>Consistent</v>
      </c>
      <c r="D247">
        <f>_xlfn.XLOOKUP(A247,'Subbu- Mini Project EXcel Clean'!A247:A1246,'Subbu- Mini Project EXcel Clean'!N247:N1246,"entry Level",0)</f>
        <v>8.1</v>
      </c>
      <c r="E247">
        <f>_xlfn.XLOOKUP(A247,'Subbu- Mini Project EXcel Clean'!A247:A1246,'Subbu- Mini Project EXcel Clean'!M247:M1246," ",0)</f>
        <v>65.599999999999994</v>
      </c>
      <c r="F247">
        <f>_xlfn.XLOOKUP(A247,'Subbu- Mini Project EXcel Clean'!A247:A1246,'Subbu- Mini Project EXcel Clean'!P247:P1246," ",0)</f>
        <v>2</v>
      </c>
      <c r="G247" t="str">
        <f>_xlfn.XLOOKUP(A247,'Subbu- Mini Project EXcel Clean'!A247:A1246,'Subbu- Mini Project EXcel Clean'!Q247:Q1246," ",0)</f>
        <v>Low</v>
      </c>
      <c r="H247">
        <f>VLOOKUP(A247,'Subbu- Mini Project EXcel Clean'!A246:R1246,15,FALSE)</f>
        <v>2.1</v>
      </c>
    </row>
    <row r="248" spans="1:8" x14ac:dyDescent="0.25">
      <c r="A248" t="s">
        <v>276</v>
      </c>
      <c r="B248">
        <f>_xlfn.XLOOKUP(A248,'Subbu- Mini Project EXcel Clean'!A248:A1247,'Subbu- Mini Project EXcel Clean'!I248:I1247,"Entry Level",0)</f>
        <v>4</v>
      </c>
      <c r="C248" t="str">
        <f>_xlfn.XLOOKUP(A248,'Subbu- Mini Project EXcel Clean'!A248:A1247,'Subbu- Mini Project EXcel Clean'!J248:J1247," ",0)</f>
        <v>Excellent</v>
      </c>
      <c r="D248">
        <f>_xlfn.XLOOKUP(A248,'Subbu- Mini Project EXcel Clean'!A248:A1247,'Subbu- Mini Project EXcel Clean'!N248:N1247,"entry Level",0)</f>
        <v>6.3</v>
      </c>
      <c r="E248">
        <f>_xlfn.XLOOKUP(A248,'Subbu- Mini Project EXcel Clean'!A248:A1247,'Subbu- Mini Project EXcel Clean'!M248:M1247," ",0)</f>
        <v>88</v>
      </c>
      <c r="F248">
        <f>_xlfn.XLOOKUP(A248,'Subbu- Mini Project EXcel Clean'!A248:A1247,'Subbu- Mini Project EXcel Clean'!P248:P1247," ",0)</f>
        <v>1</v>
      </c>
      <c r="G248" t="str">
        <f>_xlfn.XLOOKUP(A248,'Subbu- Mini Project EXcel Clean'!A248:A1247,'Subbu- Mini Project EXcel Clean'!Q248:Q1247," ",0)</f>
        <v>Low</v>
      </c>
      <c r="H248">
        <f>VLOOKUP(A248,'Subbu- Mini Project EXcel Clean'!A247:R1247,15,FALSE)</f>
        <v>3.3</v>
      </c>
    </row>
    <row r="249" spans="1:8" x14ac:dyDescent="0.25">
      <c r="A249" t="s">
        <v>277</v>
      </c>
      <c r="B249">
        <f>_xlfn.XLOOKUP(A249,'Subbu- Mini Project EXcel Clean'!A249:A1248,'Subbu- Mini Project EXcel Clean'!I249:I1248,"Entry Level",0)</f>
        <v>5</v>
      </c>
      <c r="C249" t="str">
        <f>_xlfn.XLOOKUP(A249,'Subbu- Mini Project EXcel Clean'!A249:A1248,'Subbu- Mini Project EXcel Clean'!J249:J1248," ",0)</f>
        <v>Good</v>
      </c>
      <c r="D249">
        <f>_xlfn.XLOOKUP(A249,'Subbu- Mini Project EXcel Clean'!A249:A1248,'Subbu- Mini Project EXcel Clean'!N249:N1248,"entry Level",0)</f>
        <v>7.2</v>
      </c>
      <c r="E249">
        <f>_xlfn.XLOOKUP(A249,'Subbu- Mini Project EXcel Clean'!A249:A1248,'Subbu- Mini Project EXcel Clean'!M249:M1248," ",0)</f>
        <v>94.8</v>
      </c>
      <c r="F249">
        <f>_xlfn.XLOOKUP(A249,'Subbu- Mini Project EXcel Clean'!A249:A1248,'Subbu- Mini Project EXcel Clean'!P249:P1248," ",0)</f>
        <v>6</v>
      </c>
      <c r="G249" t="str">
        <f>_xlfn.XLOOKUP(A249,'Subbu- Mini Project EXcel Clean'!A249:A1248,'Subbu- Mini Project EXcel Clean'!Q249:Q1248," ",0)</f>
        <v>High</v>
      </c>
      <c r="H249">
        <f>VLOOKUP(A249,'Subbu- Mini Project EXcel Clean'!A248:R1248,15,FALSE)</f>
        <v>3.4</v>
      </c>
    </row>
    <row r="250" spans="1:8" x14ac:dyDescent="0.25">
      <c r="A250" t="s">
        <v>278</v>
      </c>
      <c r="B250">
        <f>_xlfn.XLOOKUP(A250,'Subbu- Mini Project EXcel Clean'!A250:A1249,'Subbu- Mini Project EXcel Clean'!I250:I1249,"Entry Level",0)</f>
        <v>4</v>
      </c>
      <c r="C250" t="str">
        <f>_xlfn.XLOOKUP(A250,'Subbu- Mini Project EXcel Clean'!A250:A1249,'Subbu- Mini Project EXcel Clean'!J250:J1249," ",0)</f>
        <v>Excellent</v>
      </c>
      <c r="D250">
        <f>_xlfn.XLOOKUP(A250,'Subbu- Mini Project EXcel Clean'!A250:A1249,'Subbu- Mini Project EXcel Clean'!N250:N1249,"entry Level",0)</f>
        <v>6</v>
      </c>
      <c r="E250">
        <f>_xlfn.XLOOKUP(A250,'Subbu- Mini Project EXcel Clean'!A250:A1249,'Subbu- Mini Project EXcel Clean'!M250:M1249," ",0)</f>
        <v>90.6</v>
      </c>
      <c r="F250">
        <f>_xlfn.XLOOKUP(A250,'Subbu- Mini Project EXcel Clean'!A250:A1249,'Subbu- Mini Project EXcel Clean'!P250:P1249," ",0)</f>
        <v>2</v>
      </c>
      <c r="G250" t="str">
        <f>_xlfn.XLOOKUP(A250,'Subbu- Mini Project EXcel Clean'!A250:A1249,'Subbu- Mini Project EXcel Clean'!Q250:Q1249," ",0)</f>
        <v>Low</v>
      </c>
      <c r="H250">
        <f>VLOOKUP(A250,'Subbu- Mini Project EXcel Clean'!A249:R1249,15,FALSE)</f>
        <v>5.4</v>
      </c>
    </row>
    <row r="251" spans="1:8" x14ac:dyDescent="0.25">
      <c r="A251" t="s">
        <v>279</v>
      </c>
      <c r="B251">
        <f>_xlfn.XLOOKUP(A251,'Subbu- Mini Project EXcel Clean'!A251:A1250,'Subbu- Mini Project EXcel Clean'!I251:I1250,"Entry Level",0)</f>
        <v>5</v>
      </c>
      <c r="C251" t="str">
        <f>_xlfn.XLOOKUP(A251,'Subbu- Mini Project EXcel Clean'!A251:A1250,'Subbu- Mini Project EXcel Clean'!J251:J1250," ",0)</f>
        <v>Good</v>
      </c>
      <c r="D251">
        <f>_xlfn.XLOOKUP(A251,'Subbu- Mini Project EXcel Clean'!A251:A1250,'Subbu- Mini Project EXcel Clean'!N251:N1250,"entry Level",0)</f>
        <v>6.3</v>
      </c>
      <c r="E251">
        <f>_xlfn.XLOOKUP(A251,'Subbu- Mini Project EXcel Clean'!A251:A1250,'Subbu- Mini Project EXcel Clean'!M251:M1250," ",0)</f>
        <v>95.7</v>
      </c>
      <c r="F251">
        <f>_xlfn.XLOOKUP(A251,'Subbu- Mini Project EXcel Clean'!A251:A1250,'Subbu- Mini Project EXcel Clean'!P251:P1250," ",0)</f>
        <v>1</v>
      </c>
      <c r="G251" t="str">
        <f>_xlfn.XLOOKUP(A251,'Subbu- Mini Project EXcel Clean'!A251:A1250,'Subbu- Mini Project EXcel Clean'!Q251:Q1250," ",0)</f>
        <v>Low</v>
      </c>
      <c r="H251">
        <f>VLOOKUP(A251,'Subbu- Mini Project EXcel Clean'!A250:R1250,15,FALSE)</f>
        <v>4.8</v>
      </c>
    </row>
    <row r="252" spans="1:8" x14ac:dyDescent="0.25">
      <c r="A252" t="s">
        <v>280</v>
      </c>
      <c r="B252">
        <f>_xlfn.XLOOKUP(A252,'Subbu- Mini Project EXcel Clean'!A252:A1251,'Subbu- Mini Project EXcel Clean'!I252:I1251,"Entry Level",0)</f>
        <v>4</v>
      </c>
      <c r="C252" t="str">
        <f>_xlfn.XLOOKUP(A252,'Subbu- Mini Project EXcel Clean'!A252:A1251,'Subbu- Mini Project EXcel Clean'!J252:J1251," ",0)</f>
        <v>Excellent</v>
      </c>
      <c r="D252">
        <f>_xlfn.XLOOKUP(A252,'Subbu- Mini Project EXcel Clean'!A252:A1251,'Subbu- Mini Project EXcel Clean'!N252:N1251,"entry Level",0)</f>
        <v>6.5</v>
      </c>
      <c r="E252">
        <f>_xlfn.XLOOKUP(A252,'Subbu- Mini Project EXcel Clean'!A252:A1251,'Subbu- Mini Project EXcel Clean'!M252:M1251," ",0)</f>
        <v>97.1</v>
      </c>
      <c r="F252">
        <f>_xlfn.XLOOKUP(A252,'Subbu- Mini Project EXcel Clean'!A252:A1251,'Subbu- Mini Project EXcel Clean'!P252:P1251," ",0)</f>
        <v>1</v>
      </c>
      <c r="G252" t="str">
        <f>_xlfn.XLOOKUP(A252,'Subbu- Mini Project EXcel Clean'!A252:A1251,'Subbu- Mini Project EXcel Clean'!Q252:Q1251," ",0)</f>
        <v>Low</v>
      </c>
      <c r="H252">
        <f>VLOOKUP(A252,'Subbu- Mini Project EXcel Clean'!A251:R1251,15,FALSE)</f>
        <v>3.6</v>
      </c>
    </row>
    <row r="253" spans="1:8" x14ac:dyDescent="0.25">
      <c r="A253" t="s">
        <v>281</v>
      </c>
      <c r="B253">
        <f>_xlfn.XLOOKUP(A253,'Subbu- Mini Project EXcel Clean'!A253:A1252,'Subbu- Mini Project EXcel Clean'!I253:I1252,"Entry Level",0)</f>
        <v>3</v>
      </c>
      <c r="C253" t="str">
        <f>_xlfn.XLOOKUP(A253,'Subbu- Mini Project EXcel Clean'!A253:A1252,'Subbu- Mini Project EXcel Clean'!J253:J1252," ",0)</f>
        <v>Excellent</v>
      </c>
      <c r="D253">
        <f>_xlfn.XLOOKUP(A253,'Subbu- Mini Project EXcel Clean'!A253:A1252,'Subbu- Mini Project EXcel Clean'!N253:N1252,"entry Level",0)</f>
        <v>6.3</v>
      </c>
      <c r="E253">
        <f>_xlfn.XLOOKUP(A253,'Subbu- Mini Project EXcel Clean'!A253:A1252,'Subbu- Mini Project EXcel Clean'!M253:M1252," ",0)</f>
        <v>79.3</v>
      </c>
      <c r="F253">
        <f>_xlfn.XLOOKUP(A253,'Subbu- Mini Project EXcel Clean'!A253:A1252,'Subbu- Mini Project EXcel Clean'!P253:P1252," ",0)</f>
        <v>6</v>
      </c>
      <c r="G253" t="str">
        <f>_xlfn.XLOOKUP(A253,'Subbu- Mini Project EXcel Clean'!A253:A1252,'Subbu- Mini Project EXcel Clean'!Q253:Q1252," ",0)</f>
        <v>High</v>
      </c>
      <c r="H253">
        <f>VLOOKUP(A253,'Subbu- Mini Project EXcel Clean'!A252:R1252,15,FALSE)</f>
        <v>4.4000000000000004</v>
      </c>
    </row>
    <row r="254" spans="1:8" x14ac:dyDescent="0.25">
      <c r="A254" t="s">
        <v>282</v>
      </c>
      <c r="B254">
        <f>_xlfn.XLOOKUP(A254,'Subbu- Mini Project EXcel Clean'!A254:A1253,'Subbu- Mini Project EXcel Clean'!I254:I1253,"Entry Level",0)</f>
        <v>2</v>
      </c>
      <c r="C254" t="str">
        <f>_xlfn.XLOOKUP(A254,'Subbu- Mini Project EXcel Clean'!A254:A1253,'Subbu- Mini Project EXcel Clean'!J254:J1253," ",0)</f>
        <v>Consistent</v>
      </c>
      <c r="D254">
        <f>_xlfn.XLOOKUP(A254,'Subbu- Mini Project EXcel Clean'!A254:A1253,'Subbu- Mini Project EXcel Clean'!N254:N1253,"entry Level",0)</f>
        <v>7.8</v>
      </c>
      <c r="E254">
        <f>_xlfn.XLOOKUP(A254,'Subbu- Mini Project EXcel Clean'!A254:A1253,'Subbu- Mini Project EXcel Clean'!M254:M1253," ",0)</f>
        <v>70.8</v>
      </c>
      <c r="F254">
        <f>_xlfn.XLOOKUP(A254,'Subbu- Mini Project EXcel Clean'!A254:A1253,'Subbu- Mini Project EXcel Clean'!P254:P1253," ",0)</f>
        <v>7</v>
      </c>
      <c r="G254" t="str">
        <f>_xlfn.XLOOKUP(A254,'Subbu- Mini Project EXcel Clean'!A254:A1253,'Subbu- Mini Project EXcel Clean'!Q254:Q1253," ",0)</f>
        <v>High</v>
      </c>
      <c r="H254">
        <f>VLOOKUP(A254,'Subbu- Mini Project EXcel Clean'!A253:R1253,15,FALSE)</f>
        <v>5.2</v>
      </c>
    </row>
    <row r="255" spans="1:8" x14ac:dyDescent="0.25">
      <c r="A255" t="s">
        <v>283</v>
      </c>
      <c r="B255">
        <f>_xlfn.XLOOKUP(A255,'Subbu- Mini Project EXcel Clean'!A255:A1254,'Subbu- Mini Project EXcel Clean'!I255:I1254,"Entry Level",0)</f>
        <v>4</v>
      </c>
      <c r="C255" t="str">
        <f>_xlfn.XLOOKUP(A255,'Subbu- Mini Project EXcel Clean'!A255:A1254,'Subbu- Mini Project EXcel Clean'!J255:J1254," ",0)</f>
        <v>Excellent</v>
      </c>
      <c r="D255">
        <f>_xlfn.XLOOKUP(A255,'Subbu- Mini Project EXcel Clean'!A255:A1254,'Subbu- Mini Project EXcel Clean'!N255:N1254,"entry Level",0)</f>
        <v>8.1</v>
      </c>
      <c r="E255">
        <f>_xlfn.XLOOKUP(A255,'Subbu- Mini Project EXcel Clean'!A255:A1254,'Subbu- Mini Project EXcel Clean'!M255:M1254," ",0)</f>
        <v>85.3</v>
      </c>
      <c r="F255">
        <f>_xlfn.XLOOKUP(A255,'Subbu- Mini Project EXcel Clean'!A255:A1254,'Subbu- Mini Project EXcel Clean'!P255:P1254," ",0)</f>
        <v>4</v>
      </c>
      <c r="G255" t="str">
        <f>_xlfn.XLOOKUP(A255,'Subbu- Mini Project EXcel Clean'!A255:A1254,'Subbu- Mini Project EXcel Clean'!Q255:Q1254," ",0)</f>
        <v>Moderate</v>
      </c>
      <c r="H255">
        <f>VLOOKUP(A255,'Subbu- Mini Project EXcel Clean'!A254:R1254,15,FALSE)</f>
        <v>1</v>
      </c>
    </row>
    <row r="256" spans="1:8" x14ac:dyDescent="0.25">
      <c r="A256" t="s">
        <v>284</v>
      </c>
      <c r="B256">
        <f>_xlfn.XLOOKUP(A256,'Subbu- Mini Project EXcel Clean'!A256:A1255,'Subbu- Mini Project EXcel Clean'!I256:I1255,"Entry Level",0)</f>
        <v>4</v>
      </c>
      <c r="C256" t="str">
        <f>_xlfn.XLOOKUP(A256,'Subbu- Mini Project EXcel Clean'!A256:A1255,'Subbu- Mini Project EXcel Clean'!J256:J1255," ",0)</f>
        <v>Excellent</v>
      </c>
      <c r="D256">
        <f>_xlfn.XLOOKUP(A256,'Subbu- Mini Project EXcel Clean'!A256:A1255,'Subbu- Mini Project EXcel Clean'!N256:N1255,"entry Level",0)</f>
        <v>7.6</v>
      </c>
      <c r="E256">
        <f>_xlfn.XLOOKUP(A256,'Subbu- Mini Project EXcel Clean'!A256:A1255,'Subbu- Mini Project EXcel Clean'!M256:M1255," ",0)</f>
        <v>84.1</v>
      </c>
      <c r="F256">
        <f>_xlfn.XLOOKUP(A256,'Subbu- Mini Project EXcel Clean'!A256:A1255,'Subbu- Mini Project EXcel Clean'!P256:P1255," ",0)</f>
        <v>2</v>
      </c>
      <c r="G256" t="str">
        <f>_xlfn.XLOOKUP(A256,'Subbu- Mini Project EXcel Clean'!A256:A1255,'Subbu- Mini Project EXcel Clean'!Q256:Q1255," ",0)</f>
        <v>Low</v>
      </c>
      <c r="H256">
        <f>VLOOKUP(A256,'Subbu- Mini Project EXcel Clean'!A255:R1255,15,FALSE)</f>
        <v>3</v>
      </c>
    </row>
    <row r="257" spans="1:8" x14ac:dyDescent="0.25">
      <c r="A257" t="s">
        <v>285</v>
      </c>
      <c r="B257">
        <f>_xlfn.XLOOKUP(A257,'Subbu- Mini Project EXcel Clean'!A257:A1256,'Subbu- Mini Project EXcel Clean'!I257:I1256,"Entry Level",0)</f>
        <v>3</v>
      </c>
      <c r="C257" t="str">
        <f>_xlfn.XLOOKUP(A257,'Subbu- Mini Project EXcel Clean'!A257:A1256,'Subbu- Mini Project EXcel Clean'!J257:J1256," ",0)</f>
        <v>Excellent</v>
      </c>
      <c r="D257">
        <f>_xlfn.XLOOKUP(A257,'Subbu- Mini Project EXcel Clean'!A257:A1256,'Subbu- Mini Project EXcel Clean'!N257:N1256,"entry Level",0)</f>
        <v>6.6</v>
      </c>
      <c r="E257">
        <f>_xlfn.XLOOKUP(A257,'Subbu- Mini Project EXcel Clean'!A257:A1256,'Subbu- Mini Project EXcel Clean'!M257:M1256," ",0)</f>
        <v>83.2</v>
      </c>
      <c r="F257">
        <f>_xlfn.XLOOKUP(A257,'Subbu- Mini Project EXcel Clean'!A257:A1256,'Subbu- Mini Project EXcel Clean'!P257:P1256," ",0)</f>
        <v>2</v>
      </c>
      <c r="G257" t="str">
        <f>_xlfn.XLOOKUP(A257,'Subbu- Mini Project EXcel Clean'!A257:A1256,'Subbu- Mini Project EXcel Clean'!Q257:Q1256," ",0)</f>
        <v>Low</v>
      </c>
      <c r="H257">
        <f>VLOOKUP(A257,'Subbu- Mini Project EXcel Clean'!A256:R1256,15,FALSE)</f>
        <v>5.5</v>
      </c>
    </row>
    <row r="258" spans="1:8" x14ac:dyDescent="0.25">
      <c r="A258" t="s">
        <v>286</v>
      </c>
      <c r="B258">
        <f>_xlfn.XLOOKUP(A258,'Subbu- Mini Project EXcel Clean'!A258:A1257,'Subbu- Mini Project EXcel Clean'!I258:I1257,"Entry Level",0)</f>
        <v>3</v>
      </c>
      <c r="C258" t="str">
        <f>_xlfn.XLOOKUP(A258,'Subbu- Mini Project EXcel Clean'!A258:A1257,'Subbu- Mini Project EXcel Clean'!J258:J1257," ",0)</f>
        <v>Consistent</v>
      </c>
      <c r="D258">
        <f>_xlfn.XLOOKUP(A258,'Subbu- Mini Project EXcel Clean'!A258:A1257,'Subbu- Mini Project EXcel Clean'!N258:N1257,"entry Level",0)</f>
        <v>5.8</v>
      </c>
      <c r="E258">
        <f>_xlfn.XLOOKUP(A258,'Subbu- Mini Project EXcel Clean'!A258:A1257,'Subbu- Mini Project EXcel Clean'!M258:M1257," ",0)</f>
        <v>75.400000000000006</v>
      </c>
      <c r="F258">
        <f>_xlfn.XLOOKUP(A258,'Subbu- Mini Project EXcel Clean'!A258:A1257,'Subbu- Mini Project EXcel Clean'!P258:P1257," ",0)</f>
        <v>1</v>
      </c>
      <c r="G258" t="str">
        <f>_xlfn.XLOOKUP(A258,'Subbu- Mini Project EXcel Clean'!A258:A1257,'Subbu- Mini Project EXcel Clean'!Q258:Q1257," ",0)</f>
        <v>Low</v>
      </c>
      <c r="H258">
        <f>VLOOKUP(A258,'Subbu- Mini Project EXcel Clean'!A257:R1257,15,FALSE)</f>
        <v>4.7</v>
      </c>
    </row>
    <row r="259" spans="1:8" x14ac:dyDescent="0.25">
      <c r="A259" t="s">
        <v>287</v>
      </c>
      <c r="B259">
        <f>_xlfn.XLOOKUP(A259,'Subbu- Mini Project EXcel Clean'!A259:A1258,'Subbu- Mini Project EXcel Clean'!I259:I1258,"Entry Level",0)</f>
        <v>3</v>
      </c>
      <c r="C259" t="str">
        <f>_xlfn.XLOOKUP(A259,'Subbu- Mini Project EXcel Clean'!A259:A1258,'Subbu- Mini Project EXcel Clean'!J259:J1258," ",0)</f>
        <v>Excellent</v>
      </c>
      <c r="D259">
        <f>_xlfn.XLOOKUP(A259,'Subbu- Mini Project EXcel Clean'!A259:A1258,'Subbu- Mini Project EXcel Clean'!N259:N1258,"entry Level",0)</f>
        <v>7.1</v>
      </c>
      <c r="E259">
        <f>_xlfn.XLOOKUP(A259,'Subbu- Mini Project EXcel Clean'!A259:A1258,'Subbu- Mini Project EXcel Clean'!M259:M1258," ",0)</f>
        <v>81.099999999999994</v>
      </c>
      <c r="F259">
        <f>_xlfn.XLOOKUP(A259,'Subbu- Mini Project EXcel Clean'!A259:A1258,'Subbu- Mini Project EXcel Clean'!P259:P1258," ",0)</f>
        <v>4</v>
      </c>
      <c r="G259" t="str">
        <f>_xlfn.XLOOKUP(A259,'Subbu- Mini Project EXcel Clean'!A259:A1258,'Subbu- Mini Project EXcel Clean'!Q259:Q1258," ",0)</f>
        <v>Moderate</v>
      </c>
      <c r="H259">
        <f>VLOOKUP(A259,'Subbu- Mini Project EXcel Clean'!A258:R1258,15,FALSE)</f>
        <v>3.7</v>
      </c>
    </row>
    <row r="260" spans="1:8" x14ac:dyDescent="0.25">
      <c r="A260" t="s">
        <v>288</v>
      </c>
      <c r="B260">
        <f>_xlfn.XLOOKUP(A260,'Subbu- Mini Project EXcel Clean'!A260:A1259,'Subbu- Mini Project EXcel Clean'!I260:I1259,"Entry Level",0)</f>
        <v>2</v>
      </c>
      <c r="C260" t="str">
        <f>_xlfn.XLOOKUP(A260,'Subbu- Mini Project EXcel Clean'!A260:A1259,'Subbu- Mini Project EXcel Clean'!J260:J1259," ",0)</f>
        <v>Consistent</v>
      </c>
      <c r="D260">
        <f>_xlfn.XLOOKUP(A260,'Subbu- Mini Project EXcel Clean'!A260:A1259,'Subbu- Mini Project EXcel Clean'!N260:N1259,"entry Level",0)</f>
        <v>7.4</v>
      </c>
      <c r="E260">
        <f>_xlfn.XLOOKUP(A260,'Subbu- Mini Project EXcel Clean'!A260:A1259,'Subbu- Mini Project EXcel Clean'!M260:M1259," ",0)</f>
        <v>73.099999999999994</v>
      </c>
      <c r="F260">
        <f>_xlfn.XLOOKUP(A260,'Subbu- Mini Project EXcel Clean'!A260:A1259,'Subbu- Mini Project EXcel Clean'!P260:P1259," ",0)</f>
        <v>5</v>
      </c>
      <c r="G260" t="str">
        <f>_xlfn.XLOOKUP(A260,'Subbu- Mini Project EXcel Clean'!A260:A1259,'Subbu- Mini Project EXcel Clean'!Q260:Q1259," ",0)</f>
        <v>Moderate</v>
      </c>
      <c r="H260">
        <f>VLOOKUP(A260,'Subbu- Mini Project EXcel Clean'!A259:R1259,15,FALSE)</f>
        <v>3.6</v>
      </c>
    </row>
    <row r="261" spans="1:8" x14ac:dyDescent="0.25">
      <c r="A261" t="s">
        <v>289</v>
      </c>
      <c r="B261">
        <f>_xlfn.XLOOKUP(A261,'Subbu- Mini Project EXcel Clean'!A261:A1260,'Subbu- Mini Project EXcel Clean'!I261:I1260,"Entry Level",0)</f>
        <v>3</v>
      </c>
      <c r="C261" t="str">
        <f>_xlfn.XLOOKUP(A261,'Subbu- Mini Project EXcel Clean'!A261:A1260,'Subbu- Mini Project EXcel Clean'!J261:J1260," ",0)</f>
        <v>Excellent</v>
      </c>
      <c r="D261">
        <f>_xlfn.XLOOKUP(A261,'Subbu- Mini Project EXcel Clean'!A261:A1260,'Subbu- Mini Project EXcel Clean'!N261:N1260,"entry Level",0)</f>
        <v>6.8</v>
      </c>
      <c r="E261">
        <f>_xlfn.XLOOKUP(A261,'Subbu- Mini Project EXcel Clean'!A261:A1260,'Subbu- Mini Project EXcel Clean'!M261:M1260," ",0)</f>
        <v>82</v>
      </c>
      <c r="F261">
        <f>_xlfn.XLOOKUP(A261,'Subbu- Mini Project EXcel Clean'!A261:A1260,'Subbu- Mini Project EXcel Clean'!P261:P1260," ",0)</f>
        <v>2</v>
      </c>
      <c r="G261" t="str">
        <f>_xlfn.XLOOKUP(A261,'Subbu- Mini Project EXcel Clean'!A261:A1260,'Subbu- Mini Project EXcel Clean'!Q261:Q1260," ",0)</f>
        <v>Low</v>
      </c>
      <c r="H261">
        <f>VLOOKUP(A261,'Subbu- Mini Project EXcel Clean'!A260:R1260,15,FALSE)</f>
        <v>2.7</v>
      </c>
    </row>
    <row r="262" spans="1:8" x14ac:dyDescent="0.25">
      <c r="A262" t="s">
        <v>290</v>
      </c>
      <c r="B262">
        <f>_xlfn.XLOOKUP(A262,'Subbu- Mini Project EXcel Clean'!A262:A1261,'Subbu- Mini Project EXcel Clean'!I262:I1261,"Entry Level",0)</f>
        <v>2</v>
      </c>
      <c r="C262" t="str">
        <f>_xlfn.XLOOKUP(A262,'Subbu- Mini Project EXcel Clean'!A262:A1261,'Subbu- Mini Project EXcel Clean'!J262:J1261," ",0)</f>
        <v>Consistent</v>
      </c>
      <c r="D262">
        <f>_xlfn.XLOOKUP(A262,'Subbu- Mini Project EXcel Clean'!A262:A1261,'Subbu- Mini Project EXcel Clean'!N262:N1261,"entry Level",0)</f>
        <v>7.4</v>
      </c>
      <c r="E262">
        <f>_xlfn.XLOOKUP(A262,'Subbu- Mini Project EXcel Clean'!A262:A1261,'Subbu- Mini Project EXcel Clean'!M262:M1261," ",0)</f>
        <v>68.3</v>
      </c>
      <c r="F262">
        <f>_xlfn.XLOOKUP(A262,'Subbu- Mini Project EXcel Clean'!A262:A1261,'Subbu- Mini Project EXcel Clean'!P262:P1261," ",0)</f>
        <v>1</v>
      </c>
      <c r="G262" t="str">
        <f>_xlfn.XLOOKUP(A262,'Subbu- Mini Project EXcel Clean'!A262:A1261,'Subbu- Mini Project EXcel Clean'!Q262:Q1261," ",0)</f>
        <v>Low</v>
      </c>
      <c r="H262">
        <f>VLOOKUP(A262,'Subbu- Mini Project EXcel Clean'!A261:R1261,15,FALSE)</f>
        <v>3.6</v>
      </c>
    </row>
    <row r="263" spans="1:8" x14ac:dyDescent="0.25">
      <c r="A263" t="s">
        <v>291</v>
      </c>
      <c r="B263">
        <f>_xlfn.XLOOKUP(A263,'Subbu- Mini Project EXcel Clean'!A263:A1262,'Subbu- Mini Project EXcel Clean'!I263:I1262,"Entry Level",0)</f>
        <v>4</v>
      </c>
      <c r="C263" t="str">
        <f>_xlfn.XLOOKUP(A263,'Subbu- Mini Project EXcel Clean'!A263:A1262,'Subbu- Mini Project EXcel Clean'!J263:J1262," ",0)</f>
        <v>Good</v>
      </c>
      <c r="D263">
        <f>_xlfn.XLOOKUP(A263,'Subbu- Mini Project EXcel Clean'!A263:A1262,'Subbu- Mini Project EXcel Clean'!N263:N1262,"entry Level",0)</f>
        <v>7.1</v>
      </c>
      <c r="E263">
        <f>_xlfn.XLOOKUP(A263,'Subbu- Mini Project EXcel Clean'!A263:A1262,'Subbu- Mini Project EXcel Clean'!M263:M1262," ",0)</f>
        <v>96.2</v>
      </c>
      <c r="F263">
        <f>_xlfn.XLOOKUP(A263,'Subbu- Mini Project EXcel Clean'!A263:A1262,'Subbu- Mini Project EXcel Clean'!P263:P1262," ",0)</f>
        <v>1</v>
      </c>
      <c r="G263" t="str">
        <f>_xlfn.XLOOKUP(A263,'Subbu- Mini Project EXcel Clean'!A263:A1262,'Subbu- Mini Project EXcel Clean'!Q263:Q1262," ",0)</f>
        <v>Low</v>
      </c>
      <c r="H263">
        <f>VLOOKUP(A263,'Subbu- Mini Project EXcel Clean'!A262:R1262,15,FALSE)</f>
        <v>4.3</v>
      </c>
    </row>
    <row r="264" spans="1:8" x14ac:dyDescent="0.25">
      <c r="A264" t="s">
        <v>292</v>
      </c>
      <c r="B264">
        <f>_xlfn.XLOOKUP(A264,'Subbu- Mini Project EXcel Clean'!A264:A1263,'Subbu- Mini Project EXcel Clean'!I264:I1263,"Entry Level",0)</f>
        <v>2</v>
      </c>
      <c r="C264" t="str">
        <f>_xlfn.XLOOKUP(A264,'Subbu- Mini Project EXcel Clean'!A264:A1263,'Subbu- Mini Project EXcel Clean'!J264:J1263," ",0)</f>
        <v>Consistent</v>
      </c>
      <c r="D264">
        <f>_xlfn.XLOOKUP(A264,'Subbu- Mini Project EXcel Clean'!A264:A1263,'Subbu- Mini Project EXcel Clean'!N264:N1263,"entry Level",0)</f>
        <v>8</v>
      </c>
      <c r="E264">
        <f>_xlfn.XLOOKUP(A264,'Subbu- Mini Project EXcel Clean'!A264:A1263,'Subbu- Mini Project EXcel Clean'!M264:M1263," ",0)</f>
        <v>72</v>
      </c>
      <c r="F264">
        <f>_xlfn.XLOOKUP(A264,'Subbu- Mini Project EXcel Clean'!A264:A1263,'Subbu- Mini Project EXcel Clean'!P264:P1263," ",0)</f>
        <v>2</v>
      </c>
      <c r="G264" t="str">
        <f>_xlfn.XLOOKUP(A264,'Subbu- Mini Project EXcel Clean'!A264:A1263,'Subbu- Mini Project EXcel Clean'!Q264:Q1263," ",0)</f>
        <v>Low</v>
      </c>
      <c r="H264">
        <f>VLOOKUP(A264,'Subbu- Mini Project EXcel Clean'!A263:R1263,15,FALSE)</f>
        <v>3.1</v>
      </c>
    </row>
    <row r="265" spans="1:8" x14ac:dyDescent="0.25">
      <c r="A265" t="s">
        <v>293</v>
      </c>
      <c r="B265">
        <f>_xlfn.XLOOKUP(A265,'Subbu- Mini Project EXcel Clean'!A265:A1264,'Subbu- Mini Project EXcel Clean'!I265:I1264,"Entry Level",0)</f>
        <v>1</v>
      </c>
      <c r="C265" t="str">
        <f>_xlfn.XLOOKUP(A265,'Subbu- Mini Project EXcel Clean'!A265:A1264,'Subbu- Mini Project EXcel Clean'!J265:J1264," ",0)</f>
        <v>Consistent</v>
      </c>
      <c r="D265">
        <f>_xlfn.XLOOKUP(A265,'Subbu- Mini Project EXcel Clean'!A265:A1264,'Subbu- Mini Project EXcel Clean'!N265:N1264,"entry Level",0)</f>
        <v>6.4</v>
      </c>
      <c r="E265">
        <f>_xlfn.XLOOKUP(A265,'Subbu- Mini Project EXcel Clean'!A265:A1264,'Subbu- Mini Project EXcel Clean'!M265:M1264," ",0)</f>
        <v>58.1</v>
      </c>
      <c r="F265">
        <f>_xlfn.XLOOKUP(A265,'Subbu- Mini Project EXcel Clean'!A265:A1264,'Subbu- Mini Project EXcel Clean'!P265:P1264," ",0)</f>
        <v>1</v>
      </c>
      <c r="G265" t="str">
        <f>_xlfn.XLOOKUP(A265,'Subbu- Mini Project EXcel Clean'!A265:A1264,'Subbu- Mini Project EXcel Clean'!Q265:Q1264," ",0)</f>
        <v>Low</v>
      </c>
      <c r="H265">
        <f>VLOOKUP(A265,'Subbu- Mini Project EXcel Clean'!A264:R1264,15,FALSE)</f>
        <v>4.5999999999999996</v>
      </c>
    </row>
    <row r="266" spans="1:8" x14ac:dyDescent="0.25">
      <c r="A266" t="s">
        <v>294</v>
      </c>
      <c r="B266">
        <f>_xlfn.XLOOKUP(A266,'Subbu- Mini Project EXcel Clean'!A266:A1265,'Subbu- Mini Project EXcel Clean'!I266:I1265,"Entry Level",0)</f>
        <v>3</v>
      </c>
      <c r="C266" t="str">
        <f>_xlfn.XLOOKUP(A266,'Subbu- Mini Project EXcel Clean'!A266:A1265,'Subbu- Mini Project EXcel Clean'!J266:J1265," ",0)</f>
        <v>Consistent</v>
      </c>
      <c r="D266">
        <f>_xlfn.XLOOKUP(A266,'Subbu- Mini Project EXcel Clean'!A266:A1265,'Subbu- Mini Project EXcel Clean'!N266:N1265,"entry Level",0)</f>
        <v>5.9</v>
      </c>
      <c r="E266">
        <f>_xlfn.XLOOKUP(A266,'Subbu- Mini Project EXcel Clean'!A266:A1265,'Subbu- Mini Project EXcel Clean'!M266:M1265," ",0)</f>
        <v>81.8</v>
      </c>
      <c r="F266">
        <f>_xlfn.XLOOKUP(A266,'Subbu- Mini Project EXcel Clean'!A266:A1265,'Subbu- Mini Project EXcel Clean'!P266:P1265," ",0)</f>
        <v>3</v>
      </c>
      <c r="G266" t="str">
        <f>_xlfn.XLOOKUP(A266,'Subbu- Mini Project EXcel Clean'!A266:A1265,'Subbu- Mini Project EXcel Clean'!Q266:Q1265," ",0)</f>
        <v>Moderate</v>
      </c>
      <c r="H266">
        <f>VLOOKUP(A266,'Subbu- Mini Project EXcel Clean'!A265:R1265,15,FALSE)</f>
        <v>5.3</v>
      </c>
    </row>
    <row r="267" spans="1:8" x14ac:dyDescent="0.25">
      <c r="A267" t="s">
        <v>295</v>
      </c>
      <c r="B267">
        <f>_xlfn.XLOOKUP(A267,'Subbu- Mini Project EXcel Clean'!A267:A1266,'Subbu- Mini Project EXcel Clean'!I267:I1266,"Entry Level",0)</f>
        <v>4</v>
      </c>
      <c r="C267" t="str">
        <f>_xlfn.XLOOKUP(A267,'Subbu- Mini Project EXcel Clean'!A267:A1266,'Subbu- Mini Project EXcel Clean'!J267:J1266," ",0)</f>
        <v>Excellent</v>
      </c>
      <c r="D267">
        <f>_xlfn.XLOOKUP(A267,'Subbu- Mini Project EXcel Clean'!A267:A1266,'Subbu- Mini Project EXcel Clean'!N267:N1266,"entry Level",0)</f>
        <v>7.3</v>
      </c>
      <c r="E267">
        <f>_xlfn.XLOOKUP(A267,'Subbu- Mini Project EXcel Clean'!A267:A1266,'Subbu- Mini Project EXcel Clean'!M267:M1266," ",0)</f>
        <v>80.400000000000006</v>
      </c>
      <c r="F267">
        <f>_xlfn.XLOOKUP(A267,'Subbu- Mini Project EXcel Clean'!A267:A1266,'Subbu- Mini Project EXcel Clean'!P267:P1266," ",0)</f>
        <v>1</v>
      </c>
      <c r="G267" t="str">
        <f>_xlfn.XLOOKUP(A267,'Subbu- Mini Project EXcel Clean'!A267:A1266,'Subbu- Mini Project EXcel Clean'!Q267:Q1266," ",0)</f>
        <v>Low</v>
      </c>
      <c r="H267">
        <f>VLOOKUP(A267,'Subbu- Mini Project EXcel Clean'!A266:R1266,15,FALSE)</f>
        <v>1.8</v>
      </c>
    </row>
    <row r="268" spans="1:8" x14ac:dyDescent="0.25">
      <c r="A268" t="s">
        <v>296</v>
      </c>
      <c r="B268">
        <f>_xlfn.XLOOKUP(A268,'Subbu- Mini Project EXcel Clean'!A268:A1267,'Subbu- Mini Project EXcel Clean'!I268:I1267,"Entry Level",0)</f>
        <v>3</v>
      </c>
      <c r="C268" t="str">
        <f>_xlfn.XLOOKUP(A268,'Subbu- Mini Project EXcel Clean'!A268:A1267,'Subbu- Mini Project EXcel Clean'!J268:J1267," ",0)</f>
        <v>Consistent</v>
      </c>
      <c r="D268">
        <f>_xlfn.XLOOKUP(A268,'Subbu- Mini Project EXcel Clean'!A268:A1267,'Subbu- Mini Project EXcel Clean'!N268:N1267,"entry Level",0)</f>
        <v>7.7</v>
      </c>
      <c r="E268">
        <f>_xlfn.XLOOKUP(A268,'Subbu- Mini Project EXcel Clean'!A268:A1267,'Subbu- Mini Project EXcel Clean'!M268:M1267," ",0)</f>
        <v>80.400000000000006</v>
      </c>
      <c r="F268">
        <f>_xlfn.XLOOKUP(A268,'Subbu- Mini Project EXcel Clean'!A268:A1267,'Subbu- Mini Project EXcel Clean'!P268:P1267," ",0)</f>
        <v>4</v>
      </c>
      <c r="G268" t="str">
        <f>_xlfn.XLOOKUP(A268,'Subbu- Mini Project EXcel Clean'!A268:A1267,'Subbu- Mini Project EXcel Clean'!Q268:Q1267," ",0)</f>
        <v>Moderate</v>
      </c>
      <c r="H268">
        <f>VLOOKUP(A268,'Subbu- Mini Project EXcel Clean'!A267:R1267,15,FALSE)</f>
        <v>3.3</v>
      </c>
    </row>
    <row r="269" spans="1:8" x14ac:dyDescent="0.25">
      <c r="A269" t="s">
        <v>297</v>
      </c>
      <c r="B269">
        <f>_xlfn.XLOOKUP(A269,'Subbu- Mini Project EXcel Clean'!A269:A1268,'Subbu- Mini Project EXcel Clean'!I269:I1268,"Entry Level",0)</f>
        <v>2</v>
      </c>
      <c r="C269" t="str">
        <f>_xlfn.XLOOKUP(A269,'Subbu- Mini Project EXcel Clean'!A269:A1268,'Subbu- Mini Project EXcel Clean'!J269:J1268," ",0)</f>
        <v>Consistent</v>
      </c>
      <c r="D269">
        <f>_xlfn.XLOOKUP(A269,'Subbu- Mini Project EXcel Clean'!A269:A1268,'Subbu- Mini Project EXcel Clean'!N269:N1268,"entry Level",0)</f>
        <v>6.2</v>
      </c>
      <c r="E269">
        <f>_xlfn.XLOOKUP(A269,'Subbu- Mini Project EXcel Clean'!A269:A1268,'Subbu- Mini Project EXcel Clean'!M269:M1268," ",0)</f>
        <v>74.2</v>
      </c>
      <c r="F269">
        <f>_xlfn.XLOOKUP(A269,'Subbu- Mini Project EXcel Clean'!A269:A1268,'Subbu- Mini Project EXcel Clean'!P269:P1268," ",0)</f>
        <v>5</v>
      </c>
      <c r="G269" t="str">
        <f>_xlfn.XLOOKUP(A269,'Subbu- Mini Project EXcel Clean'!A269:A1268,'Subbu- Mini Project EXcel Clean'!Q269:Q1268," ",0)</f>
        <v>Moderate</v>
      </c>
      <c r="H269">
        <f>VLOOKUP(A269,'Subbu- Mini Project EXcel Clean'!A268:R1268,15,FALSE)</f>
        <v>3</v>
      </c>
    </row>
    <row r="270" spans="1:8" x14ac:dyDescent="0.25">
      <c r="A270" t="s">
        <v>298</v>
      </c>
      <c r="B270">
        <f>_xlfn.XLOOKUP(A270,'Subbu- Mini Project EXcel Clean'!A270:A1269,'Subbu- Mini Project EXcel Clean'!I270:I1269,"Entry Level",0)</f>
        <v>3</v>
      </c>
      <c r="C270" t="str">
        <f>_xlfn.XLOOKUP(A270,'Subbu- Mini Project EXcel Clean'!A270:A1269,'Subbu- Mini Project EXcel Clean'!J270:J1269," ",0)</f>
        <v>Excellent</v>
      </c>
      <c r="D270">
        <f>_xlfn.XLOOKUP(A270,'Subbu- Mini Project EXcel Clean'!A270:A1269,'Subbu- Mini Project EXcel Clean'!N270:N1269,"entry Level",0)</f>
        <v>5.6</v>
      </c>
      <c r="E270">
        <f>_xlfn.XLOOKUP(A270,'Subbu- Mini Project EXcel Clean'!A270:A1269,'Subbu- Mini Project EXcel Clean'!M270:M1269," ",0)</f>
        <v>72.8</v>
      </c>
      <c r="F270">
        <f>_xlfn.XLOOKUP(A270,'Subbu- Mini Project EXcel Clean'!A270:A1269,'Subbu- Mini Project EXcel Clean'!P270:P1269," ",0)</f>
        <v>3</v>
      </c>
      <c r="G270" t="str">
        <f>_xlfn.XLOOKUP(A270,'Subbu- Mini Project EXcel Clean'!A270:A1269,'Subbu- Mini Project EXcel Clean'!Q270:Q1269," ",0)</f>
        <v>Low</v>
      </c>
      <c r="H270">
        <f>VLOOKUP(A270,'Subbu- Mini Project EXcel Clean'!A269:R1269,15,FALSE)</f>
        <v>4.4000000000000004</v>
      </c>
    </row>
    <row r="271" spans="1:8" x14ac:dyDescent="0.25">
      <c r="A271" t="s">
        <v>299</v>
      </c>
      <c r="B271">
        <f>_xlfn.XLOOKUP(A271,'Subbu- Mini Project EXcel Clean'!A271:A1270,'Subbu- Mini Project EXcel Clean'!I271:I1270,"Entry Level",0)</f>
        <v>2</v>
      </c>
      <c r="C271" t="str">
        <f>_xlfn.XLOOKUP(A271,'Subbu- Mini Project EXcel Clean'!A271:A1270,'Subbu- Mini Project EXcel Clean'!J271:J1270," ",0)</f>
        <v>Consistent</v>
      </c>
      <c r="D271">
        <f>_xlfn.XLOOKUP(A271,'Subbu- Mini Project EXcel Clean'!A271:A1270,'Subbu- Mini Project EXcel Clean'!N271:N1270,"entry Level",0)</f>
        <v>7.4</v>
      </c>
      <c r="E271">
        <f>_xlfn.XLOOKUP(A271,'Subbu- Mini Project EXcel Clean'!A271:A1270,'Subbu- Mini Project EXcel Clean'!M271:M1270," ",0)</f>
        <v>74.3</v>
      </c>
      <c r="F271">
        <f>_xlfn.XLOOKUP(A271,'Subbu- Mini Project EXcel Clean'!A271:A1270,'Subbu- Mini Project EXcel Clean'!P271:P1270," ",0)</f>
        <v>6</v>
      </c>
      <c r="G271" t="str">
        <f>_xlfn.XLOOKUP(A271,'Subbu- Mini Project EXcel Clean'!A271:A1270,'Subbu- Mini Project EXcel Clean'!Q271:Q1270," ",0)</f>
        <v>High</v>
      </c>
      <c r="H271">
        <f>VLOOKUP(A271,'Subbu- Mini Project EXcel Clean'!A270:R1270,15,FALSE)</f>
        <v>2.2000000000000002</v>
      </c>
    </row>
    <row r="272" spans="1:8" x14ac:dyDescent="0.25">
      <c r="A272" t="s">
        <v>300</v>
      </c>
      <c r="B272">
        <f>_xlfn.XLOOKUP(A272,'Subbu- Mini Project EXcel Clean'!A272:A1271,'Subbu- Mini Project EXcel Clean'!I272:I1271,"Entry Level",0)</f>
        <v>5</v>
      </c>
      <c r="C272" t="str">
        <f>_xlfn.XLOOKUP(A272,'Subbu- Mini Project EXcel Clean'!A272:A1271,'Subbu- Mini Project EXcel Clean'!J272:J1271," ",0)</f>
        <v>Good</v>
      </c>
      <c r="D272">
        <f>_xlfn.XLOOKUP(A272,'Subbu- Mini Project EXcel Clean'!A272:A1271,'Subbu- Mini Project EXcel Clean'!N272:N1271,"entry Level",0)</f>
        <v>6.5</v>
      </c>
      <c r="E272">
        <f>_xlfn.XLOOKUP(A272,'Subbu- Mini Project EXcel Clean'!A272:A1271,'Subbu- Mini Project EXcel Clean'!M272:M1271," ",0)</f>
        <v>95</v>
      </c>
      <c r="F272">
        <f>_xlfn.XLOOKUP(A272,'Subbu- Mini Project EXcel Clean'!A272:A1271,'Subbu- Mini Project EXcel Clean'!P272:P1271," ",0)</f>
        <v>3</v>
      </c>
      <c r="G272" t="str">
        <f>_xlfn.XLOOKUP(A272,'Subbu- Mini Project EXcel Clean'!A272:A1271,'Subbu- Mini Project EXcel Clean'!Q272:Q1271," ",0)</f>
        <v>Low</v>
      </c>
      <c r="H272">
        <f>VLOOKUP(A272,'Subbu- Mini Project EXcel Clean'!A271:R1271,15,FALSE)</f>
        <v>4.2</v>
      </c>
    </row>
    <row r="273" spans="1:8" x14ac:dyDescent="0.25">
      <c r="A273" t="s">
        <v>301</v>
      </c>
      <c r="B273">
        <f>_xlfn.XLOOKUP(A273,'Subbu- Mini Project EXcel Clean'!A273:A1272,'Subbu- Mini Project EXcel Clean'!I273:I1272,"Entry Level",0)</f>
        <v>5</v>
      </c>
      <c r="C273" t="str">
        <f>_xlfn.XLOOKUP(A273,'Subbu- Mini Project EXcel Clean'!A273:A1272,'Subbu- Mini Project EXcel Clean'!J273:J1272," ",0)</f>
        <v>Good</v>
      </c>
      <c r="D273">
        <f>_xlfn.XLOOKUP(A273,'Subbu- Mini Project EXcel Clean'!A273:A1272,'Subbu- Mini Project EXcel Clean'!N273:N1272,"entry Level",0)</f>
        <v>6.4</v>
      </c>
      <c r="E273">
        <f>_xlfn.XLOOKUP(A273,'Subbu- Mini Project EXcel Clean'!A273:A1272,'Subbu- Mini Project EXcel Clean'!M273:M1272," ",0)</f>
        <v>93.1</v>
      </c>
      <c r="F273">
        <f>_xlfn.XLOOKUP(A273,'Subbu- Mini Project EXcel Clean'!A273:A1272,'Subbu- Mini Project EXcel Clean'!P273:P1272," ",0)</f>
        <v>6</v>
      </c>
      <c r="G273" t="str">
        <f>_xlfn.XLOOKUP(A273,'Subbu- Mini Project EXcel Clean'!A273:A1272,'Subbu- Mini Project EXcel Clean'!Q273:Q1272," ",0)</f>
        <v>High</v>
      </c>
      <c r="H273">
        <f>VLOOKUP(A273,'Subbu- Mini Project EXcel Clean'!A272:R1272,15,FALSE)</f>
        <v>5.4</v>
      </c>
    </row>
    <row r="274" spans="1:8" x14ac:dyDescent="0.25">
      <c r="A274" t="s">
        <v>302</v>
      </c>
      <c r="B274">
        <f>_xlfn.XLOOKUP(A274,'Subbu- Mini Project EXcel Clean'!A274:A1273,'Subbu- Mini Project EXcel Clean'!I274:I1273,"Entry Level",0)</f>
        <v>3</v>
      </c>
      <c r="C274" t="str">
        <f>_xlfn.XLOOKUP(A274,'Subbu- Mini Project EXcel Clean'!A274:A1273,'Subbu- Mini Project EXcel Clean'!J274:J1273," ",0)</f>
        <v>Consistent</v>
      </c>
      <c r="D274">
        <f>_xlfn.XLOOKUP(A274,'Subbu- Mini Project EXcel Clean'!A274:A1273,'Subbu- Mini Project EXcel Clean'!N274:N1273,"entry Level",0)</f>
        <v>7.5</v>
      </c>
      <c r="E274">
        <f>_xlfn.XLOOKUP(A274,'Subbu- Mini Project EXcel Clean'!A274:A1273,'Subbu- Mini Project EXcel Clean'!M274:M1273," ",0)</f>
        <v>86.8</v>
      </c>
      <c r="F274">
        <f>_xlfn.XLOOKUP(A274,'Subbu- Mini Project EXcel Clean'!A274:A1273,'Subbu- Mini Project EXcel Clean'!P274:P1273," ",0)</f>
        <v>4</v>
      </c>
      <c r="G274" t="str">
        <f>_xlfn.XLOOKUP(A274,'Subbu- Mini Project EXcel Clean'!A274:A1273,'Subbu- Mini Project EXcel Clean'!Q274:Q1273," ",0)</f>
        <v>Moderate</v>
      </c>
      <c r="H274">
        <f>VLOOKUP(A274,'Subbu- Mini Project EXcel Clean'!A273:R1273,15,FALSE)</f>
        <v>3.1</v>
      </c>
    </row>
    <row r="275" spans="1:8" x14ac:dyDescent="0.25">
      <c r="A275" t="s">
        <v>303</v>
      </c>
      <c r="B275">
        <f>_xlfn.XLOOKUP(A275,'Subbu- Mini Project EXcel Clean'!A275:A1274,'Subbu- Mini Project EXcel Clean'!I275:I1274,"Entry Level",0)</f>
        <v>2</v>
      </c>
      <c r="C275" t="str">
        <f>_xlfn.XLOOKUP(A275,'Subbu- Mini Project EXcel Clean'!A275:A1274,'Subbu- Mini Project EXcel Clean'!J275:J1274," ",0)</f>
        <v>Consistent</v>
      </c>
      <c r="D275">
        <f>_xlfn.XLOOKUP(A275,'Subbu- Mini Project EXcel Clean'!A275:A1274,'Subbu- Mini Project EXcel Clean'!N275:N1274,"entry Level",0)</f>
        <v>6.1</v>
      </c>
      <c r="E275">
        <f>_xlfn.XLOOKUP(A275,'Subbu- Mini Project EXcel Clean'!A275:A1274,'Subbu- Mini Project EXcel Clean'!M275:M1274," ",0)</f>
        <v>69.8</v>
      </c>
      <c r="F275">
        <f>_xlfn.XLOOKUP(A275,'Subbu- Mini Project EXcel Clean'!A275:A1274,'Subbu- Mini Project EXcel Clean'!P275:P1274," ",0)</f>
        <v>4</v>
      </c>
      <c r="G275" t="str">
        <f>_xlfn.XLOOKUP(A275,'Subbu- Mini Project EXcel Clean'!A275:A1274,'Subbu- Mini Project EXcel Clean'!Q275:Q1274," ",0)</f>
        <v>Moderate</v>
      </c>
      <c r="H275">
        <f>VLOOKUP(A275,'Subbu- Mini Project EXcel Clean'!A274:R1274,15,FALSE)</f>
        <v>5.6</v>
      </c>
    </row>
    <row r="276" spans="1:8" x14ac:dyDescent="0.25">
      <c r="A276" t="s">
        <v>304</v>
      </c>
      <c r="B276">
        <f>_xlfn.XLOOKUP(A276,'Subbu- Mini Project EXcel Clean'!A276:A1275,'Subbu- Mini Project EXcel Clean'!I276:I1275,"Entry Level",0)</f>
        <v>4</v>
      </c>
      <c r="C276" t="str">
        <f>_xlfn.XLOOKUP(A276,'Subbu- Mini Project EXcel Clean'!A276:A1275,'Subbu- Mini Project EXcel Clean'!J276:J1275," ",0)</f>
        <v>Excellent</v>
      </c>
      <c r="D276">
        <f>_xlfn.XLOOKUP(A276,'Subbu- Mini Project EXcel Clean'!A276:A1275,'Subbu- Mini Project EXcel Clean'!N276:N1275,"entry Level",0)</f>
        <v>5.3</v>
      </c>
      <c r="E276">
        <f>_xlfn.XLOOKUP(A276,'Subbu- Mini Project EXcel Clean'!A276:A1275,'Subbu- Mini Project EXcel Clean'!M276:M1275," ",0)</f>
        <v>85.5</v>
      </c>
      <c r="F276">
        <f>_xlfn.XLOOKUP(A276,'Subbu- Mini Project EXcel Clean'!A276:A1275,'Subbu- Mini Project EXcel Clean'!P276:P1275," ",0)</f>
        <v>2</v>
      </c>
      <c r="G276" t="str">
        <f>_xlfn.XLOOKUP(A276,'Subbu- Mini Project EXcel Clean'!A276:A1275,'Subbu- Mini Project EXcel Clean'!Q276:Q1275," ",0)</f>
        <v>Low</v>
      </c>
      <c r="H276">
        <f>VLOOKUP(A276,'Subbu- Mini Project EXcel Clean'!A275:R1275,15,FALSE)</f>
        <v>6</v>
      </c>
    </row>
    <row r="277" spans="1:8" x14ac:dyDescent="0.25">
      <c r="A277" t="s">
        <v>305</v>
      </c>
      <c r="B277">
        <f>_xlfn.XLOOKUP(A277,'Subbu- Mini Project EXcel Clean'!A277:A1276,'Subbu- Mini Project EXcel Clean'!I277:I1276,"Entry Level",0)</f>
        <v>1</v>
      </c>
      <c r="C277" t="str">
        <f>_xlfn.XLOOKUP(A277,'Subbu- Mini Project EXcel Clean'!A277:A1276,'Subbu- Mini Project EXcel Clean'!J277:J1276," ",0)</f>
        <v>Consistent</v>
      </c>
      <c r="D277">
        <f>_xlfn.XLOOKUP(A277,'Subbu- Mini Project EXcel Clean'!A277:A1276,'Subbu- Mini Project EXcel Clean'!N277:N1276,"entry Level",0)</f>
        <v>8.6</v>
      </c>
      <c r="E277">
        <f>_xlfn.XLOOKUP(A277,'Subbu- Mini Project EXcel Clean'!A277:A1276,'Subbu- Mini Project EXcel Clean'!M277:M1276," ",0)</f>
        <v>61.8</v>
      </c>
      <c r="F277">
        <f>_xlfn.XLOOKUP(A277,'Subbu- Mini Project EXcel Clean'!A277:A1276,'Subbu- Mini Project EXcel Clean'!P277:P1276," ",0)</f>
        <v>3</v>
      </c>
      <c r="G277" t="str">
        <f>_xlfn.XLOOKUP(A277,'Subbu- Mini Project EXcel Clean'!A277:A1276,'Subbu- Mini Project EXcel Clean'!Q277:Q1276," ",0)</f>
        <v>Low</v>
      </c>
      <c r="H277">
        <f>VLOOKUP(A277,'Subbu- Mini Project EXcel Clean'!A276:R1276,15,FALSE)</f>
        <v>1.5</v>
      </c>
    </row>
    <row r="278" spans="1:8" x14ac:dyDescent="0.25">
      <c r="A278" t="s">
        <v>306</v>
      </c>
      <c r="B278">
        <f>_xlfn.XLOOKUP(A278,'Subbu- Mini Project EXcel Clean'!A278:A1277,'Subbu- Mini Project EXcel Clean'!I278:I1277,"Entry Level",0)</f>
        <v>3</v>
      </c>
      <c r="C278" t="str">
        <f>_xlfn.XLOOKUP(A278,'Subbu- Mini Project EXcel Clean'!A278:A1277,'Subbu- Mini Project EXcel Clean'!J278:J1277," ",0)</f>
        <v>Consistent</v>
      </c>
      <c r="D278">
        <f>_xlfn.XLOOKUP(A278,'Subbu- Mini Project EXcel Clean'!A278:A1277,'Subbu- Mini Project EXcel Clean'!N278:N1277,"entry Level",0)</f>
        <v>6.9</v>
      </c>
      <c r="E278">
        <f>_xlfn.XLOOKUP(A278,'Subbu- Mini Project EXcel Clean'!A278:A1277,'Subbu- Mini Project EXcel Clean'!M278:M1277," ",0)</f>
        <v>82.4</v>
      </c>
      <c r="F278">
        <f>_xlfn.XLOOKUP(A278,'Subbu- Mini Project EXcel Clean'!A278:A1277,'Subbu- Mini Project EXcel Clean'!P278:P1277," ",0)</f>
        <v>3</v>
      </c>
      <c r="G278" t="str">
        <f>_xlfn.XLOOKUP(A278,'Subbu- Mini Project EXcel Clean'!A278:A1277,'Subbu- Mini Project EXcel Clean'!Q278:Q1277," ",0)</f>
        <v>Low</v>
      </c>
      <c r="H278">
        <f>VLOOKUP(A278,'Subbu- Mini Project EXcel Clean'!A277:R1277,15,FALSE)</f>
        <v>2.2000000000000002</v>
      </c>
    </row>
    <row r="279" spans="1:8" x14ac:dyDescent="0.25">
      <c r="A279" t="s">
        <v>307</v>
      </c>
      <c r="B279">
        <f>_xlfn.XLOOKUP(A279,'Subbu- Mini Project EXcel Clean'!A279:A1278,'Subbu- Mini Project EXcel Clean'!I279:I1278,"Entry Level",0)</f>
        <v>2</v>
      </c>
      <c r="C279" t="str">
        <f>_xlfn.XLOOKUP(A279,'Subbu- Mini Project EXcel Clean'!A279:A1278,'Subbu- Mini Project EXcel Clean'!J279:J1278," ",0)</f>
        <v>Consistent</v>
      </c>
      <c r="D279">
        <f>_xlfn.XLOOKUP(A279,'Subbu- Mini Project EXcel Clean'!A279:A1278,'Subbu- Mini Project EXcel Clean'!N279:N1278,"entry Level",0)</f>
        <v>5.7</v>
      </c>
      <c r="E279">
        <f>_xlfn.XLOOKUP(A279,'Subbu- Mini Project EXcel Clean'!A279:A1278,'Subbu- Mini Project EXcel Clean'!M279:M1278," ",0)</f>
        <v>72.7</v>
      </c>
      <c r="F279">
        <f>_xlfn.XLOOKUP(A279,'Subbu- Mini Project EXcel Clean'!A279:A1278,'Subbu- Mini Project EXcel Clean'!P279:P1278," ",0)</f>
        <v>5</v>
      </c>
      <c r="G279" t="str">
        <f>_xlfn.XLOOKUP(A279,'Subbu- Mini Project EXcel Clean'!A279:A1278,'Subbu- Mini Project EXcel Clean'!Q279:Q1278," ",0)</f>
        <v>Moderate</v>
      </c>
      <c r="H279">
        <f>VLOOKUP(A279,'Subbu- Mini Project EXcel Clean'!A278:R1278,15,FALSE)</f>
        <v>5.8</v>
      </c>
    </row>
    <row r="280" spans="1:8" x14ac:dyDescent="0.25">
      <c r="A280" t="s">
        <v>308</v>
      </c>
      <c r="B280">
        <f>_xlfn.XLOOKUP(A280,'Subbu- Mini Project EXcel Clean'!A280:A1279,'Subbu- Mini Project EXcel Clean'!I280:I1279,"Entry Level",0)</f>
        <v>5</v>
      </c>
      <c r="C280" t="str">
        <f>_xlfn.XLOOKUP(A280,'Subbu- Mini Project EXcel Clean'!A280:A1279,'Subbu- Mini Project EXcel Clean'!J280:J1279," ",0)</f>
        <v>Good</v>
      </c>
      <c r="D280">
        <f>_xlfn.XLOOKUP(A280,'Subbu- Mini Project EXcel Clean'!A280:A1279,'Subbu- Mini Project EXcel Clean'!N280:N1279,"entry Level",0)</f>
        <v>6.8</v>
      </c>
      <c r="E280">
        <f>_xlfn.XLOOKUP(A280,'Subbu- Mini Project EXcel Clean'!A280:A1279,'Subbu- Mini Project EXcel Clean'!M280:M1279," ",0)</f>
        <v>102.7</v>
      </c>
      <c r="F280">
        <f>_xlfn.XLOOKUP(A280,'Subbu- Mini Project EXcel Clean'!A280:A1279,'Subbu- Mini Project EXcel Clean'!P280:P1279," ",0)</f>
        <v>4</v>
      </c>
      <c r="G280" t="str">
        <f>_xlfn.XLOOKUP(A280,'Subbu- Mini Project EXcel Clean'!A280:A1279,'Subbu- Mini Project EXcel Clean'!Q280:Q1279," ",0)</f>
        <v>Moderate</v>
      </c>
      <c r="H280">
        <f>VLOOKUP(A280,'Subbu- Mini Project EXcel Clean'!A279:R1279,15,FALSE)</f>
        <v>5.8</v>
      </c>
    </row>
    <row r="281" spans="1:8" x14ac:dyDescent="0.25">
      <c r="A281" t="s">
        <v>309</v>
      </c>
      <c r="B281">
        <f>_xlfn.XLOOKUP(A281,'Subbu- Mini Project EXcel Clean'!A281:A1280,'Subbu- Mini Project EXcel Clean'!I281:I1280,"Entry Level",0)</f>
        <v>1</v>
      </c>
      <c r="C281" t="str">
        <f>_xlfn.XLOOKUP(A281,'Subbu- Mini Project EXcel Clean'!A281:A1280,'Subbu- Mini Project EXcel Clean'!J281:J1280," ",0)</f>
        <v>Average</v>
      </c>
      <c r="D281">
        <f>_xlfn.XLOOKUP(A281,'Subbu- Mini Project EXcel Clean'!A281:A1280,'Subbu- Mini Project EXcel Clean'!N281:N1280,"entry Level",0)</f>
        <v>7.4</v>
      </c>
      <c r="E281">
        <f>_xlfn.XLOOKUP(A281,'Subbu- Mini Project EXcel Clean'!A281:A1280,'Subbu- Mini Project EXcel Clean'!M281:M1280," ",0)</f>
        <v>63.1</v>
      </c>
      <c r="F281">
        <f>_xlfn.XLOOKUP(A281,'Subbu- Mini Project EXcel Clean'!A281:A1280,'Subbu- Mini Project EXcel Clean'!P281:P1280," ",0)</f>
        <v>2</v>
      </c>
      <c r="G281" t="str">
        <f>_xlfn.XLOOKUP(A281,'Subbu- Mini Project EXcel Clean'!A281:A1280,'Subbu- Mini Project EXcel Clean'!Q281:Q1280," ",0)</f>
        <v>Low</v>
      </c>
      <c r="H281">
        <f>VLOOKUP(A281,'Subbu- Mini Project EXcel Clean'!A280:R1280,15,FALSE)</f>
        <v>1.5</v>
      </c>
    </row>
    <row r="282" spans="1:8" x14ac:dyDescent="0.25">
      <c r="A282" t="s">
        <v>310</v>
      </c>
      <c r="B282">
        <f>_xlfn.XLOOKUP(A282,'Subbu- Mini Project EXcel Clean'!A282:A1281,'Subbu- Mini Project EXcel Clean'!I282:I1281,"Entry Level",0)</f>
        <v>3</v>
      </c>
      <c r="C282" t="str">
        <f>_xlfn.XLOOKUP(A282,'Subbu- Mini Project EXcel Clean'!A282:A1281,'Subbu- Mini Project EXcel Clean'!J282:J1281," ",0)</f>
        <v>Excellent</v>
      </c>
      <c r="D282">
        <f>_xlfn.XLOOKUP(A282,'Subbu- Mini Project EXcel Clean'!A282:A1281,'Subbu- Mini Project EXcel Clean'!N282:N1281,"entry Level",0)</f>
        <v>7.6</v>
      </c>
      <c r="E282">
        <f>_xlfn.XLOOKUP(A282,'Subbu- Mini Project EXcel Clean'!A282:A1281,'Subbu- Mini Project EXcel Clean'!M282:M1281," ",0)</f>
        <v>71.2</v>
      </c>
      <c r="F282">
        <f>_xlfn.XLOOKUP(A282,'Subbu- Mini Project EXcel Clean'!A282:A1281,'Subbu- Mini Project EXcel Clean'!P282:P1281," ",0)</f>
        <v>3</v>
      </c>
      <c r="G282" t="str">
        <f>_xlfn.XLOOKUP(A282,'Subbu- Mini Project EXcel Clean'!A282:A1281,'Subbu- Mini Project EXcel Clean'!Q282:Q1281," ",0)</f>
        <v>Low</v>
      </c>
      <c r="H282">
        <f>VLOOKUP(A282,'Subbu- Mini Project EXcel Clean'!A281:R1281,15,FALSE)</f>
        <v>1.1000000000000001</v>
      </c>
    </row>
    <row r="283" spans="1:8" x14ac:dyDescent="0.25">
      <c r="A283" t="s">
        <v>311</v>
      </c>
      <c r="B283">
        <f>_xlfn.XLOOKUP(A283,'Subbu- Mini Project EXcel Clean'!A283:A1282,'Subbu- Mini Project EXcel Clean'!I283:I1282,"Entry Level",0)</f>
        <v>4</v>
      </c>
      <c r="C283" t="str">
        <f>_xlfn.XLOOKUP(A283,'Subbu- Mini Project EXcel Clean'!A283:A1282,'Subbu- Mini Project EXcel Clean'!J283:J1282," ",0)</f>
        <v>Excellent</v>
      </c>
      <c r="D283">
        <f>_xlfn.XLOOKUP(A283,'Subbu- Mini Project EXcel Clean'!A283:A1282,'Subbu- Mini Project EXcel Clean'!N283:N1282,"entry Level",0)</f>
        <v>7.7</v>
      </c>
      <c r="E283">
        <f>_xlfn.XLOOKUP(A283,'Subbu- Mini Project EXcel Clean'!A283:A1282,'Subbu- Mini Project EXcel Clean'!M283:M1282," ",0)</f>
        <v>87</v>
      </c>
      <c r="F283">
        <f>_xlfn.XLOOKUP(A283,'Subbu- Mini Project EXcel Clean'!A283:A1282,'Subbu- Mini Project EXcel Clean'!P283:P1282," ",0)</f>
        <v>4</v>
      </c>
      <c r="G283" t="str">
        <f>_xlfn.XLOOKUP(A283,'Subbu- Mini Project EXcel Clean'!A283:A1282,'Subbu- Mini Project EXcel Clean'!Q283:Q1282," ",0)</f>
        <v>Moderate</v>
      </c>
      <c r="H283">
        <f>VLOOKUP(A283,'Subbu- Mini Project EXcel Clean'!A282:R1282,15,FALSE)</f>
        <v>1.8</v>
      </c>
    </row>
    <row r="284" spans="1:8" x14ac:dyDescent="0.25">
      <c r="A284" t="s">
        <v>312</v>
      </c>
      <c r="B284">
        <f>_xlfn.XLOOKUP(A284,'Subbu- Mini Project EXcel Clean'!A284:A1283,'Subbu- Mini Project EXcel Clean'!I284:I1283,"Entry Level",0)</f>
        <v>3</v>
      </c>
      <c r="C284" t="str">
        <f>_xlfn.XLOOKUP(A284,'Subbu- Mini Project EXcel Clean'!A284:A1283,'Subbu- Mini Project EXcel Clean'!J284:J1283," ",0)</f>
        <v>Consistent</v>
      </c>
      <c r="D284">
        <f>_xlfn.XLOOKUP(A284,'Subbu- Mini Project EXcel Clean'!A284:A1283,'Subbu- Mini Project EXcel Clean'!N284:N1283,"entry Level",0)</f>
        <v>6.7</v>
      </c>
      <c r="E284">
        <f>_xlfn.XLOOKUP(A284,'Subbu- Mini Project EXcel Clean'!A284:A1283,'Subbu- Mini Project EXcel Clean'!M284:M1283," ",0)</f>
        <v>76.599999999999994</v>
      </c>
      <c r="F284">
        <f>_xlfn.XLOOKUP(A284,'Subbu- Mini Project EXcel Clean'!A284:A1283,'Subbu- Mini Project EXcel Clean'!P284:P1283," ",0)</f>
        <v>7</v>
      </c>
      <c r="G284" t="str">
        <f>_xlfn.XLOOKUP(A284,'Subbu- Mini Project EXcel Clean'!A284:A1283,'Subbu- Mini Project EXcel Clean'!Q284:Q1283," ",0)</f>
        <v>High</v>
      </c>
      <c r="H284">
        <f>VLOOKUP(A284,'Subbu- Mini Project EXcel Clean'!A283:R1283,15,FALSE)</f>
        <v>6</v>
      </c>
    </row>
    <row r="285" spans="1:8" x14ac:dyDescent="0.25">
      <c r="A285" t="s">
        <v>313</v>
      </c>
      <c r="B285">
        <f>_xlfn.XLOOKUP(A285,'Subbu- Mini Project EXcel Clean'!A285:A1284,'Subbu- Mini Project EXcel Clean'!I285:I1284,"Entry Level",0)</f>
        <v>1</v>
      </c>
      <c r="C285" t="str">
        <f>_xlfn.XLOOKUP(A285,'Subbu- Mini Project EXcel Clean'!A285:A1284,'Subbu- Mini Project EXcel Clean'!J285:J1284," ",0)</f>
        <v>Consistent</v>
      </c>
      <c r="D285">
        <f>_xlfn.XLOOKUP(A285,'Subbu- Mini Project EXcel Clean'!A285:A1284,'Subbu- Mini Project EXcel Clean'!N285:N1284,"entry Level",0)</f>
        <v>7.3</v>
      </c>
      <c r="E285">
        <f>_xlfn.XLOOKUP(A285,'Subbu- Mini Project EXcel Clean'!A285:A1284,'Subbu- Mini Project EXcel Clean'!M285:M1284," ",0)</f>
        <v>65.8</v>
      </c>
      <c r="F285">
        <f>_xlfn.XLOOKUP(A285,'Subbu- Mini Project EXcel Clean'!A285:A1284,'Subbu- Mini Project EXcel Clean'!P285:P1284," ",0)</f>
        <v>1</v>
      </c>
      <c r="G285" t="str">
        <f>_xlfn.XLOOKUP(A285,'Subbu- Mini Project EXcel Clean'!A285:A1284,'Subbu- Mini Project EXcel Clean'!Q285:Q1284," ",0)</f>
        <v>Low</v>
      </c>
      <c r="H285">
        <f>VLOOKUP(A285,'Subbu- Mini Project EXcel Clean'!A284:R1284,15,FALSE)</f>
        <v>1.9</v>
      </c>
    </row>
    <row r="286" spans="1:8" x14ac:dyDescent="0.25">
      <c r="A286" t="s">
        <v>314</v>
      </c>
      <c r="B286">
        <f>_xlfn.XLOOKUP(A286,'Subbu- Mini Project EXcel Clean'!A286:A1285,'Subbu- Mini Project EXcel Clean'!I286:I1285,"Entry Level",0)</f>
        <v>5</v>
      </c>
      <c r="C286" t="str">
        <f>_xlfn.XLOOKUP(A286,'Subbu- Mini Project EXcel Clean'!A286:A1285,'Subbu- Mini Project EXcel Clean'!J286:J1285," ",0)</f>
        <v>Good</v>
      </c>
      <c r="D286">
        <f>_xlfn.XLOOKUP(A286,'Subbu- Mini Project EXcel Clean'!A286:A1285,'Subbu- Mini Project EXcel Clean'!N286:N1285,"entry Level",0)</f>
        <v>7.7</v>
      </c>
      <c r="E286">
        <f>_xlfn.XLOOKUP(A286,'Subbu- Mini Project EXcel Clean'!A286:A1285,'Subbu- Mini Project EXcel Clean'!M286:M1285," ",0)</f>
        <v>85.8</v>
      </c>
      <c r="F286">
        <f>_xlfn.XLOOKUP(A286,'Subbu- Mini Project EXcel Clean'!A286:A1285,'Subbu- Mini Project EXcel Clean'!P286:P1285," ",0)</f>
        <v>1</v>
      </c>
      <c r="G286" t="str">
        <f>_xlfn.XLOOKUP(A286,'Subbu- Mini Project EXcel Clean'!A286:A1285,'Subbu- Mini Project EXcel Clean'!Q286:Q1285," ",0)</f>
        <v>Low</v>
      </c>
      <c r="H286">
        <f>VLOOKUP(A286,'Subbu- Mini Project EXcel Clean'!A285:R1285,15,FALSE)</f>
        <v>3.5</v>
      </c>
    </row>
    <row r="287" spans="1:8" x14ac:dyDescent="0.25">
      <c r="A287" t="s">
        <v>315</v>
      </c>
      <c r="B287">
        <f>_xlfn.XLOOKUP(A287,'Subbu- Mini Project EXcel Clean'!A287:A1286,'Subbu- Mini Project EXcel Clean'!I287:I1286,"Entry Level",0)</f>
        <v>3</v>
      </c>
      <c r="C287" t="str">
        <f>_xlfn.XLOOKUP(A287,'Subbu- Mini Project EXcel Clean'!A287:A1286,'Subbu- Mini Project EXcel Clean'!J287:J1286," ",0)</f>
        <v>Excellent</v>
      </c>
      <c r="D287">
        <f>_xlfn.XLOOKUP(A287,'Subbu- Mini Project EXcel Clean'!A287:A1286,'Subbu- Mini Project EXcel Clean'!N287:N1286,"entry Level",0)</f>
        <v>5.4</v>
      </c>
      <c r="E287">
        <f>_xlfn.XLOOKUP(A287,'Subbu- Mini Project EXcel Clean'!A287:A1286,'Subbu- Mini Project EXcel Clean'!M287:M1286," ",0)</f>
        <v>93.5</v>
      </c>
      <c r="F287">
        <f>_xlfn.XLOOKUP(A287,'Subbu- Mini Project EXcel Clean'!A287:A1286,'Subbu- Mini Project EXcel Clean'!P287:P1286," ",0)</f>
        <v>6</v>
      </c>
      <c r="G287" t="str">
        <f>_xlfn.XLOOKUP(A287,'Subbu- Mini Project EXcel Clean'!A287:A1286,'Subbu- Mini Project EXcel Clean'!Q287:Q1286," ",0)</f>
        <v>High</v>
      </c>
      <c r="H287">
        <f>VLOOKUP(A287,'Subbu- Mini Project EXcel Clean'!A286:R1286,15,FALSE)</f>
        <v>5.2</v>
      </c>
    </row>
    <row r="288" spans="1:8" x14ac:dyDescent="0.25">
      <c r="A288" t="s">
        <v>316</v>
      </c>
      <c r="B288">
        <f>_xlfn.XLOOKUP(A288,'Subbu- Mini Project EXcel Clean'!A288:A1287,'Subbu- Mini Project EXcel Clean'!I288:I1287,"Entry Level",0)</f>
        <v>4</v>
      </c>
      <c r="C288" t="str">
        <f>_xlfn.XLOOKUP(A288,'Subbu- Mini Project EXcel Clean'!A288:A1287,'Subbu- Mini Project EXcel Clean'!J288:J1287," ",0)</f>
        <v>Excellent</v>
      </c>
      <c r="D288">
        <f>_xlfn.XLOOKUP(A288,'Subbu- Mini Project EXcel Clean'!A288:A1287,'Subbu- Mini Project EXcel Clean'!N288:N1287,"entry Level",0)</f>
        <v>8</v>
      </c>
      <c r="E288">
        <f>_xlfn.XLOOKUP(A288,'Subbu- Mini Project EXcel Clean'!A288:A1287,'Subbu- Mini Project EXcel Clean'!M288:M1287," ",0)</f>
        <v>87.2</v>
      </c>
      <c r="F288">
        <f>_xlfn.XLOOKUP(A288,'Subbu- Mini Project EXcel Clean'!A288:A1287,'Subbu- Mini Project EXcel Clean'!P288:P1287," ",0)</f>
        <v>7</v>
      </c>
      <c r="G288" t="str">
        <f>_xlfn.XLOOKUP(A288,'Subbu- Mini Project EXcel Clean'!A288:A1287,'Subbu- Mini Project EXcel Clean'!Q288:Q1287," ",0)</f>
        <v>High</v>
      </c>
      <c r="H288">
        <f>VLOOKUP(A288,'Subbu- Mini Project EXcel Clean'!A287:R1287,15,FALSE)</f>
        <v>1.1000000000000001</v>
      </c>
    </row>
    <row r="289" spans="1:8" x14ac:dyDescent="0.25">
      <c r="A289" t="s">
        <v>317</v>
      </c>
      <c r="B289">
        <f>_xlfn.XLOOKUP(A289,'Subbu- Mini Project EXcel Clean'!A289:A1288,'Subbu- Mini Project EXcel Clean'!I289:I1288,"Entry Level",0)</f>
        <v>2</v>
      </c>
      <c r="C289" t="str">
        <f>_xlfn.XLOOKUP(A289,'Subbu- Mini Project EXcel Clean'!A289:A1288,'Subbu- Mini Project EXcel Clean'!J289:J1288," ",0)</f>
        <v>Consistent</v>
      </c>
      <c r="D289">
        <f>_xlfn.XLOOKUP(A289,'Subbu- Mini Project EXcel Clean'!A289:A1288,'Subbu- Mini Project EXcel Clean'!N289:N1288,"entry Level",0)</f>
        <v>6.4</v>
      </c>
      <c r="E289">
        <f>_xlfn.XLOOKUP(A289,'Subbu- Mini Project EXcel Clean'!A289:A1288,'Subbu- Mini Project EXcel Clean'!M289:M1288," ",0)</f>
        <v>70.2</v>
      </c>
      <c r="F289">
        <f>_xlfn.XLOOKUP(A289,'Subbu- Mini Project EXcel Clean'!A289:A1288,'Subbu- Mini Project EXcel Clean'!P289:P1288," ",0)</f>
        <v>1</v>
      </c>
      <c r="G289" t="str">
        <f>_xlfn.XLOOKUP(A289,'Subbu- Mini Project EXcel Clean'!A289:A1288,'Subbu- Mini Project EXcel Clean'!Q289:Q1288," ",0)</f>
        <v>Low</v>
      </c>
      <c r="H289">
        <f>VLOOKUP(A289,'Subbu- Mini Project EXcel Clean'!A288:R1288,15,FALSE)</f>
        <v>4</v>
      </c>
    </row>
    <row r="290" spans="1:8" x14ac:dyDescent="0.25">
      <c r="A290" t="s">
        <v>318</v>
      </c>
      <c r="B290">
        <f>_xlfn.XLOOKUP(A290,'Subbu- Mini Project EXcel Clean'!A290:A1289,'Subbu- Mini Project EXcel Clean'!I290:I1289,"Entry Level",0)</f>
        <v>3</v>
      </c>
      <c r="C290" t="str">
        <f>_xlfn.XLOOKUP(A290,'Subbu- Mini Project EXcel Clean'!A290:A1289,'Subbu- Mini Project EXcel Clean'!J290:J1289," ",0)</f>
        <v>Consistent</v>
      </c>
      <c r="D290">
        <f>_xlfn.XLOOKUP(A290,'Subbu- Mini Project EXcel Clean'!A290:A1289,'Subbu- Mini Project EXcel Clean'!N290:N1289,"entry Level",0)</f>
        <v>8</v>
      </c>
      <c r="E290">
        <f>_xlfn.XLOOKUP(A290,'Subbu- Mini Project EXcel Clean'!A290:A1289,'Subbu- Mini Project EXcel Clean'!M290:M1289," ",0)</f>
        <v>85.2</v>
      </c>
      <c r="F290">
        <f>_xlfn.XLOOKUP(A290,'Subbu- Mini Project EXcel Clean'!A290:A1289,'Subbu- Mini Project EXcel Clean'!P290:P1289," ",0)</f>
        <v>1</v>
      </c>
      <c r="G290" t="str">
        <f>_xlfn.XLOOKUP(A290,'Subbu- Mini Project EXcel Clean'!A290:A1289,'Subbu- Mini Project EXcel Clean'!Q290:Q1289," ",0)</f>
        <v>Low</v>
      </c>
      <c r="H290">
        <f>VLOOKUP(A290,'Subbu- Mini Project EXcel Clean'!A289:R1289,15,FALSE)</f>
        <v>2.4</v>
      </c>
    </row>
    <row r="291" spans="1:8" x14ac:dyDescent="0.25">
      <c r="A291" t="s">
        <v>319</v>
      </c>
      <c r="B291">
        <f>_xlfn.XLOOKUP(A291,'Subbu- Mini Project EXcel Clean'!A291:A1290,'Subbu- Mini Project EXcel Clean'!I291:I1290,"Entry Level",0)</f>
        <v>3</v>
      </c>
      <c r="C291" t="str">
        <f>_xlfn.XLOOKUP(A291,'Subbu- Mini Project EXcel Clean'!A291:A1290,'Subbu- Mini Project EXcel Clean'!J291:J1290," ",0)</f>
        <v>Consistent</v>
      </c>
      <c r="D291">
        <f>_xlfn.XLOOKUP(A291,'Subbu- Mini Project EXcel Clean'!A291:A1290,'Subbu- Mini Project EXcel Clean'!N291:N1290,"entry Level",0)</f>
        <v>6.5</v>
      </c>
      <c r="E291">
        <f>_xlfn.XLOOKUP(A291,'Subbu- Mini Project EXcel Clean'!A291:A1290,'Subbu- Mini Project EXcel Clean'!M291:M1290," ",0)</f>
        <v>88.9</v>
      </c>
      <c r="F291">
        <f>_xlfn.XLOOKUP(A291,'Subbu- Mini Project EXcel Clean'!A291:A1290,'Subbu- Mini Project EXcel Clean'!P291:P1290," ",0)</f>
        <v>4</v>
      </c>
      <c r="G291" t="str">
        <f>_xlfn.XLOOKUP(A291,'Subbu- Mini Project EXcel Clean'!A291:A1290,'Subbu- Mini Project EXcel Clean'!Q291:Q1290," ",0)</f>
        <v>Moderate</v>
      </c>
      <c r="H291">
        <f>VLOOKUP(A291,'Subbu- Mini Project EXcel Clean'!A290:R1290,15,FALSE)</f>
        <v>5.3</v>
      </c>
    </row>
    <row r="292" spans="1:8" x14ac:dyDescent="0.25">
      <c r="A292" t="s">
        <v>320</v>
      </c>
      <c r="B292">
        <f>_xlfn.XLOOKUP(A292,'Subbu- Mini Project EXcel Clean'!A292:A1291,'Subbu- Mini Project EXcel Clean'!I292:I1291,"Entry Level",0)</f>
        <v>1</v>
      </c>
      <c r="C292" t="str">
        <f>_xlfn.XLOOKUP(A292,'Subbu- Mini Project EXcel Clean'!A292:A1291,'Subbu- Mini Project EXcel Clean'!J292:J1291," ",0)</f>
        <v>Consistent</v>
      </c>
      <c r="D292">
        <f>_xlfn.XLOOKUP(A292,'Subbu- Mini Project EXcel Clean'!A292:A1291,'Subbu- Mini Project EXcel Clean'!N292:N1291,"entry Level",0)</f>
        <v>6.9</v>
      </c>
      <c r="E292">
        <f>_xlfn.XLOOKUP(A292,'Subbu- Mini Project EXcel Clean'!A292:A1291,'Subbu- Mini Project EXcel Clean'!M292:M1291," ",0)</f>
        <v>67.3</v>
      </c>
      <c r="F292">
        <f>_xlfn.XLOOKUP(A292,'Subbu- Mini Project EXcel Clean'!A292:A1291,'Subbu- Mini Project EXcel Clean'!P292:P1291," ",0)</f>
        <v>3</v>
      </c>
      <c r="G292" t="str">
        <f>_xlfn.XLOOKUP(A292,'Subbu- Mini Project EXcel Clean'!A292:A1291,'Subbu- Mini Project EXcel Clean'!Q292:Q1291," ",0)</f>
        <v>Moderate</v>
      </c>
      <c r="H292">
        <f>VLOOKUP(A292,'Subbu- Mini Project EXcel Clean'!A291:R1291,15,FALSE)</f>
        <v>2.4</v>
      </c>
    </row>
    <row r="293" spans="1:8" x14ac:dyDescent="0.25">
      <c r="A293" t="s">
        <v>321</v>
      </c>
      <c r="B293">
        <f>_xlfn.XLOOKUP(A293,'Subbu- Mini Project EXcel Clean'!A293:A1292,'Subbu- Mini Project EXcel Clean'!I293:I1292,"Entry Level",0)</f>
        <v>1</v>
      </c>
      <c r="C293" t="str">
        <f>_xlfn.XLOOKUP(A293,'Subbu- Mini Project EXcel Clean'!A293:A1292,'Subbu- Mini Project EXcel Clean'!J293:J1292," ",0)</f>
        <v>Consistent</v>
      </c>
      <c r="D293">
        <f>_xlfn.XLOOKUP(A293,'Subbu- Mini Project EXcel Clean'!A293:A1292,'Subbu- Mini Project EXcel Clean'!N293:N1292,"entry Level",0)</f>
        <v>7</v>
      </c>
      <c r="E293">
        <f>_xlfn.XLOOKUP(A293,'Subbu- Mini Project EXcel Clean'!A293:A1292,'Subbu- Mini Project EXcel Clean'!M293:M1292," ",0)</f>
        <v>69</v>
      </c>
      <c r="F293">
        <f>_xlfn.XLOOKUP(A293,'Subbu- Mini Project EXcel Clean'!A293:A1292,'Subbu- Mini Project EXcel Clean'!P293:P1292," ",0)</f>
        <v>1</v>
      </c>
      <c r="G293" t="str">
        <f>_xlfn.XLOOKUP(A293,'Subbu- Mini Project EXcel Clean'!A293:A1292,'Subbu- Mini Project EXcel Clean'!Q293:Q1292," ",0)</f>
        <v>Low</v>
      </c>
      <c r="H293">
        <f>VLOOKUP(A293,'Subbu- Mini Project EXcel Clean'!A292:R1292,15,FALSE)</f>
        <v>4.4000000000000004</v>
      </c>
    </row>
    <row r="294" spans="1:8" x14ac:dyDescent="0.25">
      <c r="A294" t="s">
        <v>322</v>
      </c>
      <c r="B294">
        <f>_xlfn.XLOOKUP(A294,'Subbu- Mini Project EXcel Clean'!A294:A1293,'Subbu- Mini Project EXcel Clean'!I294:I1293,"Entry Level",0)</f>
        <v>4</v>
      </c>
      <c r="C294" t="str">
        <f>_xlfn.XLOOKUP(A294,'Subbu- Mini Project EXcel Clean'!A294:A1293,'Subbu- Mini Project EXcel Clean'!J294:J1293," ",0)</f>
        <v>Good</v>
      </c>
      <c r="D294">
        <f>_xlfn.XLOOKUP(A294,'Subbu- Mini Project EXcel Clean'!A294:A1293,'Subbu- Mini Project EXcel Clean'!N294:N1293,"entry Level",0)</f>
        <v>7.1</v>
      </c>
      <c r="E294">
        <f>_xlfn.XLOOKUP(A294,'Subbu- Mini Project EXcel Clean'!A294:A1293,'Subbu- Mini Project EXcel Clean'!M294:M1293," ",0)</f>
        <v>94.2</v>
      </c>
      <c r="F294">
        <f>_xlfn.XLOOKUP(A294,'Subbu- Mini Project EXcel Clean'!A294:A1293,'Subbu- Mini Project EXcel Clean'!P294:P1293," ",0)</f>
        <v>1</v>
      </c>
      <c r="G294" t="str">
        <f>_xlfn.XLOOKUP(A294,'Subbu- Mini Project EXcel Clean'!A294:A1293,'Subbu- Mini Project EXcel Clean'!Q294:Q1293," ",0)</f>
        <v>Low</v>
      </c>
      <c r="H294">
        <f>VLOOKUP(A294,'Subbu- Mini Project EXcel Clean'!A293:R1293,15,FALSE)</f>
        <v>4.4000000000000004</v>
      </c>
    </row>
    <row r="295" spans="1:8" x14ac:dyDescent="0.25">
      <c r="A295" t="s">
        <v>323</v>
      </c>
      <c r="B295">
        <f>_xlfn.XLOOKUP(A295,'Subbu- Mini Project EXcel Clean'!A295:A1294,'Subbu- Mini Project EXcel Clean'!I295:I1294,"Entry Level",0)</f>
        <v>2</v>
      </c>
      <c r="C295" t="str">
        <f>_xlfn.XLOOKUP(A295,'Subbu- Mini Project EXcel Clean'!A295:A1294,'Subbu- Mini Project EXcel Clean'!J295:J1294," ",0)</f>
        <v>Consistent</v>
      </c>
      <c r="D295">
        <f>_xlfn.XLOOKUP(A295,'Subbu- Mini Project EXcel Clean'!A295:A1294,'Subbu- Mini Project EXcel Clean'!N295:N1294,"entry Level",0)</f>
        <v>7.7</v>
      </c>
      <c r="E295">
        <f>_xlfn.XLOOKUP(A295,'Subbu- Mini Project EXcel Clean'!A295:A1294,'Subbu- Mini Project EXcel Clean'!M295:M1294," ",0)</f>
        <v>68.900000000000006</v>
      </c>
      <c r="F295">
        <f>_xlfn.XLOOKUP(A295,'Subbu- Mini Project EXcel Clean'!A295:A1294,'Subbu- Mini Project EXcel Clean'!P295:P1294," ",0)</f>
        <v>4</v>
      </c>
      <c r="G295" t="str">
        <f>_xlfn.XLOOKUP(A295,'Subbu- Mini Project EXcel Clean'!A295:A1294,'Subbu- Mini Project EXcel Clean'!Q295:Q1294," ",0)</f>
        <v>Moderate</v>
      </c>
      <c r="H295">
        <f>VLOOKUP(A295,'Subbu- Mini Project EXcel Clean'!A294:R1294,15,FALSE)</f>
        <v>2.1</v>
      </c>
    </row>
    <row r="296" spans="1:8" x14ac:dyDescent="0.25">
      <c r="A296" t="s">
        <v>324</v>
      </c>
      <c r="B296">
        <f>_xlfn.XLOOKUP(A296,'Subbu- Mini Project EXcel Clean'!A296:A1295,'Subbu- Mini Project EXcel Clean'!I296:I1295,"Entry Level",0)</f>
        <v>2</v>
      </c>
      <c r="C296" t="str">
        <f>_xlfn.XLOOKUP(A296,'Subbu- Mini Project EXcel Clean'!A296:A1295,'Subbu- Mini Project EXcel Clean'!J296:J1295," ",0)</f>
        <v>Consistent</v>
      </c>
      <c r="D296">
        <f>_xlfn.XLOOKUP(A296,'Subbu- Mini Project EXcel Clean'!A296:A1295,'Subbu- Mini Project EXcel Clean'!N296:N1295,"entry Level",0)</f>
        <v>7.1</v>
      </c>
      <c r="E296">
        <f>_xlfn.XLOOKUP(A296,'Subbu- Mini Project EXcel Clean'!A296:A1295,'Subbu- Mini Project EXcel Clean'!M296:M1295," ",0)</f>
        <v>65.400000000000006</v>
      </c>
      <c r="F296">
        <f>_xlfn.XLOOKUP(A296,'Subbu- Mini Project EXcel Clean'!A296:A1295,'Subbu- Mini Project EXcel Clean'!P296:P1295," ",0)</f>
        <v>4</v>
      </c>
      <c r="G296" t="str">
        <f>_xlfn.XLOOKUP(A296,'Subbu- Mini Project EXcel Clean'!A296:A1295,'Subbu- Mini Project EXcel Clean'!Q296:Q1295," ",0)</f>
        <v>Moderate</v>
      </c>
      <c r="H296">
        <f>VLOOKUP(A296,'Subbu- Mini Project EXcel Clean'!A295:R1295,15,FALSE)</f>
        <v>1.2</v>
      </c>
    </row>
    <row r="297" spans="1:8" x14ac:dyDescent="0.25">
      <c r="A297" t="s">
        <v>325</v>
      </c>
      <c r="B297">
        <f>_xlfn.XLOOKUP(A297,'Subbu- Mini Project EXcel Clean'!A297:A1296,'Subbu- Mini Project EXcel Clean'!I297:I1296,"Entry Level",0)</f>
        <v>3</v>
      </c>
      <c r="C297" t="str">
        <f>_xlfn.XLOOKUP(A297,'Subbu- Mini Project EXcel Clean'!A297:A1296,'Subbu- Mini Project EXcel Clean'!J297:J1296," ",0)</f>
        <v>Consistent</v>
      </c>
      <c r="D297">
        <f>_xlfn.XLOOKUP(A297,'Subbu- Mini Project EXcel Clean'!A297:A1296,'Subbu- Mini Project EXcel Clean'!N297:N1296,"entry Level",0)</f>
        <v>6.8</v>
      </c>
      <c r="E297">
        <f>_xlfn.XLOOKUP(A297,'Subbu- Mini Project EXcel Clean'!A297:A1296,'Subbu- Mini Project EXcel Clean'!M297:M1296," ",0)</f>
        <v>76.099999999999994</v>
      </c>
      <c r="F297">
        <f>_xlfn.XLOOKUP(A297,'Subbu- Mini Project EXcel Clean'!A297:A1296,'Subbu- Mini Project EXcel Clean'!P297:P1296," ",0)</f>
        <v>6</v>
      </c>
      <c r="G297" t="str">
        <f>_xlfn.XLOOKUP(A297,'Subbu- Mini Project EXcel Clean'!A297:A1296,'Subbu- Mini Project EXcel Clean'!Q297:Q1296," ",0)</f>
        <v>Moderate</v>
      </c>
      <c r="H297">
        <f>VLOOKUP(A297,'Subbu- Mini Project EXcel Clean'!A296:R1296,15,FALSE)</f>
        <v>3</v>
      </c>
    </row>
    <row r="298" spans="1:8" x14ac:dyDescent="0.25">
      <c r="A298" t="s">
        <v>326</v>
      </c>
      <c r="B298">
        <f>_xlfn.XLOOKUP(A298,'Subbu- Mini Project EXcel Clean'!A298:A1297,'Subbu- Mini Project EXcel Clean'!I298:I1297,"Entry Level",0)</f>
        <v>4</v>
      </c>
      <c r="C298" t="str">
        <f>_xlfn.XLOOKUP(A298,'Subbu- Mini Project EXcel Clean'!A298:A1297,'Subbu- Mini Project EXcel Clean'!J298:J1297," ",0)</f>
        <v>Good</v>
      </c>
      <c r="D298">
        <f>_xlfn.XLOOKUP(A298,'Subbu- Mini Project EXcel Clean'!A298:A1297,'Subbu- Mini Project EXcel Clean'!N298:N1297,"entry Level",0)</f>
        <v>7.3</v>
      </c>
      <c r="E298">
        <f>_xlfn.XLOOKUP(A298,'Subbu- Mini Project EXcel Clean'!A298:A1297,'Subbu- Mini Project EXcel Clean'!M298:M1297," ",0)</f>
        <v>87.3</v>
      </c>
      <c r="F298">
        <f>_xlfn.XLOOKUP(A298,'Subbu- Mini Project EXcel Clean'!A298:A1297,'Subbu- Mini Project EXcel Clean'!P298:P1297," ",0)</f>
        <v>1</v>
      </c>
      <c r="G298" t="str">
        <f>_xlfn.XLOOKUP(A298,'Subbu- Mini Project EXcel Clean'!A298:A1297,'Subbu- Mini Project EXcel Clean'!Q298:Q1297," ",0)</f>
        <v>Low</v>
      </c>
      <c r="H298">
        <f>VLOOKUP(A298,'Subbu- Mini Project EXcel Clean'!A297:R1297,15,FALSE)</f>
        <v>2.4</v>
      </c>
    </row>
    <row r="299" spans="1:8" x14ac:dyDescent="0.25">
      <c r="A299" t="s">
        <v>327</v>
      </c>
      <c r="B299">
        <f>_xlfn.XLOOKUP(A299,'Subbu- Mini Project EXcel Clean'!A299:A1298,'Subbu- Mini Project EXcel Clean'!I299:I1298,"Entry Level",0)</f>
        <v>1</v>
      </c>
      <c r="C299" t="str">
        <f>_xlfn.XLOOKUP(A299,'Subbu- Mini Project EXcel Clean'!A299:A1298,'Subbu- Mini Project EXcel Clean'!J299:J1298," ",0)</f>
        <v>Consistent</v>
      </c>
      <c r="D299">
        <f>_xlfn.XLOOKUP(A299,'Subbu- Mini Project EXcel Clean'!A299:A1298,'Subbu- Mini Project EXcel Clean'!N299:N1298,"entry Level",0)</f>
        <v>6.5</v>
      </c>
      <c r="E299">
        <f>_xlfn.XLOOKUP(A299,'Subbu- Mini Project EXcel Clean'!A299:A1298,'Subbu- Mini Project EXcel Clean'!M299:M1298," ",0)</f>
        <v>55.7</v>
      </c>
      <c r="F299">
        <f>_xlfn.XLOOKUP(A299,'Subbu- Mini Project EXcel Clean'!A299:A1298,'Subbu- Mini Project EXcel Clean'!P299:P1298," ",0)</f>
        <v>3</v>
      </c>
      <c r="G299" t="str">
        <f>_xlfn.XLOOKUP(A299,'Subbu- Mini Project EXcel Clean'!A299:A1298,'Subbu- Mini Project EXcel Clean'!Q299:Q1298," ",0)</f>
        <v>Moderate</v>
      </c>
      <c r="H299">
        <f>VLOOKUP(A299,'Subbu- Mini Project EXcel Clean'!A298:R1298,15,FALSE)</f>
        <v>5</v>
      </c>
    </row>
    <row r="300" spans="1:8" x14ac:dyDescent="0.25">
      <c r="A300" t="s">
        <v>328</v>
      </c>
      <c r="B300">
        <f>_xlfn.XLOOKUP(A300,'Subbu- Mini Project EXcel Clean'!A300:A1299,'Subbu- Mini Project EXcel Clean'!I300:I1299,"Entry Level",0)</f>
        <v>3</v>
      </c>
      <c r="C300" t="str">
        <f>_xlfn.XLOOKUP(A300,'Subbu- Mini Project EXcel Clean'!A300:A1299,'Subbu- Mini Project EXcel Clean'!J300:J1299," ",0)</f>
        <v>Excellent</v>
      </c>
      <c r="D300">
        <f>_xlfn.XLOOKUP(A300,'Subbu- Mini Project EXcel Clean'!A300:A1299,'Subbu- Mini Project EXcel Clean'!N300:N1299,"entry Level",0)</f>
        <v>6.9</v>
      </c>
      <c r="E300">
        <f>_xlfn.XLOOKUP(A300,'Subbu- Mini Project EXcel Clean'!A300:A1299,'Subbu- Mini Project EXcel Clean'!M300:M1299," ",0)</f>
        <v>82.7</v>
      </c>
      <c r="F300">
        <f>_xlfn.XLOOKUP(A300,'Subbu- Mini Project EXcel Clean'!A300:A1299,'Subbu- Mini Project EXcel Clean'!P300:P1299," ",0)</f>
        <v>5</v>
      </c>
      <c r="G300" t="str">
        <f>_xlfn.XLOOKUP(A300,'Subbu- Mini Project EXcel Clean'!A300:A1299,'Subbu- Mini Project EXcel Clean'!Q300:Q1299," ",0)</f>
        <v>Moderate</v>
      </c>
      <c r="H300">
        <f>VLOOKUP(A300,'Subbu- Mini Project EXcel Clean'!A299:R1299,15,FALSE)</f>
        <v>5</v>
      </c>
    </row>
    <row r="301" spans="1:8" x14ac:dyDescent="0.25">
      <c r="A301" t="s">
        <v>329</v>
      </c>
      <c r="B301">
        <f>_xlfn.XLOOKUP(A301,'Subbu- Mini Project EXcel Clean'!A301:A1300,'Subbu- Mini Project EXcel Clean'!I301:I1300,"Entry Level",0)</f>
        <v>2</v>
      </c>
      <c r="C301" t="str">
        <f>_xlfn.XLOOKUP(A301,'Subbu- Mini Project EXcel Clean'!A301:A1300,'Subbu- Mini Project EXcel Clean'!J301:J1300," ",0)</f>
        <v>Consistent</v>
      </c>
      <c r="D301">
        <f>_xlfn.XLOOKUP(A301,'Subbu- Mini Project EXcel Clean'!A301:A1300,'Subbu- Mini Project EXcel Clean'!N301:N1300,"entry Level",0)</f>
        <v>6</v>
      </c>
      <c r="E301">
        <f>_xlfn.XLOOKUP(A301,'Subbu- Mini Project EXcel Clean'!A301:A1300,'Subbu- Mini Project EXcel Clean'!M301:M1300," ",0)</f>
        <v>56.3</v>
      </c>
      <c r="F301">
        <f>_xlfn.XLOOKUP(A301,'Subbu- Mini Project EXcel Clean'!A301:A1300,'Subbu- Mini Project EXcel Clean'!P301:P1300," ",0)</f>
        <v>1</v>
      </c>
      <c r="G301" t="str">
        <f>_xlfn.XLOOKUP(A301,'Subbu- Mini Project EXcel Clean'!A301:A1300,'Subbu- Mini Project EXcel Clean'!Q301:Q1300," ",0)</f>
        <v>Low</v>
      </c>
      <c r="H301">
        <f>VLOOKUP(A301,'Subbu- Mini Project EXcel Clean'!A300:R1300,15,FALSE)</f>
        <v>3.3</v>
      </c>
    </row>
    <row r="302" spans="1:8" x14ac:dyDescent="0.25">
      <c r="A302" t="s">
        <v>330</v>
      </c>
      <c r="B302">
        <f>_xlfn.XLOOKUP(A302,'Subbu- Mini Project EXcel Clean'!A302:A1301,'Subbu- Mini Project EXcel Clean'!I302:I1301,"Entry Level",0)</f>
        <v>1</v>
      </c>
      <c r="C302" t="str">
        <f>_xlfn.XLOOKUP(A302,'Subbu- Mini Project EXcel Clean'!A302:A1301,'Subbu- Mini Project EXcel Clean'!J302:J1301," ",0)</f>
        <v>Consistent</v>
      </c>
      <c r="D302">
        <f>_xlfn.XLOOKUP(A302,'Subbu- Mini Project EXcel Clean'!A302:A1301,'Subbu- Mini Project EXcel Clean'!N302:N1301,"entry Level",0)</f>
        <v>7</v>
      </c>
      <c r="E302">
        <f>_xlfn.XLOOKUP(A302,'Subbu- Mini Project EXcel Clean'!A302:A1301,'Subbu- Mini Project EXcel Clean'!M302:M1301," ",0)</f>
        <v>62.4</v>
      </c>
      <c r="F302">
        <f>_xlfn.XLOOKUP(A302,'Subbu- Mini Project EXcel Clean'!A302:A1301,'Subbu- Mini Project EXcel Clean'!P302:P1301," ",0)</f>
        <v>1</v>
      </c>
      <c r="G302" t="str">
        <f>_xlfn.XLOOKUP(A302,'Subbu- Mini Project EXcel Clean'!A302:A1301,'Subbu- Mini Project EXcel Clean'!Q302:Q1301," ",0)</f>
        <v>Low</v>
      </c>
      <c r="H302">
        <f>VLOOKUP(A302,'Subbu- Mini Project EXcel Clean'!A301:R1301,15,FALSE)</f>
        <v>4</v>
      </c>
    </row>
    <row r="303" spans="1:8" x14ac:dyDescent="0.25">
      <c r="A303" t="s">
        <v>331</v>
      </c>
      <c r="B303">
        <f>_xlfn.XLOOKUP(A303,'Subbu- Mini Project EXcel Clean'!A303:A1302,'Subbu- Mini Project EXcel Clean'!I303:I1302,"Entry Level",0)</f>
        <v>1</v>
      </c>
      <c r="C303" t="str">
        <f>_xlfn.XLOOKUP(A303,'Subbu- Mini Project EXcel Clean'!A303:A1302,'Subbu- Mini Project EXcel Clean'!J303:J1302," ",0)</f>
        <v>Consistent</v>
      </c>
      <c r="D303">
        <f>_xlfn.XLOOKUP(A303,'Subbu- Mini Project EXcel Clean'!A303:A1302,'Subbu- Mini Project EXcel Clean'!N303:N1302,"entry Level",0)</f>
        <v>6.6</v>
      </c>
      <c r="E303">
        <f>_xlfn.XLOOKUP(A303,'Subbu- Mini Project EXcel Clean'!A303:A1302,'Subbu- Mini Project EXcel Clean'!M303:M1302," ",0)</f>
        <v>61.9</v>
      </c>
      <c r="F303">
        <f>_xlfn.XLOOKUP(A303,'Subbu- Mini Project EXcel Clean'!A303:A1302,'Subbu- Mini Project EXcel Clean'!P303:P1302," ",0)</f>
        <v>1</v>
      </c>
      <c r="G303" t="str">
        <f>_xlfn.XLOOKUP(A303,'Subbu- Mini Project EXcel Clean'!A303:A1302,'Subbu- Mini Project EXcel Clean'!Q303:Q1302," ",0)</f>
        <v>Low</v>
      </c>
      <c r="H303">
        <f>VLOOKUP(A303,'Subbu- Mini Project EXcel Clean'!A302:R1302,15,FALSE)</f>
        <v>4</v>
      </c>
    </row>
    <row r="304" spans="1:8" x14ac:dyDescent="0.25">
      <c r="A304" t="s">
        <v>332</v>
      </c>
      <c r="B304">
        <f>_xlfn.XLOOKUP(A304,'Subbu- Mini Project EXcel Clean'!A304:A1303,'Subbu- Mini Project EXcel Clean'!I304:I1303,"Entry Level",0)</f>
        <v>4</v>
      </c>
      <c r="C304" t="str">
        <f>_xlfn.XLOOKUP(A304,'Subbu- Mini Project EXcel Clean'!A304:A1303,'Subbu- Mini Project EXcel Clean'!J304:J1303," ",0)</f>
        <v>Good</v>
      </c>
      <c r="D304">
        <f>_xlfn.XLOOKUP(A304,'Subbu- Mini Project EXcel Clean'!A304:A1303,'Subbu- Mini Project EXcel Clean'!N304:N1303,"entry Level",0)</f>
        <v>6</v>
      </c>
      <c r="E304">
        <f>_xlfn.XLOOKUP(A304,'Subbu- Mini Project EXcel Clean'!A304:A1303,'Subbu- Mini Project EXcel Clean'!M304:M1303," ",0)</f>
        <v>94.1</v>
      </c>
      <c r="F304">
        <f>_xlfn.XLOOKUP(A304,'Subbu- Mini Project EXcel Clean'!A304:A1303,'Subbu- Mini Project EXcel Clean'!P304:P1303," ",0)</f>
        <v>1</v>
      </c>
      <c r="G304" t="str">
        <f>_xlfn.XLOOKUP(A304,'Subbu- Mini Project EXcel Clean'!A304:A1303,'Subbu- Mini Project EXcel Clean'!Q304:Q1303," ",0)</f>
        <v>Low</v>
      </c>
      <c r="H304">
        <f>VLOOKUP(A304,'Subbu- Mini Project EXcel Clean'!A303:R1303,15,FALSE)</f>
        <v>5.0999999999999996</v>
      </c>
    </row>
    <row r="305" spans="1:8" x14ac:dyDescent="0.25">
      <c r="A305" t="s">
        <v>333</v>
      </c>
      <c r="B305">
        <f>_xlfn.XLOOKUP(A305,'Subbu- Mini Project EXcel Clean'!A305:A1304,'Subbu- Mini Project EXcel Clean'!I305:I1304,"Entry Level",0)</f>
        <v>2</v>
      </c>
      <c r="C305" t="str">
        <f>_xlfn.XLOOKUP(A305,'Subbu- Mini Project EXcel Clean'!A305:A1304,'Subbu- Mini Project EXcel Clean'!J305:J1304," ",0)</f>
        <v>Consistent</v>
      </c>
      <c r="D305">
        <f>_xlfn.XLOOKUP(A305,'Subbu- Mini Project EXcel Clean'!A305:A1304,'Subbu- Mini Project EXcel Clean'!N305:N1304,"entry Level",0)</f>
        <v>6.7</v>
      </c>
      <c r="E305">
        <f>_xlfn.XLOOKUP(A305,'Subbu- Mini Project EXcel Clean'!A305:A1304,'Subbu- Mini Project EXcel Clean'!M305:M1304," ",0)</f>
        <v>62.1</v>
      </c>
      <c r="F305">
        <f>_xlfn.XLOOKUP(A305,'Subbu- Mini Project EXcel Clean'!A305:A1304,'Subbu- Mini Project EXcel Clean'!P305:P1304," ",0)</f>
        <v>1</v>
      </c>
      <c r="G305" t="str">
        <f>_xlfn.XLOOKUP(A305,'Subbu- Mini Project EXcel Clean'!A305:A1304,'Subbu- Mini Project EXcel Clean'!Q305:Q1304," ",0)</f>
        <v>Low</v>
      </c>
      <c r="H305">
        <f>VLOOKUP(A305,'Subbu- Mini Project EXcel Clean'!A304:R1304,15,FALSE)</f>
        <v>3.1</v>
      </c>
    </row>
    <row r="306" spans="1:8" x14ac:dyDescent="0.25">
      <c r="A306" t="s">
        <v>334</v>
      </c>
      <c r="B306">
        <f>_xlfn.XLOOKUP(A306,'Subbu- Mini Project EXcel Clean'!A306:A1305,'Subbu- Mini Project EXcel Clean'!I306:I1305,"Entry Level",0)</f>
        <v>1</v>
      </c>
      <c r="C306" t="str">
        <f>_xlfn.XLOOKUP(A306,'Subbu- Mini Project EXcel Clean'!A306:A1305,'Subbu- Mini Project EXcel Clean'!J306:J1305," ",0)</f>
        <v>Consistent</v>
      </c>
      <c r="D306">
        <f>_xlfn.XLOOKUP(A306,'Subbu- Mini Project EXcel Clean'!A306:A1305,'Subbu- Mini Project EXcel Clean'!N306:N1305,"entry Level",0)</f>
        <v>7.2</v>
      </c>
      <c r="E306">
        <f>_xlfn.XLOOKUP(A306,'Subbu- Mini Project EXcel Clean'!A306:A1305,'Subbu- Mini Project EXcel Clean'!M306:M1305," ",0)</f>
        <v>77.2</v>
      </c>
      <c r="F306">
        <f>_xlfn.XLOOKUP(A306,'Subbu- Mini Project EXcel Clean'!A306:A1305,'Subbu- Mini Project EXcel Clean'!P306:P1305," ",0)</f>
        <v>4</v>
      </c>
      <c r="G306" t="str">
        <f>_xlfn.XLOOKUP(A306,'Subbu- Mini Project EXcel Clean'!A306:A1305,'Subbu- Mini Project EXcel Clean'!Q306:Q1305," ",0)</f>
        <v>Moderate</v>
      </c>
      <c r="H306">
        <f>VLOOKUP(A306,'Subbu- Mini Project EXcel Clean'!A305:R1305,15,FALSE)</f>
        <v>2.4</v>
      </c>
    </row>
    <row r="307" spans="1:8" x14ac:dyDescent="0.25">
      <c r="A307" t="s">
        <v>335</v>
      </c>
      <c r="B307">
        <f>_xlfn.XLOOKUP(A307,'Subbu- Mini Project EXcel Clean'!A307:A1306,'Subbu- Mini Project EXcel Clean'!I307:I1306,"Entry Level",0)</f>
        <v>3</v>
      </c>
      <c r="C307" t="str">
        <f>_xlfn.XLOOKUP(A307,'Subbu- Mini Project EXcel Clean'!A307:A1306,'Subbu- Mini Project EXcel Clean'!J307:J1306," ",0)</f>
        <v>Consistent</v>
      </c>
      <c r="D307">
        <f>_xlfn.XLOOKUP(A307,'Subbu- Mini Project EXcel Clean'!A307:A1306,'Subbu- Mini Project EXcel Clean'!N307:N1306,"entry Level",0)</f>
        <v>5.5</v>
      </c>
      <c r="E307">
        <f>_xlfn.XLOOKUP(A307,'Subbu- Mini Project EXcel Clean'!A307:A1306,'Subbu- Mini Project EXcel Clean'!M307:M1306," ",0)</f>
        <v>84.3</v>
      </c>
      <c r="F307">
        <f>_xlfn.XLOOKUP(A307,'Subbu- Mini Project EXcel Clean'!A307:A1306,'Subbu- Mini Project EXcel Clean'!P307:P1306," ",0)</f>
        <v>1</v>
      </c>
      <c r="G307" t="str">
        <f>_xlfn.XLOOKUP(A307,'Subbu- Mini Project EXcel Clean'!A307:A1306,'Subbu- Mini Project EXcel Clean'!Q307:Q1306," ",0)</f>
        <v>Low</v>
      </c>
      <c r="H307">
        <f>VLOOKUP(A307,'Subbu- Mini Project EXcel Clean'!A306:R1306,15,FALSE)</f>
        <v>2.2999999999999998</v>
      </c>
    </row>
    <row r="308" spans="1:8" x14ac:dyDescent="0.25">
      <c r="A308" t="s">
        <v>336</v>
      </c>
      <c r="B308">
        <f>_xlfn.XLOOKUP(A308,'Subbu- Mini Project EXcel Clean'!A308:A1307,'Subbu- Mini Project EXcel Clean'!I308:I1307,"Entry Level",0)</f>
        <v>4</v>
      </c>
      <c r="C308" t="str">
        <f>_xlfn.XLOOKUP(A308,'Subbu- Mini Project EXcel Clean'!A308:A1307,'Subbu- Mini Project EXcel Clean'!J308:J1307," ",0)</f>
        <v>Good</v>
      </c>
      <c r="D308">
        <f>_xlfn.XLOOKUP(A308,'Subbu- Mini Project EXcel Clean'!A308:A1307,'Subbu- Mini Project EXcel Clean'!N308:N1307,"entry Level",0)</f>
        <v>6.5</v>
      </c>
      <c r="E308">
        <f>_xlfn.XLOOKUP(A308,'Subbu- Mini Project EXcel Clean'!A308:A1307,'Subbu- Mini Project EXcel Clean'!M308:M1307," ",0)</f>
        <v>87.5</v>
      </c>
      <c r="F308">
        <f>_xlfn.XLOOKUP(A308,'Subbu- Mini Project EXcel Clean'!A308:A1307,'Subbu- Mini Project EXcel Clean'!P308:P1307," ",0)</f>
        <v>1</v>
      </c>
      <c r="G308" t="str">
        <f>_xlfn.XLOOKUP(A308,'Subbu- Mini Project EXcel Clean'!A308:A1307,'Subbu- Mini Project EXcel Clean'!Q308:Q1307," ",0)</f>
        <v>Low</v>
      </c>
      <c r="H308">
        <f>VLOOKUP(A308,'Subbu- Mini Project EXcel Clean'!A307:R1307,15,FALSE)</f>
        <v>3.7</v>
      </c>
    </row>
    <row r="309" spans="1:8" x14ac:dyDescent="0.25">
      <c r="A309" t="s">
        <v>337</v>
      </c>
      <c r="B309">
        <f>_xlfn.XLOOKUP(A309,'Subbu- Mini Project EXcel Clean'!A309:A1308,'Subbu- Mini Project EXcel Clean'!I309:I1308,"Entry Level",0)</f>
        <v>2</v>
      </c>
      <c r="C309" t="str">
        <f>_xlfn.XLOOKUP(A309,'Subbu- Mini Project EXcel Clean'!A309:A1308,'Subbu- Mini Project EXcel Clean'!J309:J1308," ",0)</f>
        <v>Consistent</v>
      </c>
      <c r="D309">
        <f>_xlfn.XLOOKUP(A309,'Subbu- Mini Project EXcel Clean'!A309:A1308,'Subbu- Mini Project EXcel Clean'!N309:N1308,"entry Level",0)</f>
        <v>6.6</v>
      </c>
      <c r="E309">
        <f>_xlfn.XLOOKUP(A309,'Subbu- Mini Project EXcel Clean'!A309:A1308,'Subbu- Mini Project EXcel Clean'!M309:M1308," ",0)</f>
        <v>71.7</v>
      </c>
      <c r="F309">
        <f>_xlfn.XLOOKUP(A309,'Subbu- Mini Project EXcel Clean'!A309:A1308,'Subbu- Mini Project EXcel Clean'!P309:P1308," ",0)</f>
        <v>6</v>
      </c>
      <c r="G309" t="str">
        <f>_xlfn.XLOOKUP(A309,'Subbu- Mini Project EXcel Clean'!A309:A1308,'Subbu- Mini Project EXcel Clean'!Q309:Q1308," ",0)</f>
        <v>Moderate</v>
      </c>
      <c r="H309">
        <f>VLOOKUP(A309,'Subbu- Mini Project EXcel Clean'!A308:R1308,15,FALSE)</f>
        <v>3.2</v>
      </c>
    </row>
    <row r="310" spans="1:8" x14ac:dyDescent="0.25">
      <c r="A310" t="s">
        <v>338</v>
      </c>
      <c r="B310">
        <f>_xlfn.XLOOKUP(A310,'Subbu- Mini Project EXcel Clean'!A310:A1309,'Subbu- Mini Project EXcel Clean'!I310:I1309,"Entry Level",0)</f>
        <v>3</v>
      </c>
      <c r="C310" t="str">
        <f>_xlfn.XLOOKUP(A310,'Subbu- Mini Project EXcel Clean'!A310:A1309,'Subbu- Mini Project EXcel Clean'!J310:J1309," ",0)</f>
        <v>Consistent</v>
      </c>
      <c r="D310">
        <f>_xlfn.XLOOKUP(A310,'Subbu- Mini Project EXcel Clean'!A310:A1309,'Subbu- Mini Project EXcel Clean'!N310:N1309,"entry Level",0)</f>
        <v>7.3</v>
      </c>
      <c r="E310">
        <f>_xlfn.XLOOKUP(A310,'Subbu- Mini Project EXcel Clean'!A310:A1309,'Subbu- Mini Project EXcel Clean'!M310:M1309," ",0)</f>
        <v>73.8</v>
      </c>
      <c r="F310">
        <f>_xlfn.XLOOKUP(A310,'Subbu- Mini Project EXcel Clean'!A310:A1309,'Subbu- Mini Project EXcel Clean'!P310:P1309," ",0)</f>
        <v>6</v>
      </c>
      <c r="G310" t="str">
        <f>_xlfn.XLOOKUP(A310,'Subbu- Mini Project EXcel Clean'!A310:A1309,'Subbu- Mini Project EXcel Clean'!Q310:Q1309," ",0)</f>
        <v>High</v>
      </c>
      <c r="H310">
        <f>VLOOKUP(A310,'Subbu- Mini Project EXcel Clean'!A309:R1309,15,FALSE)</f>
        <v>3.2</v>
      </c>
    </row>
    <row r="311" spans="1:8" x14ac:dyDescent="0.25">
      <c r="A311" t="s">
        <v>339</v>
      </c>
      <c r="B311">
        <f>_xlfn.XLOOKUP(A311,'Subbu- Mini Project EXcel Clean'!A311:A1310,'Subbu- Mini Project EXcel Clean'!I311:I1310,"Entry Level",0)</f>
        <v>1</v>
      </c>
      <c r="C311" t="str">
        <f>_xlfn.XLOOKUP(A311,'Subbu- Mini Project EXcel Clean'!A311:A1310,'Subbu- Mini Project EXcel Clean'!J311:J1310," ",0)</f>
        <v>Consistent</v>
      </c>
      <c r="D311">
        <f>_xlfn.XLOOKUP(A311,'Subbu- Mini Project EXcel Clean'!A311:A1310,'Subbu- Mini Project EXcel Clean'!N311:N1310,"entry Level",0)</f>
        <v>7.2</v>
      </c>
      <c r="E311">
        <f>_xlfn.XLOOKUP(A311,'Subbu- Mini Project EXcel Clean'!A311:A1310,'Subbu- Mini Project EXcel Clean'!M311:M1310," ",0)</f>
        <v>56.5</v>
      </c>
      <c r="F311">
        <f>_xlfn.XLOOKUP(A311,'Subbu- Mini Project EXcel Clean'!A311:A1310,'Subbu- Mini Project EXcel Clean'!P311:P1310," ",0)</f>
        <v>1</v>
      </c>
      <c r="G311" t="str">
        <f>_xlfn.XLOOKUP(A311,'Subbu- Mini Project EXcel Clean'!A311:A1310,'Subbu- Mini Project EXcel Clean'!Q311:Q1310," ",0)</f>
        <v>Low</v>
      </c>
      <c r="H311">
        <f>VLOOKUP(A311,'Subbu- Mini Project EXcel Clean'!A310:R1310,15,FALSE)</f>
        <v>1.5</v>
      </c>
    </row>
    <row r="312" spans="1:8" x14ac:dyDescent="0.25">
      <c r="A312" t="s">
        <v>340</v>
      </c>
      <c r="B312">
        <f>_xlfn.XLOOKUP(A312,'Subbu- Mini Project EXcel Clean'!A312:A1311,'Subbu- Mini Project EXcel Clean'!I312:I1311,"Entry Level",0)</f>
        <v>3</v>
      </c>
      <c r="C312" t="str">
        <f>_xlfn.XLOOKUP(A312,'Subbu- Mini Project EXcel Clean'!A312:A1311,'Subbu- Mini Project EXcel Clean'!J312:J1311," ",0)</f>
        <v>Consistent</v>
      </c>
      <c r="D312">
        <f>_xlfn.XLOOKUP(A312,'Subbu- Mini Project EXcel Clean'!A312:A1311,'Subbu- Mini Project EXcel Clean'!N312:N1311,"entry Level",0)</f>
        <v>6.5</v>
      </c>
      <c r="E312">
        <f>_xlfn.XLOOKUP(A312,'Subbu- Mini Project EXcel Clean'!A312:A1311,'Subbu- Mini Project EXcel Clean'!M312:M1311," ",0)</f>
        <v>71.3</v>
      </c>
      <c r="F312">
        <f>_xlfn.XLOOKUP(A312,'Subbu- Mini Project EXcel Clean'!A312:A1311,'Subbu- Mini Project EXcel Clean'!P312:P1311," ",0)</f>
        <v>5</v>
      </c>
      <c r="G312" t="str">
        <f>_xlfn.XLOOKUP(A312,'Subbu- Mini Project EXcel Clean'!A312:A1311,'Subbu- Mini Project EXcel Clean'!Q312:Q1311," ",0)</f>
        <v>Moderate</v>
      </c>
      <c r="H312">
        <f>VLOOKUP(A312,'Subbu- Mini Project EXcel Clean'!A311:R1311,15,FALSE)</f>
        <v>4.5999999999999996</v>
      </c>
    </row>
    <row r="313" spans="1:8" x14ac:dyDescent="0.25">
      <c r="A313" t="s">
        <v>341</v>
      </c>
      <c r="B313">
        <f>_xlfn.XLOOKUP(A313,'Subbu- Mini Project EXcel Clean'!A313:A1312,'Subbu- Mini Project EXcel Clean'!I313:I1312,"Entry Level",0)</f>
        <v>3</v>
      </c>
      <c r="C313" t="str">
        <f>_xlfn.XLOOKUP(A313,'Subbu- Mini Project EXcel Clean'!A313:A1312,'Subbu- Mini Project EXcel Clean'!J313:J1312," ",0)</f>
        <v>Excellent</v>
      </c>
      <c r="D313">
        <f>_xlfn.XLOOKUP(A313,'Subbu- Mini Project EXcel Clean'!A313:A1312,'Subbu- Mini Project EXcel Clean'!N313:N1312,"entry Level",0)</f>
        <v>8.1999999999999993</v>
      </c>
      <c r="E313">
        <f>_xlfn.XLOOKUP(A313,'Subbu- Mini Project EXcel Clean'!A313:A1312,'Subbu- Mini Project EXcel Clean'!M313:M1312," ",0)</f>
        <v>85.3</v>
      </c>
      <c r="F313">
        <f>_xlfn.XLOOKUP(A313,'Subbu- Mini Project EXcel Clean'!A313:A1312,'Subbu- Mini Project EXcel Clean'!P313:P1312," ",0)</f>
        <v>1</v>
      </c>
      <c r="G313" t="str">
        <f>_xlfn.XLOOKUP(A313,'Subbu- Mini Project EXcel Clean'!A313:A1312,'Subbu- Mini Project EXcel Clean'!Q313:Q1312," ",0)</f>
        <v>Low</v>
      </c>
      <c r="H313">
        <f>VLOOKUP(A313,'Subbu- Mini Project EXcel Clean'!A312:R1312,15,FALSE)</f>
        <v>2.1</v>
      </c>
    </row>
    <row r="314" spans="1:8" x14ac:dyDescent="0.25">
      <c r="A314" t="s">
        <v>342</v>
      </c>
      <c r="B314">
        <f>_xlfn.XLOOKUP(A314,'Subbu- Mini Project EXcel Clean'!A314:A1313,'Subbu- Mini Project EXcel Clean'!I314:I1313,"Entry Level",0)</f>
        <v>3</v>
      </c>
      <c r="C314" t="str">
        <f>_xlfn.XLOOKUP(A314,'Subbu- Mini Project EXcel Clean'!A314:A1313,'Subbu- Mini Project EXcel Clean'!J314:J1313," ",0)</f>
        <v>Excellent</v>
      </c>
      <c r="D314">
        <f>_xlfn.XLOOKUP(A314,'Subbu- Mini Project EXcel Clean'!A314:A1313,'Subbu- Mini Project EXcel Clean'!N314:N1313,"entry Level",0)</f>
        <v>7.9</v>
      </c>
      <c r="E314">
        <f>_xlfn.XLOOKUP(A314,'Subbu- Mini Project EXcel Clean'!A314:A1313,'Subbu- Mini Project EXcel Clean'!M314:M1313," ",0)</f>
        <v>79.400000000000006</v>
      </c>
      <c r="F314">
        <f>_xlfn.XLOOKUP(A314,'Subbu- Mini Project EXcel Clean'!A314:A1313,'Subbu- Mini Project EXcel Clean'!P314:P1313," ",0)</f>
        <v>6</v>
      </c>
      <c r="G314" t="str">
        <f>_xlfn.XLOOKUP(A314,'Subbu- Mini Project EXcel Clean'!A314:A1313,'Subbu- Mini Project EXcel Clean'!Q314:Q1313," ",0)</f>
        <v>Moderate</v>
      </c>
      <c r="H314">
        <f>VLOOKUP(A314,'Subbu- Mini Project EXcel Clean'!A313:R1313,15,FALSE)</f>
        <v>2</v>
      </c>
    </row>
    <row r="315" spans="1:8" x14ac:dyDescent="0.25">
      <c r="A315" t="s">
        <v>343</v>
      </c>
      <c r="B315">
        <f>_xlfn.XLOOKUP(A315,'Subbu- Mini Project EXcel Clean'!A315:A1314,'Subbu- Mini Project EXcel Clean'!I315:I1314,"Entry Level",0)</f>
        <v>2</v>
      </c>
      <c r="C315" t="str">
        <f>_xlfn.XLOOKUP(A315,'Subbu- Mini Project EXcel Clean'!A315:A1314,'Subbu- Mini Project EXcel Clean'!J315:J1314," ",0)</f>
        <v>Consistent</v>
      </c>
      <c r="D315">
        <f>_xlfn.XLOOKUP(A315,'Subbu- Mini Project EXcel Clean'!A315:A1314,'Subbu- Mini Project EXcel Clean'!N315:N1314,"entry Level",0)</f>
        <v>7.5</v>
      </c>
      <c r="E315">
        <f>_xlfn.XLOOKUP(A315,'Subbu- Mini Project EXcel Clean'!A315:A1314,'Subbu- Mini Project EXcel Clean'!M315:M1314," ",0)</f>
        <v>78.099999999999994</v>
      </c>
      <c r="F315">
        <f>_xlfn.XLOOKUP(A315,'Subbu- Mini Project EXcel Clean'!A315:A1314,'Subbu- Mini Project EXcel Clean'!P315:P1314," ",0)</f>
        <v>6</v>
      </c>
      <c r="G315" t="str">
        <f>_xlfn.XLOOKUP(A315,'Subbu- Mini Project EXcel Clean'!A315:A1314,'Subbu- Mini Project EXcel Clean'!Q315:Q1314," ",0)</f>
        <v>Moderate</v>
      </c>
      <c r="H315">
        <f>VLOOKUP(A315,'Subbu- Mini Project EXcel Clean'!A314:R1314,15,FALSE)</f>
        <v>3.1</v>
      </c>
    </row>
    <row r="316" spans="1:8" x14ac:dyDescent="0.25">
      <c r="A316" t="s">
        <v>344</v>
      </c>
      <c r="B316">
        <f>_xlfn.XLOOKUP(A316,'Subbu- Mini Project EXcel Clean'!A316:A1315,'Subbu- Mini Project EXcel Clean'!I316:I1315,"Entry Level",0)</f>
        <v>2</v>
      </c>
      <c r="C316" t="str">
        <f>_xlfn.XLOOKUP(A316,'Subbu- Mini Project EXcel Clean'!A316:A1315,'Subbu- Mini Project EXcel Clean'!J316:J1315," ",0)</f>
        <v>Consistent</v>
      </c>
      <c r="D316">
        <f>_xlfn.XLOOKUP(A316,'Subbu- Mini Project EXcel Clean'!A316:A1315,'Subbu- Mini Project EXcel Clean'!N316:N1315,"entry Level",0)</f>
        <v>7.1</v>
      </c>
      <c r="E316">
        <f>_xlfn.XLOOKUP(A316,'Subbu- Mini Project EXcel Clean'!A316:A1315,'Subbu- Mini Project EXcel Clean'!M316:M1315," ",0)</f>
        <v>77.599999999999994</v>
      </c>
      <c r="F316">
        <f>_xlfn.XLOOKUP(A316,'Subbu- Mini Project EXcel Clean'!A316:A1315,'Subbu- Mini Project EXcel Clean'!P316:P1315," ",0)</f>
        <v>3</v>
      </c>
      <c r="G316" t="str">
        <f>_xlfn.XLOOKUP(A316,'Subbu- Mini Project EXcel Clean'!A316:A1315,'Subbu- Mini Project EXcel Clean'!Q316:Q1315," ",0)</f>
        <v>Moderate</v>
      </c>
      <c r="H316">
        <f>VLOOKUP(A316,'Subbu- Mini Project EXcel Clean'!A315:R1315,15,FALSE)</f>
        <v>2.1</v>
      </c>
    </row>
    <row r="317" spans="1:8" x14ac:dyDescent="0.25">
      <c r="A317" t="s">
        <v>345</v>
      </c>
      <c r="B317">
        <f>_xlfn.XLOOKUP(A317,'Subbu- Mini Project EXcel Clean'!A317:A1316,'Subbu- Mini Project EXcel Clean'!I317:I1316,"Entry Level",0)</f>
        <v>1</v>
      </c>
      <c r="C317" t="str">
        <f>_xlfn.XLOOKUP(A317,'Subbu- Mini Project EXcel Clean'!A317:A1316,'Subbu- Mini Project EXcel Clean'!J317:J1316," ",0)</f>
        <v>Consistent</v>
      </c>
      <c r="D317">
        <f>_xlfn.XLOOKUP(A317,'Subbu- Mini Project EXcel Clean'!A317:A1316,'Subbu- Mini Project EXcel Clean'!N317:N1316,"entry Level",0)</f>
        <v>7.1</v>
      </c>
      <c r="E317">
        <f>_xlfn.XLOOKUP(A317,'Subbu- Mini Project EXcel Clean'!A317:A1316,'Subbu- Mini Project EXcel Clean'!M317:M1316," ",0)</f>
        <v>71.099999999999994</v>
      </c>
      <c r="F317">
        <f>_xlfn.XLOOKUP(A317,'Subbu- Mini Project EXcel Clean'!A317:A1316,'Subbu- Mini Project EXcel Clean'!P317:P1316," ",0)</f>
        <v>5</v>
      </c>
      <c r="G317" t="str">
        <f>_xlfn.XLOOKUP(A317,'Subbu- Mini Project EXcel Clean'!A317:A1316,'Subbu- Mini Project EXcel Clean'!Q317:Q1316," ",0)</f>
        <v>Moderate</v>
      </c>
      <c r="H317">
        <f>VLOOKUP(A317,'Subbu- Mini Project EXcel Clean'!A316:R1316,15,FALSE)</f>
        <v>3.9</v>
      </c>
    </row>
    <row r="318" spans="1:8" x14ac:dyDescent="0.25">
      <c r="A318" t="s">
        <v>346</v>
      </c>
      <c r="B318">
        <f>_xlfn.XLOOKUP(A318,'Subbu- Mini Project EXcel Clean'!A318:A1317,'Subbu- Mini Project EXcel Clean'!I318:I1317,"Entry Level",0)</f>
        <v>3</v>
      </c>
      <c r="C318" t="str">
        <f>_xlfn.XLOOKUP(A318,'Subbu- Mini Project EXcel Clean'!A318:A1317,'Subbu- Mini Project EXcel Clean'!J318:J1317," ",0)</f>
        <v>Consistent</v>
      </c>
      <c r="D318">
        <f>_xlfn.XLOOKUP(A318,'Subbu- Mini Project EXcel Clean'!A318:A1317,'Subbu- Mini Project EXcel Clean'!N318:N1317,"entry Level",0)</f>
        <v>7</v>
      </c>
      <c r="E318">
        <f>_xlfn.XLOOKUP(A318,'Subbu- Mini Project EXcel Clean'!A318:A1317,'Subbu- Mini Project EXcel Clean'!M318:M1317," ",0)</f>
        <v>70.400000000000006</v>
      </c>
      <c r="F318">
        <f>_xlfn.XLOOKUP(A318,'Subbu- Mini Project EXcel Clean'!A318:A1317,'Subbu- Mini Project EXcel Clean'!P318:P1317," ",0)</f>
        <v>2</v>
      </c>
      <c r="G318" t="str">
        <f>_xlfn.XLOOKUP(A318,'Subbu- Mini Project EXcel Clean'!A318:A1317,'Subbu- Mini Project EXcel Clean'!Q318:Q1317," ",0)</f>
        <v>Low</v>
      </c>
      <c r="H318">
        <f>VLOOKUP(A318,'Subbu- Mini Project EXcel Clean'!A317:R1317,15,FALSE)</f>
        <v>2.9</v>
      </c>
    </row>
    <row r="319" spans="1:8" x14ac:dyDescent="0.25">
      <c r="A319" t="s">
        <v>347</v>
      </c>
      <c r="B319">
        <f>_xlfn.XLOOKUP(A319,'Subbu- Mini Project EXcel Clean'!A319:A1318,'Subbu- Mini Project EXcel Clean'!I319:I1318,"Entry Level",0)</f>
        <v>1</v>
      </c>
      <c r="C319" t="str">
        <f>_xlfn.XLOOKUP(A319,'Subbu- Mini Project EXcel Clean'!A319:A1318,'Subbu- Mini Project EXcel Clean'!J319:J1318," ",0)</f>
        <v>Consistent</v>
      </c>
      <c r="D319">
        <f>_xlfn.XLOOKUP(A319,'Subbu- Mini Project EXcel Clean'!A319:A1318,'Subbu- Mini Project EXcel Clean'!N319:N1318,"entry Level",0)</f>
        <v>6.9</v>
      </c>
      <c r="E319">
        <f>_xlfn.XLOOKUP(A319,'Subbu- Mini Project EXcel Clean'!A319:A1318,'Subbu- Mini Project EXcel Clean'!M319:M1318," ",0)</f>
        <v>66.400000000000006</v>
      </c>
      <c r="F319">
        <f>_xlfn.XLOOKUP(A319,'Subbu- Mini Project EXcel Clean'!A319:A1318,'Subbu- Mini Project EXcel Clean'!P319:P1318," ",0)</f>
        <v>2</v>
      </c>
      <c r="G319" t="str">
        <f>_xlfn.XLOOKUP(A319,'Subbu- Mini Project EXcel Clean'!A319:A1318,'Subbu- Mini Project EXcel Clean'!Q319:Q1318," ",0)</f>
        <v>Low</v>
      </c>
      <c r="H319">
        <f>VLOOKUP(A319,'Subbu- Mini Project EXcel Clean'!A318:R1318,15,FALSE)</f>
        <v>3.2</v>
      </c>
    </row>
    <row r="320" spans="1:8" x14ac:dyDescent="0.25">
      <c r="A320" t="s">
        <v>348</v>
      </c>
      <c r="B320">
        <f>_xlfn.XLOOKUP(A320,'Subbu- Mini Project EXcel Clean'!A320:A1319,'Subbu- Mini Project EXcel Clean'!I320:I1319,"Entry Level",0)</f>
        <v>4</v>
      </c>
      <c r="C320" t="str">
        <f>_xlfn.XLOOKUP(A320,'Subbu- Mini Project EXcel Clean'!A320:A1319,'Subbu- Mini Project EXcel Clean'!J320:J1319," ",0)</f>
        <v>Good</v>
      </c>
      <c r="D320">
        <f>_xlfn.XLOOKUP(A320,'Subbu- Mini Project EXcel Clean'!A320:A1319,'Subbu- Mini Project EXcel Clean'!N320:N1319,"entry Level",0)</f>
        <v>7.1</v>
      </c>
      <c r="E320">
        <f>_xlfn.XLOOKUP(A320,'Subbu- Mini Project EXcel Clean'!A320:A1319,'Subbu- Mini Project EXcel Clean'!M320:M1319," ",0)</f>
        <v>93.8</v>
      </c>
      <c r="F320">
        <f>_xlfn.XLOOKUP(A320,'Subbu- Mini Project EXcel Clean'!A320:A1319,'Subbu- Mini Project EXcel Clean'!P320:P1319," ",0)</f>
        <v>8</v>
      </c>
      <c r="G320" t="str">
        <f>_xlfn.XLOOKUP(A320,'Subbu- Mini Project EXcel Clean'!A320:A1319,'Subbu- Mini Project EXcel Clean'!Q320:Q1319," ",0)</f>
        <v>High</v>
      </c>
      <c r="H320">
        <f>VLOOKUP(A320,'Subbu- Mini Project EXcel Clean'!A319:R1319,15,FALSE)</f>
        <v>3.7</v>
      </c>
    </row>
    <row r="321" spans="1:8" x14ac:dyDescent="0.25">
      <c r="A321" t="s">
        <v>349</v>
      </c>
      <c r="B321">
        <f>_xlfn.XLOOKUP(A321,'Subbu- Mini Project EXcel Clean'!A321:A1320,'Subbu- Mini Project EXcel Clean'!I321:I1320,"Entry Level",0)</f>
        <v>5</v>
      </c>
      <c r="C321" t="str">
        <f>_xlfn.XLOOKUP(A321,'Subbu- Mini Project EXcel Clean'!A321:A1320,'Subbu- Mini Project EXcel Clean'!J321:J1320," ",0)</f>
        <v>Good</v>
      </c>
      <c r="D321">
        <f>_xlfn.XLOOKUP(A321,'Subbu- Mini Project EXcel Clean'!A321:A1320,'Subbu- Mini Project EXcel Clean'!N321:N1320,"entry Level",0)</f>
        <v>7.1</v>
      </c>
      <c r="E321">
        <f>_xlfn.XLOOKUP(A321,'Subbu- Mini Project EXcel Clean'!A321:A1320,'Subbu- Mini Project EXcel Clean'!M321:M1320," ",0)</f>
        <v>96.3</v>
      </c>
      <c r="F321">
        <f>_xlfn.XLOOKUP(A321,'Subbu- Mini Project EXcel Clean'!A321:A1320,'Subbu- Mini Project EXcel Clean'!P321:P1320," ",0)</f>
        <v>6</v>
      </c>
      <c r="G321" t="str">
        <f>_xlfn.XLOOKUP(A321,'Subbu- Mini Project EXcel Clean'!A321:A1320,'Subbu- Mini Project EXcel Clean'!Q321:Q1320," ",0)</f>
        <v>High</v>
      </c>
      <c r="H321">
        <f>VLOOKUP(A321,'Subbu- Mini Project EXcel Clean'!A320:R1320,15,FALSE)</f>
        <v>2</v>
      </c>
    </row>
    <row r="322" spans="1:8" x14ac:dyDescent="0.25">
      <c r="A322" t="s">
        <v>350</v>
      </c>
      <c r="B322">
        <f>_xlfn.XLOOKUP(A322,'Subbu- Mini Project EXcel Clean'!A322:A1321,'Subbu- Mini Project EXcel Clean'!I322:I1321,"Entry Level",0)</f>
        <v>5</v>
      </c>
      <c r="C322" t="str">
        <f>_xlfn.XLOOKUP(A322,'Subbu- Mini Project EXcel Clean'!A322:A1321,'Subbu- Mini Project EXcel Clean'!J322:J1321," ",0)</f>
        <v>Good</v>
      </c>
      <c r="D322">
        <f>_xlfn.XLOOKUP(A322,'Subbu- Mini Project EXcel Clean'!A322:A1321,'Subbu- Mini Project EXcel Clean'!N322:N1321,"entry Level",0)</f>
        <v>8.1999999999999993</v>
      </c>
      <c r="E322">
        <f>_xlfn.XLOOKUP(A322,'Subbu- Mini Project EXcel Clean'!A322:A1321,'Subbu- Mini Project EXcel Clean'!M322:M1321," ",0)</f>
        <v>94.9</v>
      </c>
      <c r="F322">
        <f>_xlfn.XLOOKUP(A322,'Subbu- Mini Project EXcel Clean'!A322:A1321,'Subbu- Mini Project EXcel Clean'!P322:P1321," ",0)</f>
        <v>3</v>
      </c>
      <c r="G322" t="str">
        <f>_xlfn.XLOOKUP(A322,'Subbu- Mini Project EXcel Clean'!A322:A1321,'Subbu- Mini Project EXcel Clean'!Q322:Q1321," ",0)</f>
        <v>Low</v>
      </c>
      <c r="H322">
        <f>VLOOKUP(A322,'Subbu- Mini Project EXcel Clean'!A321:R1321,15,FALSE)</f>
        <v>1.8</v>
      </c>
    </row>
    <row r="323" spans="1:8" x14ac:dyDescent="0.25">
      <c r="A323" t="s">
        <v>351</v>
      </c>
      <c r="B323">
        <f>_xlfn.XLOOKUP(A323,'Subbu- Mini Project EXcel Clean'!A323:A1322,'Subbu- Mini Project EXcel Clean'!I323:I1322,"Entry Level",0)</f>
        <v>5</v>
      </c>
      <c r="C323" t="str">
        <f>_xlfn.XLOOKUP(A323,'Subbu- Mini Project EXcel Clean'!A323:A1322,'Subbu- Mini Project EXcel Clean'!J323:J1322," ",0)</f>
        <v>Good</v>
      </c>
      <c r="D323">
        <f>_xlfn.XLOOKUP(A323,'Subbu- Mini Project EXcel Clean'!A323:A1322,'Subbu- Mini Project EXcel Clean'!N323:N1322,"entry Level",0)</f>
        <v>6.3</v>
      </c>
      <c r="E323">
        <f>_xlfn.XLOOKUP(A323,'Subbu- Mini Project EXcel Clean'!A323:A1322,'Subbu- Mini Project EXcel Clean'!M323:M1322," ",0)</f>
        <v>102.7</v>
      </c>
      <c r="F323">
        <f>_xlfn.XLOOKUP(A323,'Subbu- Mini Project EXcel Clean'!A323:A1322,'Subbu- Mini Project EXcel Clean'!P323:P1322," ",0)</f>
        <v>6</v>
      </c>
      <c r="G323" t="str">
        <f>_xlfn.XLOOKUP(A323,'Subbu- Mini Project EXcel Clean'!A323:A1322,'Subbu- Mini Project EXcel Clean'!Q323:Q1322," ",0)</f>
        <v>Moderate</v>
      </c>
      <c r="H323">
        <f>VLOOKUP(A323,'Subbu- Mini Project EXcel Clean'!A322:R1322,15,FALSE)</f>
        <v>5.4</v>
      </c>
    </row>
    <row r="324" spans="1:8" x14ac:dyDescent="0.25">
      <c r="A324" t="s">
        <v>352</v>
      </c>
      <c r="B324">
        <f>_xlfn.XLOOKUP(A324,'Subbu- Mini Project EXcel Clean'!A324:A1323,'Subbu- Mini Project EXcel Clean'!I324:I1323,"Entry Level",0)</f>
        <v>3</v>
      </c>
      <c r="C324" t="str">
        <f>_xlfn.XLOOKUP(A324,'Subbu- Mini Project EXcel Clean'!A324:A1323,'Subbu- Mini Project EXcel Clean'!J324:J1323," ",0)</f>
        <v>Excellent</v>
      </c>
      <c r="D324">
        <f>_xlfn.XLOOKUP(A324,'Subbu- Mini Project EXcel Clean'!A324:A1323,'Subbu- Mini Project EXcel Clean'!N324:N1323,"entry Level",0)</f>
        <v>7.4</v>
      </c>
      <c r="E324">
        <f>_xlfn.XLOOKUP(A324,'Subbu- Mini Project EXcel Clean'!A324:A1323,'Subbu- Mini Project EXcel Clean'!M324:M1323," ",0)</f>
        <v>85.2</v>
      </c>
      <c r="F324">
        <f>_xlfn.XLOOKUP(A324,'Subbu- Mini Project EXcel Clean'!A324:A1323,'Subbu- Mini Project EXcel Clean'!P324:P1323," ",0)</f>
        <v>1</v>
      </c>
      <c r="G324" t="str">
        <f>_xlfn.XLOOKUP(A324,'Subbu- Mini Project EXcel Clean'!A324:A1323,'Subbu- Mini Project EXcel Clean'!Q324:Q1323," ",0)</f>
        <v>Low</v>
      </c>
      <c r="H324">
        <f>VLOOKUP(A324,'Subbu- Mini Project EXcel Clean'!A323:R1323,15,FALSE)</f>
        <v>3.2</v>
      </c>
    </row>
    <row r="325" spans="1:8" x14ac:dyDescent="0.25">
      <c r="A325" t="s">
        <v>353</v>
      </c>
      <c r="B325">
        <f>_xlfn.XLOOKUP(A325,'Subbu- Mini Project EXcel Clean'!A325:A1324,'Subbu- Mini Project EXcel Clean'!I325:I1324,"Entry Level",0)</f>
        <v>4</v>
      </c>
      <c r="C325" t="str">
        <f>_xlfn.XLOOKUP(A325,'Subbu- Mini Project EXcel Clean'!A325:A1324,'Subbu- Mini Project EXcel Clean'!J325:J1324," ",0)</f>
        <v>Excellent</v>
      </c>
      <c r="D325">
        <f>_xlfn.XLOOKUP(A325,'Subbu- Mini Project EXcel Clean'!A325:A1324,'Subbu- Mini Project EXcel Clean'!N325:N1324,"entry Level",0)</f>
        <v>7.8</v>
      </c>
      <c r="E325">
        <f>_xlfn.XLOOKUP(A325,'Subbu- Mini Project EXcel Clean'!A325:A1324,'Subbu- Mini Project EXcel Clean'!M325:M1324," ",0)</f>
        <v>91.2</v>
      </c>
      <c r="F325">
        <f>_xlfn.XLOOKUP(A325,'Subbu- Mini Project EXcel Clean'!A325:A1324,'Subbu- Mini Project EXcel Clean'!P325:P1324," ",0)</f>
        <v>4</v>
      </c>
      <c r="G325" t="str">
        <f>_xlfn.XLOOKUP(A325,'Subbu- Mini Project EXcel Clean'!A325:A1324,'Subbu- Mini Project EXcel Clean'!Q325:Q1324," ",0)</f>
        <v>Moderate</v>
      </c>
      <c r="H325">
        <f>VLOOKUP(A325,'Subbu- Mini Project EXcel Clean'!A324:R1324,15,FALSE)</f>
        <v>3.1</v>
      </c>
    </row>
    <row r="326" spans="1:8" x14ac:dyDescent="0.25">
      <c r="A326" t="s">
        <v>354</v>
      </c>
      <c r="B326">
        <f>_xlfn.XLOOKUP(A326,'Subbu- Mini Project EXcel Clean'!A326:A1325,'Subbu- Mini Project EXcel Clean'!I326:I1325,"Entry Level",0)</f>
        <v>2</v>
      </c>
      <c r="C326" t="str">
        <f>_xlfn.XLOOKUP(A326,'Subbu- Mini Project EXcel Clean'!A326:A1325,'Subbu- Mini Project EXcel Clean'!J326:J1325," ",0)</f>
        <v>Consistent</v>
      </c>
      <c r="D326">
        <f>_xlfn.XLOOKUP(A326,'Subbu- Mini Project EXcel Clean'!A326:A1325,'Subbu- Mini Project EXcel Clean'!N326:N1325,"entry Level",0)</f>
        <v>8.1999999999999993</v>
      </c>
      <c r="E326">
        <f>_xlfn.XLOOKUP(A326,'Subbu- Mini Project EXcel Clean'!A326:A1325,'Subbu- Mini Project EXcel Clean'!M326:M1325," ",0)</f>
        <v>67.3</v>
      </c>
      <c r="F326">
        <f>_xlfn.XLOOKUP(A326,'Subbu- Mini Project EXcel Clean'!A326:A1325,'Subbu- Mini Project EXcel Clean'!P326:P1325," ",0)</f>
        <v>6</v>
      </c>
      <c r="G326" t="str">
        <f>_xlfn.XLOOKUP(A326,'Subbu- Mini Project EXcel Clean'!A326:A1325,'Subbu- Mini Project EXcel Clean'!Q326:Q1325," ",0)</f>
        <v>Moderate</v>
      </c>
      <c r="H326">
        <f>VLOOKUP(A326,'Subbu- Mini Project EXcel Clean'!A325:R1325,15,FALSE)</f>
        <v>1.2</v>
      </c>
    </row>
    <row r="327" spans="1:8" x14ac:dyDescent="0.25">
      <c r="A327" t="s">
        <v>355</v>
      </c>
      <c r="B327">
        <f>_xlfn.XLOOKUP(A327,'Subbu- Mini Project EXcel Clean'!A327:A1326,'Subbu- Mini Project EXcel Clean'!I327:I1326,"Entry Level",0)</f>
        <v>4</v>
      </c>
      <c r="C327" t="str">
        <f>_xlfn.XLOOKUP(A327,'Subbu- Mini Project EXcel Clean'!A327:A1326,'Subbu- Mini Project EXcel Clean'!J327:J1326," ",0)</f>
        <v>Excellent</v>
      </c>
      <c r="D327">
        <f>_xlfn.XLOOKUP(A327,'Subbu- Mini Project EXcel Clean'!A327:A1326,'Subbu- Mini Project EXcel Clean'!N327:N1326,"entry Level",0)</f>
        <v>6.2</v>
      </c>
      <c r="E327">
        <f>_xlfn.XLOOKUP(A327,'Subbu- Mini Project EXcel Clean'!A327:A1326,'Subbu- Mini Project EXcel Clean'!M327:M1326," ",0)</f>
        <v>79.099999999999994</v>
      </c>
      <c r="F327">
        <f>_xlfn.XLOOKUP(A327,'Subbu- Mini Project EXcel Clean'!A327:A1326,'Subbu- Mini Project EXcel Clean'!P327:P1326," ",0)</f>
        <v>4</v>
      </c>
      <c r="G327" t="str">
        <f>_xlfn.XLOOKUP(A327,'Subbu- Mini Project EXcel Clean'!A327:A1326,'Subbu- Mini Project EXcel Clean'!Q327:Q1326," ",0)</f>
        <v>Moderate</v>
      </c>
      <c r="H327">
        <f>VLOOKUP(A327,'Subbu- Mini Project EXcel Clean'!A326:R1326,15,FALSE)</f>
        <v>3.5</v>
      </c>
    </row>
    <row r="328" spans="1:8" x14ac:dyDescent="0.25">
      <c r="A328" t="s">
        <v>356</v>
      </c>
      <c r="B328">
        <f>_xlfn.XLOOKUP(A328,'Subbu- Mini Project EXcel Clean'!A328:A1327,'Subbu- Mini Project EXcel Clean'!I328:I1327,"Entry Level",0)</f>
        <v>3</v>
      </c>
      <c r="C328" t="str">
        <f>_xlfn.XLOOKUP(A328,'Subbu- Mini Project EXcel Clean'!A328:A1327,'Subbu- Mini Project EXcel Clean'!J328:J1327," ",0)</f>
        <v>Consistent</v>
      </c>
      <c r="D328">
        <f>_xlfn.XLOOKUP(A328,'Subbu- Mini Project EXcel Clean'!A328:A1327,'Subbu- Mini Project EXcel Clean'!N328:N1327,"entry Level",0)</f>
        <v>7.1</v>
      </c>
      <c r="E328">
        <f>_xlfn.XLOOKUP(A328,'Subbu- Mini Project EXcel Clean'!A328:A1327,'Subbu- Mini Project EXcel Clean'!M328:M1327," ",0)</f>
        <v>75.400000000000006</v>
      </c>
      <c r="F328">
        <f>_xlfn.XLOOKUP(A328,'Subbu- Mini Project EXcel Clean'!A328:A1327,'Subbu- Mini Project EXcel Clean'!P328:P1327," ",0)</f>
        <v>6</v>
      </c>
      <c r="G328" t="str">
        <f>_xlfn.XLOOKUP(A328,'Subbu- Mini Project EXcel Clean'!A328:A1327,'Subbu- Mini Project EXcel Clean'!Q328:Q1327," ",0)</f>
        <v>Moderate</v>
      </c>
      <c r="H328">
        <f>VLOOKUP(A328,'Subbu- Mini Project EXcel Clean'!A327:R1327,15,FALSE)</f>
        <v>3.8</v>
      </c>
    </row>
    <row r="329" spans="1:8" x14ac:dyDescent="0.25">
      <c r="A329" t="s">
        <v>357</v>
      </c>
      <c r="B329">
        <f>_xlfn.XLOOKUP(A329,'Subbu- Mini Project EXcel Clean'!A329:A1328,'Subbu- Mini Project EXcel Clean'!I329:I1328,"Entry Level",0)</f>
        <v>3</v>
      </c>
      <c r="C329" t="str">
        <f>_xlfn.XLOOKUP(A329,'Subbu- Mini Project EXcel Clean'!A329:A1328,'Subbu- Mini Project EXcel Clean'!J329:J1328," ",0)</f>
        <v>Consistent</v>
      </c>
      <c r="D329">
        <f>_xlfn.XLOOKUP(A329,'Subbu- Mini Project EXcel Clean'!A329:A1328,'Subbu- Mini Project EXcel Clean'!N329:N1328,"entry Level",0)</f>
        <v>7.3</v>
      </c>
      <c r="E329">
        <f>_xlfn.XLOOKUP(A329,'Subbu- Mini Project EXcel Clean'!A329:A1328,'Subbu- Mini Project EXcel Clean'!M329:M1328," ",0)</f>
        <v>78.7</v>
      </c>
      <c r="F329">
        <f>_xlfn.XLOOKUP(A329,'Subbu- Mini Project EXcel Clean'!A329:A1328,'Subbu- Mini Project EXcel Clean'!P329:P1328," ",0)</f>
        <v>5</v>
      </c>
      <c r="G329" t="str">
        <f>_xlfn.XLOOKUP(A329,'Subbu- Mini Project EXcel Clean'!A329:A1328,'Subbu- Mini Project EXcel Clean'!Q329:Q1328," ",0)</f>
        <v>Moderate</v>
      </c>
      <c r="H329">
        <f>VLOOKUP(A329,'Subbu- Mini Project EXcel Clean'!A328:R1328,15,FALSE)</f>
        <v>3.8</v>
      </c>
    </row>
    <row r="330" spans="1:8" x14ac:dyDescent="0.25">
      <c r="A330" t="s">
        <v>358</v>
      </c>
      <c r="B330">
        <f>_xlfn.XLOOKUP(A330,'Subbu- Mini Project EXcel Clean'!A330:A1329,'Subbu- Mini Project EXcel Clean'!I330:I1329,"Entry Level",0)</f>
        <v>4</v>
      </c>
      <c r="C330" t="str">
        <f>_xlfn.XLOOKUP(A330,'Subbu- Mini Project EXcel Clean'!A330:A1329,'Subbu- Mini Project EXcel Clean'!J330:J1329," ",0)</f>
        <v>Excellent</v>
      </c>
      <c r="D330">
        <f>_xlfn.XLOOKUP(A330,'Subbu- Mini Project EXcel Clean'!A330:A1329,'Subbu- Mini Project EXcel Clean'!N330:N1329,"entry Level",0)</f>
        <v>7.1</v>
      </c>
      <c r="E330">
        <f>_xlfn.XLOOKUP(A330,'Subbu- Mini Project EXcel Clean'!A330:A1329,'Subbu- Mini Project EXcel Clean'!M330:M1329," ",0)</f>
        <v>85</v>
      </c>
      <c r="F330">
        <f>_xlfn.XLOOKUP(A330,'Subbu- Mini Project EXcel Clean'!A330:A1329,'Subbu- Mini Project EXcel Clean'!P330:P1329," ",0)</f>
        <v>6</v>
      </c>
      <c r="G330" t="str">
        <f>_xlfn.XLOOKUP(A330,'Subbu- Mini Project EXcel Clean'!A330:A1329,'Subbu- Mini Project EXcel Clean'!Q330:Q1329," ",0)</f>
        <v>Moderate</v>
      </c>
      <c r="H330">
        <f>VLOOKUP(A330,'Subbu- Mini Project EXcel Clean'!A329:R1329,15,FALSE)</f>
        <v>4.5</v>
      </c>
    </row>
    <row r="331" spans="1:8" x14ac:dyDescent="0.25">
      <c r="A331" t="s">
        <v>359</v>
      </c>
      <c r="B331">
        <f>_xlfn.XLOOKUP(A331,'Subbu- Mini Project EXcel Clean'!A331:A1330,'Subbu- Mini Project EXcel Clean'!I331:I1330,"Entry Level",0)</f>
        <v>2</v>
      </c>
      <c r="C331" t="str">
        <f>_xlfn.XLOOKUP(A331,'Subbu- Mini Project EXcel Clean'!A331:A1330,'Subbu- Mini Project EXcel Clean'!J331:J1330," ",0)</f>
        <v>Consistent</v>
      </c>
      <c r="D331">
        <f>_xlfn.XLOOKUP(A331,'Subbu- Mini Project EXcel Clean'!A331:A1330,'Subbu- Mini Project EXcel Clean'!N331:N1330,"entry Level",0)</f>
        <v>6.9</v>
      </c>
      <c r="E331">
        <f>_xlfn.XLOOKUP(A331,'Subbu- Mini Project EXcel Clean'!A331:A1330,'Subbu- Mini Project EXcel Clean'!M331:M1330," ",0)</f>
        <v>71.2</v>
      </c>
      <c r="F331">
        <f>_xlfn.XLOOKUP(A331,'Subbu- Mini Project EXcel Clean'!A331:A1330,'Subbu- Mini Project EXcel Clean'!P331:P1330," ",0)</f>
        <v>1</v>
      </c>
      <c r="G331" t="str">
        <f>_xlfn.XLOOKUP(A331,'Subbu- Mini Project EXcel Clean'!A331:A1330,'Subbu- Mini Project EXcel Clean'!Q331:Q1330," ",0)</f>
        <v>Low</v>
      </c>
      <c r="H331">
        <f>VLOOKUP(A331,'Subbu- Mini Project EXcel Clean'!A330:R1330,15,FALSE)</f>
        <v>1.9</v>
      </c>
    </row>
    <row r="332" spans="1:8" x14ac:dyDescent="0.25">
      <c r="A332" t="s">
        <v>360</v>
      </c>
      <c r="B332">
        <f>_xlfn.XLOOKUP(A332,'Subbu- Mini Project EXcel Clean'!A332:A1331,'Subbu- Mini Project EXcel Clean'!I332:I1331,"Entry Level",0)</f>
        <v>2</v>
      </c>
      <c r="C332" t="str">
        <f>_xlfn.XLOOKUP(A332,'Subbu- Mini Project EXcel Clean'!A332:A1331,'Subbu- Mini Project EXcel Clean'!J332:J1331," ",0)</f>
        <v>Consistent</v>
      </c>
      <c r="D332">
        <f>_xlfn.XLOOKUP(A332,'Subbu- Mini Project EXcel Clean'!A332:A1331,'Subbu- Mini Project EXcel Clean'!N332:N1331,"entry Level",0)</f>
        <v>7</v>
      </c>
      <c r="E332">
        <f>_xlfn.XLOOKUP(A332,'Subbu- Mini Project EXcel Clean'!A332:A1331,'Subbu- Mini Project EXcel Clean'!M332:M1331," ",0)</f>
        <v>64.3</v>
      </c>
      <c r="F332">
        <f>_xlfn.XLOOKUP(A332,'Subbu- Mini Project EXcel Clean'!A332:A1331,'Subbu- Mini Project EXcel Clean'!P332:P1331," ",0)</f>
        <v>1</v>
      </c>
      <c r="G332" t="str">
        <f>_xlfn.XLOOKUP(A332,'Subbu- Mini Project EXcel Clean'!A332:A1331,'Subbu- Mini Project EXcel Clean'!Q332:Q1331," ",0)</f>
        <v>Low</v>
      </c>
      <c r="H332">
        <f>VLOOKUP(A332,'Subbu- Mini Project EXcel Clean'!A331:R1331,15,FALSE)</f>
        <v>2.2999999999999998</v>
      </c>
    </row>
    <row r="333" spans="1:8" x14ac:dyDescent="0.25">
      <c r="A333" t="s">
        <v>361</v>
      </c>
      <c r="B333">
        <f>_xlfn.XLOOKUP(A333,'Subbu- Mini Project EXcel Clean'!A333:A1332,'Subbu- Mini Project EXcel Clean'!I333:I1332,"Entry Level",0)</f>
        <v>5</v>
      </c>
      <c r="C333" t="str">
        <f>_xlfn.XLOOKUP(A333,'Subbu- Mini Project EXcel Clean'!A333:A1332,'Subbu- Mini Project EXcel Clean'!J333:J1332," ",0)</f>
        <v>Good</v>
      </c>
      <c r="D333">
        <f>_xlfn.XLOOKUP(A333,'Subbu- Mini Project EXcel Clean'!A333:A1332,'Subbu- Mini Project EXcel Clean'!N333:N1332,"entry Level",0)</f>
        <v>7</v>
      </c>
      <c r="E333">
        <f>_xlfn.XLOOKUP(A333,'Subbu- Mini Project EXcel Clean'!A333:A1332,'Subbu- Mini Project EXcel Clean'!M333:M1332," ",0)</f>
        <v>91.4</v>
      </c>
      <c r="F333">
        <f>_xlfn.XLOOKUP(A333,'Subbu- Mini Project EXcel Clean'!A333:A1332,'Subbu- Mini Project EXcel Clean'!P333:P1332," ",0)</f>
        <v>1</v>
      </c>
      <c r="G333" t="str">
        <f>_xlfn.XLOOKUP(A333,'Subbu- Mini Project EXcel Clean'!A333:A1332,'Subbu- Mini Project EXcel Clean'!Q333:Q1332," ",0)</f>
        <v>Low</v>
      </c>
      <c r="H333">
        <f>VLOOKUP(A333,'Subbu- Mini Project EXcel Clean'!A332:R1332,15,FALSE)</f>
        <v>5.0999999999999996</v>
      </c>
    </row>
    <row r="334" spans="1:8" x14ac:dyDescent="0.25">
      <c r="A334" t="s">
        <v>362</v>
      </c>
      <c r="B334">
        <f>_xlfn.XLOOKUP(A334,'Subbu- Mini Project EXcel Clean'!A334:A1333,'Subbu- Mini Project EXcel Clean'!I334:I1333,"Entry Level",0)</f>
        <v>1</v>
      </c>
      <c r="C334" t="str">
        <f>_xlfn.XLOOKUP(A334,'Subbu- Mini Project EXcel Clean'!A334:A1333,'Subbu- Mini Project EXcel Clean'!J334:J1333," ",0)</f>
        <v>Consistent</v>
      </c>
      <c r="D334">
        <f>_xlfn.XLOOKUP(A334,'Subbu- Mini Project EXcel Clean'!A334:A1333,'Subbu- Mini Project EXcel Clean'!N334:N1333,"entry Level",0)</f>
        <v>5.9</v>
      </c>
      <c r="E334">
        <f>_xlfn.XLOOKUP(A334,'Subbu- Mini Project EXcel Clean'!A334:A1333,'Subbu- Mini Project EXcel Clean'!M334:M1333," ",0)</f>
        <v>65.599999999999994</v>
      </c>
      <c r="F334">
        <f>_xlfn.XLOOKUP(A334,'Subbu- Mini Project EXcel Clean'!A334:A1333,'Subbu- Mini Project EXcel Clean'!P334:P1333," ",0)</f>
        <v>4</v>
      </c>
      <c r="G334" t="str">
        <f>_xlfn.XLOOKUP(A334,'Subbu- Mini Project EXcel Clean'!A334:A1333,'Subbu- Mini Project EXcel Clean'!Q334:Q1333," ",0)</f>
        <v>Moderate</v>
      </c>
      <c r="H334">
        <f>VLOOKUP(A334,'Subbu- Mini Project EXcel Clean'!A333:R1333,15,FALSE)</f>
        <v>5.7</v>
      </c>
    </row>
    <row r="335" spans="1:8" x14ac:dyDescent="0.25">
      <c r="A335" t="s">
        <v>363</v>
      </c>
      <c r="B335">
        <f>_xlfn.XLOOKUP(A335,'Subbu- Mini Project EXcel Clean'!A335:A1334,'Subbu- Mini Project EXcel Clean'!I335:I1334,"Entry Level",0)</f>
        <v>3</v>
      </c>
      <c r="C335" t="str">
        <f>_xlfn.XLOOKUP(A335,'Subbu- Mini Project EXcel Clean'!A335:A1334,'Subbu- Mini Project EXcel Clean'!J335:J1334," ",0)</f>
        <v>Consistent</v>
      </c>
      <c r="D335">
        <f>_xlfn.XLOOKUP(A335,'Subbu- Mini Project EXcel Clean'!A335:A1334,'Subbu- Mini Project EXcel Clean'!N335:N1334,"entry Level",0)</f>
        <v>7.3</v>
      </c>
      <c r="E335">
        <f>_xlfn.XLOOKUP(A335,'Subbu- Mini Project EXcel Clean'!A335:A1334,'Subbu- Mini Project EXcel Clean'!M335:M1334," ",0)</f>
        <v>82.4</v>
      </c>
      <c r="F335">
        <f>_xlfn.XLOOKUP(A335,'Subbu- Mini Project EXcel Clean'!A335:A1334,'Subbu- Mini Project EXcel Clean'!P335:P1334," ",0)</f>
        <v>4</v>
      </c>
      <c r="G335" t="str">
        <f>_xlfn.XLOOKUP(A335,'Subbu- Mini Project EXcel Clean'!A335:A1334,'Subbu- Mini Project EXcel Clean'!Q335:Q1334," ",0)</f>
        <v>Moderate</v>
      </c>
      <c r="H335">
        <f>VLOOKUP(A335,'Subbu- Mini Project EXcel Clean'!A334:R1334,15,FALSE)</f>
        <v>1.7</v>
      </c>
    </row>
    <row r="336" spans="1:8" x14ac:dyDescent="0.25">
      <c r="A336" t="s">
        <v>364</v>
      </c>
      <c r="B336">
        <f>_xlfn.XLOOKUP(A336,'Subbu- Mini Project EXcel Clean'!A336:A1335,'Subbu- Mini Project EXcel Clean'!I336:I1335,"Entry Level",0)</f>
        <v>5</v>
      </c>
      <c r="C336" t="str">
        <f>_xlfn.XLOOKUP(A336,'Subbu- Mini Project EXcel Clean'!A336:A1335,'Subbu- Mini Project EXcel Clean'!J336:J1335," ",0)</f>
        <v>Good</v>
      </c>
      <c r="D336">
        <f>_xlfn.XLOOKUP(A336,'Subbu- Mini Project EXcel Clean'!A336:A1335,'Subbu- Mini Project EXcel Clean'!N336:N1335,"entry Level",0)</f>
        <v>7.7</v>
      </c>
      <c r="E336">
        <f>_xlfn.XLOOKUP(A336,'Subbu- Mini Project EXcel Clean'!A336:A1335,'Subbu- Mini Project EXcel Clean'!M336:M1335," ",0)</f>
        <v>94.6</v>
      </c>
      <c r="F336">
        <f>_xlfn.XLOOKUP(A336,'Subbu- Mini Project EXcel Clean'!A336:A1335,'Subbu- Mini Project EXcel Clean'!P336:P1335," ",0)</f>
        <v>2</v>
      </c>
      <c r="G336" t="str">
        <f>_xlfn.XLOOKUP(A336,'Subbu- Mini Project EXcel Clean'!A336:A1335,'Subbu- Mini Project EXcel Clean'!Q336:Q1335," ",0)</f>
        <v>Low</v>
      </c>
      <c r="H336">
        <f>VLOOKUP(A336,'Subbu- Mini Project EXcel Clean'!A335:R1335,15,FALSE)</f>
        <v>3.5</v>
      </c>
    </row>
    <row r="337" spans="1:8" x14ac:dyDescent="0.25">
      <c r="A337" t="s">
        <v>365</v>
      </c>
      <c r="B337">
        <f>_xlfn.XLOOKUP(A337,'Subbu- Mini Project EXcel Clean'!A337:A1336,'Subbu- Mini Project EXcel Clean'!I337:I1336,"Entry Level",0)</f>
        <v>3</v>
      </c>
      <c r="C337" t="str">
        <f>_xlfn.XLOOKUP(A337,'Subbu- Mini Project EXcel Clean'!A337:A1336,'Subbu- Mini Project EXcel Clean'!J337:J1336," ",0)</f>
        <v>Excellent</v>
      </c>
      <c r="D337">
        <f>_xlfn.XLOOKUP(A337,'Subbu- Mini Project EXcel Clean'!A337:A1336,'Subbu- Mini Project EXcel Clean'!N337:N1336,"entry Level",0)</f>
        <v>7.4</v>
      </c>
      <c r="E337">
        <f>_xlfn.XLOOKUP(A337,'Subbu- Mini Project EXcel Clean'!A337:A1336,'Subbu- Mini Project EXcel Clean'!M337:M1336," ",0)</f>
        <v>79.3</v>
      </c>
      <c r="F337">
        <f>_xlfn.XLOOKUP(A337,'Subbu- Mini Project EXcel Clean'!A337:A1336,'Subbu- Mini Project EXcel Clean'!P337:P1336," ",0)</f>
        <v>1</v>
      </c>
      <c r="G337" t="str">
        <f>_xlfn.XLOOKUP(A337,'Subbu- Mini Project EXcel Clean'!A337:A1336,'Subbu- Mini Project EXcel Clean'!Q337:Q1336," ",0)</f>
        <v>Low</v>
      </c>
      <c r="H337">
        <f>VLOOKUP(A337,'Subbu- Mini Project EXcel Clean'!A336:R1336,15,FALSE)</f>
        <v>2.1</v>
      </c>
    </row>
    <row r="338" spans="1:8" x14ac:dyDescent="0.25">
      <c r="A338" t="s">
        <v>366</v>
      </c>
      <c r="B338">
        <f>_xlfn.XLOOKUP(A338,'Subbu- Mini Project EXcel Clean'!A338:A1337,'Subbu- Mini Project EXcel Clean'!I338:I1337,"Entry Level",0)</f>
        <v>3</v>
      </c>
      <c r="C338" t="str">
        <f>_xlfn.XLOOKUP(A338,'Subbu- Mini Project EXcel Clean'!A338:A1337,'Subbu- Mini Project EXcel Clean'!J338:J1337," ",0)</f>
        <v>Excellent</v>
      </c>
      <c r="D338">
        <f>_xlfn.XLOOKUP(A338,'Subbu- Mini Project EXcel Clean'!A338:A1337,'Subbu- Mini Project EXcel Clean'!N338:N1337,"entry Level",0)</f>
        <v>7.2</v>
      </c>
      <c r="E338">
        <f>_xlfn.XLOOKUP(A338,'Subbu- Mini Project EXcel Clean'!A338:A1337,'Subbu- Mini Project EXcel Clean'!M338:M1337," ",0)</f>
        <v>76.7</v>
      </c>
      <c r="F338">
        <f>_xlfn.XLOOKUP(A338,'Subbu- Mini Project EXcel Clean'!A338:A1337,'Subbu- Mini Project EXcel Clean'!P338:P1337," ",0)</f>
        <v>1</v>
      </c>
      <c r="G338" t="str">
        <f>_xlfn.XLOOKUP(A338,'Subbu- Mini Project EXcel Clean'!A338:A1337,'Subbu- Mini Project EXcel Clean'!Q338:Q1337," ",0)</f>
        <v>Low</v>
      </c>
      <c r="H338">
        <f>VLOOKUP(A338,'Subbu- Mini Project EXcel Clean'!A337:R1337,15,FALSE)</f>
        <v>1.3</v>
      </c>
    </row>
    <row r="339" spans="1:8" x14ac:dyDescent="0.25">
      <c r="A339" t="s">
        <v>367</v>
      </c>
      <c r="B339">
        <f>_xlfn.XLOOKUP(A339,'Subbu- Mini Project EXcel Clean'!A339:A1338,'Subbu- Mini Project EXcel Clean'!I339:I1338,"Entry Level",0)</f>
        <v>2</v>
      </c>
      <c r="C339" t="str">
        <f>_xlfn.XLOOKUP(A339,'Subbu- Mini Project EXcel Clean'!A339:A1338,'Subbu- Mini Project EXcel Clean'!J339:J1338," ",0)</f>
        <v>Consistent</v>
      </c>
      <c r="D339">
        <f>_xlfn.XLOOKUP(A339,'Subbu- Mini Project EXcel Clean'!A339:A1338,'Subbu- Mini Project EXcel Clean'!N339:N1338,"entry Level",0)</f>
        <v>6.8</v>
      </c>
      <c r="E339">
        <f>_xlfn.XLOOKUP(A339,'Subbu- Mini Project EXcel Clean'!A339:A1338,'Subbu- Mini Project EXcel Clean'!M339:M1338," ",0)</f>
        <v>68.099999999999994</v>
      </c>
      <c r="F339">
        <f>_xlfn.XLOOKUP(A339,'Subbu- Mini Project EXcel Clean'!A339:A1338,'Subbu- Mini Project EXcel Clean'!P339:P1338," ",0)</f>
        <v>4</v>
      </c>
      <c r="G339" t="str">
        <f>_xlfn.XLOOKUP(A339,'Subbu- Mini Project EXcel Clean'!A339:A1338,'Subbu- Mini Project EXcel Clean'!Q339:Q1338," ",0)</f>
        <v>Moderate</v>
      </c>
      <c r="H339">
        <f>VLOOKUP(A339,'Subbu- Mini Project EXcel Clean'!A338:R1338,15,FALSE)</f>
        <v>2.6</v>
      </c>
    </row>
    <row r="340" spans="1:8" x14ac:dyDescent="0.25">
      <c r="A340" t="s">
        <v>368</v>
      </c>
      <c r="B340">
        <f>_xlfn.XLOOKUP(A340,'Subbu- Mini Project EXcel Clean'!A340:A1339,'Subbu- Mini Project EXcel Clean'!I340:I1339,"Entry Level",0)</f>
        <v>2</v>
      </c>
      <c r="C340" t="str">
        <f>_xlfn.XLOOKUP(A340,'Subbu- Mini Project EXcel Clean'!A340:A1339,'Subbu- Mini Project EXcel Clean'!J340:J1339," ",0)</f>
        <v>Consistent</v>
      </c>
      <c r="D340">
        <f>_xlfn.XLOOKUP(A340,'Subbu- Mini Project EXcel Clean'!A340:A1339,'Subbu- Mini Project EXcel Clean'!N340:N1339,"entry Level",0)</f>
        <v>7.7</v>
      </c>
      <c r="E340">
        <f>_xlfn.XLOOKUP(A340,'Subbu- Mini Project EXcel Clean'!A340:A1339,'Subbu- Mini Project EXcel Clean'!M340:M1339," ",0)</f>
        <v>77</v>
      </c>
      <c r="F340">
        <f>_xlfn.XLOOKUP(A340,'Subbu- Mini Project EXcel Clean'!A340:A1339,'Subbu- Mini Project EXcel Clean'!P340:P1339," ",0)</f>
        <v>5</v>
      </c>
      <c r="G340" t="str">
        <f>_xlfn.XLOOKUP(A340,'Subbu- Mini Project EXcel Clean'!A340:A1339,'Subbu- Mini Project EXcel Clean'!Q340:Q1339," ",0)</f>
        <v>Moderate</v>
      </c>
      <c r="H340">
        <f>VLOOKUP(A340,'Subbu- Mini Project EXcel Clean'!A339:R1339,15,FALSE)</f>
        <v>1.7</v>
      </c>
    </row>
    <row r="341" spans="1:8" x14ac:dyDescent="0.25">
      <c r="A341" t="s">
        <v>369</v>
      </c>
      <c r="B341">
        <f>_xlfn.XLOOKUP(A341,'Subbu- Mini Project EXcel Clean'!A341:A1340,'Subbu- Mini Project EXcel Clean'!I341:I1340,"Entry Level",0)</f>
        <v>4</v>
      </c>
      <c r="C341" t="str">
        <f>_xlfn.XLOOKUP(A341,'Subbu- Mini Project EXcel Clean'!A341:A1340,'Subbu- Mini Project EXcel Clean'!J341:J1340," ",0)</f>
        <v>Good</v>
      </c>
      <c r="D341">
        <f>_xlfn.XLOOKUP(A341,'Subbu- Mini Project EXcel Clean'!A341:A1340,'Subbu- Mini Project EXcel Clean'!N341:N1340,"entry Level",0)</f>
        <v>6</v>
      </c>
      <c r="E341">
        <f>_xlfn.XLOOKUP(A341,'Subbu- Mini Project EXcel Clean'!A341:A1340,'Subbu- Mini Project EXcel Clean'!M341:M1340," ",0)</f>
        <v>98.7</v>
      </c>
      <c r="F341">
        <f>_xlfn.XLOOKUP(A341,'Subbu- Mini Project EXcel Clean'!A341:A1340,'Subbu- Mini Project EXcel Clean'!P341:P1340," ",0)</f>
        <v>2</v>
      </c>
      <c r="G341" t="str">
        <f>_xlfn.XLOOKUP(A341,'Subbu- Mini Project EXcel Clean'!A341:A1340,'Subbu- Mini Project EXcel Clean'!Q341:Q1340," ",0)</f>
        <v>Low</v>
      </c>
      <c r="H341">
        <f>VLOOKUP(A341,'Subbu- Mini Project EXcel Clean'!A340:R1340,15,FALSE)</f>
        <v>4.5</v>
      </c>
    </row>
    <row r="342" spans="1:8" x14ac:dyDescent="0.25">
      <c r="A342" t="s">
        <v>370</v>
      </c>
      <c r="B342">
        <f>_xlfn.XLOOKUP(A342,'Subbu- Mini Project EXcel Clean'!A342:A1341,'Subbu- Mini Project EXcel Clean'!I342:I1341,"Entry Level",0)</f>
        <v>3</v>
      </c>
      <c r="C342" t="str">
        <f>_xlfn.XLOOKUP(A342,'Subbu- Mini Project EXcel Clean'!A342:A1341,'Subbu- Mini Project EXcel Clean'!J342:J1341," ",0)</f>
        <v>Excellent</v>
      </c>
      <c r="D342">
        <f>_xlfn.XLOOKUP(A342,'Subbu- Mini Project EXcel Clean'!A342:A1341,'Subbu- Mini Project EXcel Clean'!N342:N1341,"entry Level",0)</f>
        <v>6.8</v>
      </c>
      <c r="E342">
        <f>_xlfn.XLOOKUP(A342,'Subbu- Mini Project EXcel Clean'!A342:A1341,'Subbu- Mini Project EXcel Clean'!M342:M1341," ",0)</f>
        <v>79.900000000000006</v>
      </c>
      <c r="F342">
        <f>_xlfn.XLOOKUP(A342,'Subbu- Mini Project EXcel Clean'!A342:A1341,'Subbu- Mini Project EXcel Clean'!P342:P1341," ",0)</f>
        <v>1</v>
      </c>
      <c r="G342" t="str">
        <f>_xlfn.XLOOKUP(A342,'Subbu- Mini Project EXcel Clean'!A342:A1341,'Subbu- Mini Project EXcel Clean'!Q342:Q1341," ",0)</f>
        <v>Low</v>
      </c>
      <c r="H342">
        <f>VLOOKUP(A342,'Subbu- Mini Project EXcel Clean'!A341:R1341,15,FALSE)</f>
        <v>3.7</v>
      </c>
    </row>
    <row r="343" spans="1:8" x14ac:dyDescent="0.25">
      <c r="A343" t="s">
        <v>371</v>
      </c>
      <c r="B343">
        <f>_xlfn.XLOOKUP(A343,'Subbu- Mini Project EXcel Clean'!A343:A1342,'Subbu- Mini Project EXcel Clean'!I343:I1342,"Entry Level",0)</f>
        <v>3</v>
      </c>
      <c r="C343" t="str">
        <f>_xlfn.XLOOKUP(A343,'Subbu- Mini Project EXcel Clean'!A343:A1342,'Subbu- Mini Project EXcel Clean'!J343:J1342," ",0)</f>
        <v>Excellent</v>
      </c>
      <c r="D343">
        <f>_xlfn.XLOOKUP(A343,'Subbu- Mini Project EXcel Clean'!A343:A1342,'Subbu- Mini Project EXcel Clean'!N343:N1342,"entry Level",0)</f>
        <v>7.7</v>
      </c>
      <c r="E343">
        <f>_xlfn.XLOOKUP(A343,'Subbu- Mini Project EXcel Clean'!A343:A1342,'Subbu- Mini Project EXcel Clean'!M343:M1342," ",0)</f>
        <v>74.8</v>
      </c>
      <c r="F343">
        <f>_xlfn.XLOOKUP(A343,'Subbu- Mini Project EXcel Clean'!A343:A1342,'Subbu- Mini Project EXcel Clean'!P343:P1342," ",0)</f>
        <v>1</v>
      </c>
      <c r="G343" t="str">
        <f>_xlfn.XLOOKUP(A343,'Subbu- Mini Project EXcel Clean'!A343:A1342,'Subbu- Mini Project EXcel Clean'!Q343:Q1342," ",0)</f>
        <v>Low</v>
      </c>
      <c r="H343">
        <f>VLOOKUP(A343,'Subbu- Mini Project EXcel Clean'!A342:R1342,15,FALSE)</f>
        <v>1.7</v>
      </c>
    </row>
    <row r="344" spans="1:8" x14ac:dyDescent="0.25">
      <c r="A344" t="s">
        <v>372</v>
      </c>
      <c r="B344">
        <f>_xlfn.XLOOKUP(A344,'Subbu- Mini Project EXcel Clean'!A344:A1343,'Subbu- Mini Project EXcel Clean'!I344:I1343,"Entry Level",0)</f>
        <v>1</v>
      </c>
      <c r="C344" t="str">
        <f>_xlfn.XLOOKUP(A344,'Subbu- Mini Project EXcel Clean'!A344:A1343,'Subbu- Mini Project EXcel Clean'!J344:J1343," ",0)</f>
        <v>Consistent</v>
      </c>
      <c r="D344">
        <f>_xlfn.XLOOKUP(A344,'Subbu- Mini Project EXcel Clean'!A344:A1343,'Subbu- Mini Project EXcel Clean'!N344:N1343,"entry Level",0)</f>
        <v>8.3000000000000007</v>
      </c>
      <c r="E344">
        <f>_xlfn.XLOOKUP(A344,'Subbu- Mini Project EXcel Clean'!A344:A1343,'Subbu- Mini Project EXcel Clean'!M344:M1343," ",0)</f>
        <v>65.3</v>
      </c>
      <c r="F344">
        <f>_xlfn.XLOOKUP(A344,'Subbu- Mini Project EXcel Clean'!A344:A1343,'Subbu- Mini Project EXcel Clean'!P344:P1343," ",0)</f>
        <v>1</v>
      </c>
      <c r="G344" t="str">
        <f>_xlfn.XLOOKUP(A344,'Subbu- Mini Project EXcel Clean'!A344:A1343,'Subbu- Mini Project EXcel Clean'!Q344:Q1343," ",0)</f>
        <v>Low</v>
      </c>
      <c r="H344">
        <f>VLOOKUP(A344,'Subbu- Mini Project EXcel Clean'!A343:R1343,15,FALSE)</f>
        <v>1</v>
      </c>
    </row>
    <row r="345" spans="1:8" x14ac:dyDescent="0.25">
      <c r="A345" t="s">
        <v>373</v>
      </c>
      <c r="B345">
        <f>_xlfn.XLOOKUP(A345,'Subbu- Mini Project EXcel Clean'!A345:A1344,'Subbu- Mini Project EXcel Clean'!I345:I1344,"Entry Level",0)</f>
        <v>1</v>
      </c>
      <c r="C345" t="str">
        <f>_xlfn.XLOOKUP(A345,'Subbu- Mini Project EXcel Clean'!A345:A1344,'Subbu- Mini Project EXcel Clean'!J345:J1344," ",0)</f>
        <v>Consistent</v>
      </c>
      <c r="D345">
        <f>_xlfn.XLOOKUP(A345,'Subbu- Mini Project EXcel Clean'!A345:A1344,'Subbu- Mini Project EXcel Clean'!N345:N1344,"entry Level",0)</f>
        <v>6.8</v>
      </c>
      <c r="E345">
        <f>_xlfn.XLOOKUP(A345,'Subbu- Mini Project EXcel Clean'!A345:A1344,'Subbu- Mini Project EXcel Clean'!M345:M1344," ",0)</f>
        <v>56.5</v>
      </c>
      <c r="F345">
        <f>_xlfn.XLOOKUP(A345,'Subbu- Mini Project EXcel Clean'!A345:A1344,'Subbu- Mini Project EXcel Clean'!P345:P1344," ",0)</f>
        <v>2</v>
      </c>
      <c r="G345" t="str">
        <f>_xlfn.XLOOKUP(A345,'Subbu- Mini Project EXcel Clean'!A345:A1344,'Subbu- Mini Project EXcel Clean'!Q345:Q1344," ",0)</f>
        <v>Low</v>
      </c>
      <c r="H345">
        <f>VLOOKUP(A345,'Subbu- Mini Project EXcel Clean'!A344:R1344,15,FALSE)</f>
        <v>5</v>
      </c>
    </row>
    <row r="346" spans="1:8" x14ac:dyDescent="0.25">
      <c r="A346" t="s">
        <v>374</v>
      </c>
      <c r="B346">
        <f>_xlfn.XLOOKUP(A346,'Subbu- Mini Project EXcel Clean'!A346:A1345,'Subbu- Mini Project EXcel Clean'!I346:I1345,"Entry Level",0)</f>
        <v>5</v>
      </c>
      <c r="C346" t="str">
        <f>_xlfn.XLOOKUP(A346,'Subbu- Mini Project EXcel Clean'!A346:A1345,'Subbu- Mini Project EXcel Clean'!J346:J1345," ",0)</f>
        <v>Good</v>
      </c>
      <c r="D346">
        <f>_xlfn.XLOOKUP(A346,'Subbu- Mini Project EXcel Clean'!A346:A1345,'Subbu- Mini Project EXcel Clean'!N346:N1345,"entry Level",0)</f>
        <v>7.1</v>
      </c>
      <c r="E346">
        <f>_xlfn.XLOOKUP(A346,'Subbu- Mini Project EXcel Clean'!A346:A1345,'Subbu- Mini Project EXcel Clean'!M346:M1345," ",0)</f>
        <v>96</v>
      </c>
      <c r="F346">
        <f>_xlfn.XLOOKUP(A346,'Subbu- Mini Project EXcel Clean'!A346:A1345,'Subbu- Mini Project EXcel Clean'!P346:P1345," ",0)</f>
        <v>4</v>
      </c>
      <c r="G346" t="str">
        <f>_xlfn.XLOOKUP(A346,'Subbu- Mini Project EXcel Clean'!A346:A1345,'Subbu- Mini Project EXcel Clean'!Q346:Q1345," ",0)</f>
        <v>Moderate</v>
      </c>
      <c r="H346">
        <f>VLOOKUP(A346,'Subbu- Mini Project EXcel Clean'!A345:R1345,15,FALSE)</f>
        <v>1.9</v>
      </c>
    </row>
    <row r="347" spans="1:8" x14ac:dyDescent="0.25">
      <c r="A347" t="s">
        <v>375</v>
      </c>
      <c r="B347">
        <f>_xlfn.XLOOKUP(A347,'Subbu- Mini Project EXcel Clean'!A347:A1346,'Subbu- Mini Project EXcel Clean'!I347:I1346,"Entry Level",0)</f>
        <v>3</v>
      </c>
      <c r="C347" t="str">
        <f>_xlfn.XLOOKUP(A347,'Subbu- Mini Project EXcel Clean'!A347:A1346,'Subbu- Mini Project EXcel Clean'!J347:J1346," ",0)</f>
        <v>Consistent</v>
      </c>
      <c r="D347">
        <f>_xlfn.XLOOKUP(A347,'Subbu- Mini Project EXcel Clean'!A347:A1346,'Subbu- Mini Project EXcel Clean'!N347:N1346,"entry Level",0)</f>
        <v>7.4</v>
      </c>
      <c r="E347">
        <f>_xlfn.XLOOKUP(A347,'Subbu- Mini Project EXcel Clean'!A347:A1346,'Subbu- Mini Project EXcel Clean'!M347:M1346," ",0)</f>
        <v>81.7</v>
      </c>
      <c r="F347">
        <f>_xlfn.XLOOKUP(A347,'Subbu- Mini Project EXcel Clean'!A347:A1346,'Subbu- Mini Project EXcel Clean'!P347:P1346," ",0)</f>
        <v>1</v>
      </c>
      <c r="G347" t="str">
        <f>_xlfn.XLOOKUP(A347,'Subbu- Mini Project EXcel Clean'!A347:A1346,'Subbu- Mini Project EXcel Clean'!Q347:Q1346," ",0)</f>
        <v>Low</v>
      </c>
      <c r="H347">
        <f>VLOOKUP(A347,'Subbu- Mini Project EXcel Clean'!A346:R1346,15,FALSE)</f>
        <v>4</v>
      </c>
    </row>
    <row r="348" spans="1:8" x14ac:dyDescent="0.25">
      <c r="A348" t="s">
        <v>376</v>
      </c>
      <c r="B348">
        <f>_xlfn.XLOOKUP(A348,'Subbu- Mini Project EXcel Clean'!A348:A1347,'Subbu- Mini Project EXcel Clean'!I348:I1347,"Entry Level",0)</f>
        <v>3</v>
      </c>
      <c r="C348" t="str">
        <f>_xlfn.XLOOKUP(A348,'Subbu- Mini Project EXcel Clean'!A348:A1347,'Subbu- Mini Project EXcel Clean'!J348:J1347," ",0)</f>
        <v>Excellent</v>
      </c>
      <c r="D348">
        <f>_xlfn.XLOOKUP(A348,'Subbu- Mini Project EXcel Clean'!A348:A1347,'Subbu- Mini Project EXcel Clean'!N348:N1347,"entry Level",0)</f>
        <v>7</v>
      </c>
      <c r="E348">
        <f>_xlfn.XLOOKUP(A348,'Subbu- Mini Project EXcel Clean'!A348:A1347,'Subbu- Mini Project EXcel Clean'!M348:M1347," ",0)</f>
        <v>88.3</v>
      </c>
      <c r="F348">
        <f>_xlfn.XLOOKUP(A348,'Subbu- Mini Project EXcel Clean'!A348:A1347,'Subbu- Mini Project EXcel Clean'!P348:P1347," ",0)</f>
        <v>2</v>
      </c>
      <c r="G348" t="str">
        <f>_xlfn.XLOOKUP(A348,'Subbu- Mini Project EXcel Clean'!A348:A1347,'Subbu- Mini Project EXcel Clean'!Q348:Q1347," ",0)</f>
        <v>Low</v>
      </c>
      <c r="H348">
        <f>VLOOKUP(A348,'Subbu- Mini Project EXcel Clean'!A347:R1347,15,FALSE)</f>
        <v>2.7</v>
      </c>
    </row>
    <row r="349" spans="1:8" x14ac:dyDescent="0.25">
      <c r="A349" t="s">
        <v>377</v>
      </c>
      <c r="B349">
        <f>_xlfn.XLOOKUP(A349,'Subbu- Mini Project EXcel Clean'!A349:A1348,'Subbu- Mini Project EXcel Clean'!I349:I1348,"Entry Level",0)</f>
        <v>1</v>
      </c>
      <c r="C349" t="str">
        <f>_xlfn.XLOOKUP(A349,'Subbu- Mini Project EXcel Clean'!A349:A1348,'Subbu- Mini Project EXcel Clean'!J349:J1348," ",0)</f>
        <v>Consistent</v>
      </c>
      <c r="D349">
        <f>_xlfn.XLOOKUP(A349,'Subbu- Mini Project EXcel Clean'!A349:A1348,'Subbu- Mini Project EXcel Clean'!N349:N1348,"entry Level",0)</f>
        <v>6.2</v>
      </c>
      <c r="E349">
        <f>_xlfn.XLOOKUP(A349,'Subbu- Mini Project EXcel Clean'!A349:A1348,'Subbu- Mini Project EXcel Clean'!M349:M1348," ",0)</f>
        <v>64</v>
      </c>
      <c r="F349">
        <f>_xlfn.XLOOKUP(A349,'Subbu- Mini Project EXcel Clean'!A349:A1348,'Subbu- Mini Project EXcel Clean'!P349:P1348," ",0)</f>
        <v>1</v>
      </c>
      <c r="G349" t="str">
        <f>_xlfn.XLOOKUP(A349,'Subbu- Mini Project EXcel Clean'!A349:A1348,'Subbu- Mini Project EXcel Clean'!Q349:Q1348," ",0)</f>
        <v>Low</v>
      </c>
      <c r="H349">
        <f>VLOOKUP(A349,'Subbu- Mini Project EXcel Clean'!A348:R1348,15,FALSE)</f>
        <v>3.9</v>
      </c>
    </row>
    <row r="350" spans="1:8" x14ac:dyDescent="0.25">
      <c r="A350" t="s">
        <v>378</v>
      </c>
      <c r="B350">
        <f>_xlfn.XLOOKUP(A350,'Subbu- Mini Project EXcel Clean'!A350:A1349,'Subbu- Mini Project EXcel Clean'!I350:I1349,"Entry Level",0)</f>
        <v>4</v>
      </c>
      <c r="C350" t="str">
        <f>_xlfn.XLOOKUP(A350,'Subbu- Mini Project EXcel Clean'!A350:A1349,'Subbu- Mini Project EXcel Clean'!J350:J1349," ",0)</f>
        <v>Excellent</v>
      </c>
      <c r="D350">
        <f>_xlfn.XLOOKUP(A350,'Subbu- Mini Project EXcel Clean'!A350:A1349,'Subbu- Mini Project EXcel Clean'!N350:N1349,"entry Level",0)</f>
        <v>7.1</v>
      </c>
      <c r="E350">
        <f>_xlfn.XLOOKUP(A350,'Subbu- Mini Project EXcel Clean'!A350:A1349,'Subbu- Mini Project EXcel Clean'!M350:M1349," ",0)</f>
        <v>81</v>
      </c>
      <c r="F350">
        <f>_xlfn.XLOOKUP(A350,'Subbu- Mini Project EXcel Clean'!A350:A1349,'Subbu- Mini Project EXcel Clean'!P350:P1349," ",0)</f>
        <v>6</v>
      </c>
      <c r="G350" t="str">
        <f>_xlfn.XLOOKUP(A350,'Subbu- Mini Project EXcel Clean'!A350:A1349,'Subbu- Mini Project EXcel Clean'!Q350:Q1349," ",0)</f>
        <v>High</v>
      </c>
      <c r="H350">
        <f>VLOOKUP(A350,'Subbu- Mini Project EXcel Clean'!A349:R1349,15,FALSE)</f>
        <v>2.6</v>
      </c>
    </row>
    <row r="351" spans="1:8" x14ac:dyDescent="0.25">
      <c r="A351" t="s">
        <v>379</v>
      </c>
      <c r="B351">
        <f>_xlfn.XLOOKUP(A351,'Subbu- Mini Project EXcel Clean'!A351:A1350,'Subbu- Mini Project EXcel Clean'!I351:I1350,"Entry Level",0)</f>
        <v>5</v>
      </c>
      <c r="C351" t="str">
        <f>_xlfn.XLOOKUP(A351,'Subbu- Mini Project EXcel Clean'!A351:A1350,'Subbu- Mini Project EXcel Clean'!J351:J1350," ",0)</f>
        <v>Good</v>
      </c>
      <c r="D351">
        <f>_xlfn.XLOOKUP(A351,'Subbu- Mini Project EXcel Clean'!A351:A1350,'Subbu- Mini Project EXcel Clean'!N351:N1350,"entry Level",0)</f>
        <v>8.3000000000000007</v>
      </c>
      <c r="E351">
        <f>_xlfn.XLOOKUP(A351,'Subbu- Mini Project EXcel Clean'!A351:A1350,'Subbu- Mini Project EXcel Clean'!M351:M1350," ",0)</f>
        <v>98.4</v>
      </c>
      <c r="F351">
        <f>_xlfn.XLOOKUP(A351,'Subbu- Mini Project EXcel Clean'!A351:A1350,'Subbu- Mini Project EXcel Clean'!P351:P1350," ",0)</f>
        <v>4</v>
      </c>
      <c r="G351" t="str">
        <f>_xlfn.XLOOKUP(A351,'Subbu- Mini Project EXcel Clean'!A351:A1350,'Subbu- Mini Project EXcel Clean'!Q351:Q1350," ",0)</f>
        <v>Moderate</v>
      </c>
      <c r="H351">
        <f>VLOOKUP(A351,'Subbu- Mini Project EXcel Clean'!A350:R1350,15,FALSE)</f>
        <v>1.4</v>
      </c>
    </row>
    <row r="352" spans="1:8" x14ac:dyDescent="0.25">
      <c r="A352" t="s">
        <v>380</v>
      </c>
      <c r="B352">
        <f>_xlfn.XLOOKUP(A352,'Subbu- Mini Project EXcel Clean'!A352:A1351,'Subbu- Mini Project EXcel Clean'!I352:I1351,"Entry Level",0)</f>
        <v>3</v>
      </c>
      <c r="C352" t="str">
        <f>_xlfn.XLOOKUP(A352,'Subbu- Mini Project EXcel Clean'!A352:A1351,'Subbu- Mini Project EXcel Clean'!J352:J1351," ",0)</f>
        <v>Excellent</v>
      </c>
      <c r="D352">
        <f>_xlfn.XLOOKUP(A352,'Subbu- Mini Project EXcel Clean'!A352:A1351,'Subbu- Mini Project EXcel Clean'!N352:N1351,"entry Level",0)</f>
        <v>7.4</v>
      </c>
      <c r="E352">
        <f>_xlfn.XLOOKUP(A352,'Subbu- Mini Project EXcel Clean'!A352:A1351,'Subbu- Mini Project EXcel Clean'!M352:M1351," ",0)</f>
        <v>88.3</v>
      </c>
      <c r="F352">
        <f>_xlfn.XLOOKUP(A352,'Subbu- Mini Project EXcel Clean'!A352:A1351,'Subbu- Mini Project EXcel Clean'!P352:P1351," ",0)</f>
        <v>3</v>
      </c>
      <c r="G352" t="str">
        <f>_xlfn.XLOOKUP(A352,'Subbu- Mini Project EXcel Clean'!A352:A1351,'Subbu- Mini Project EXcel Clean'!Q352:Q1351," ",0)</f>
        <v>Low</v>
      </c>
      <c r="H352">
        <f>VLOOKUP(A352,'Subbu- Mini Project EXcel Clean'!A351:R1351,15,FALSE)</f>
        <v>2.1</v>
      </c>
    </row>
    <row r="353" spans="1:8" x14ac:dyDescent="0.25">
      <c r="A353" t="s">
        <v>381</v>
      </c>
      <c r="B353">
        <f>_xlfn.XLOOKUP(A353,'Subbu- Mini Project EXcel Clean'!A353:A1352,'Subbu- Mini Project EXcel Clean'!I353:I1352,"Entry Level",0)</f>
        <v>2</v>
      </c>
      <c r="C353" t="str">
        <f>_xlfn.XLOOKUP(A353,'Subbu- Mini Project EXcel Clean'!A353:A1352,'Subbu- Mini Project EXcel Clean'!J353:J1352," ",0)</f>
        <v>Consistent</v>
      </c>
      <c r="D353">
        <f>_xlfn.XLOOKUP(A353,'Subbu- Mini Project EXcel Clean'!A353:A1352,'Subbu- Mini Project EXcel Clean'!N353:N1352,"entry Level",0)</f>
        <v>7.4</v>
      </c>
      <c r="E353">
        <f>_xlfn.XLOOKUP(A353,'Subbu- Mini Project EXcel Clean'!A353:A1352,'Subbu- Mini Project EXcel Clean'!M353:M1352," ",0)</f>
        <v>63.2</v>
      </c>
      <c r="F353">
        <f>_xlfn.XLOOKUP(A353,'Subbu- Mini Project EXcel Clean'!A353:A1352,'Subbu- Mini Project EXcel Clean'!P353:P1352," ",0)</f>
        <v>2</v>
      </c>
      <c r="G353" t="str">
        <f>_xlfn.XLOOKUP(A353,'Subbu- Mini Project EXcel Clean'!A353:A1352,'Subbu- Mini Project EXcel Clean'!Q353:Q1352," ",0)</f>
        <v>Low</v>
      </c>
      <c r="H353">
        <f>VLOOKUP(A353,'Subbu- Mini Project EXcel Clean'!A352:R1352,15,FALSE)</f>
        <v>1.9</v>
      </c>
    </row>
    <row r="354" spans="1:8" x14ac:dyDescent="0.25">
      <c r="A354" t="s">
        <v>382</v>
      </c>
      <c r="B354">
        <f>_xlfn.XLOOKUP(A354,'Subbu- Mini Project EXcel Clean'!A354:A1353,'Subbu- Mini Project EXcel Clean'!I354:I1353,"Entry Level",0)</f>
        <v>3</v>
      </c>
      <c r="C354" t="str">
        <f>_xlfn.XLOOKUP(A354,'Subbu- Mini Project EXcel Clean'!A354:A1353,'Subbu- Mini Project EXcel Clean'!J354:J1353," ",0)</f>
        <v>Excellent</v>
      </c>
      <c r="D354">
        <f>_xlfn.XLOOKUP(A354,'Subbu- Mini Project EXcel Clean'!A354:A1353,'Subbu- Mini Project EXcel Clean'!N354:N1353,"entry Level",0)</f>
        <v>7.9</v>
      </c>
      <c r="E354">
        <f>_xlfn.XLOOKUP(A354,'Subbu- Mini Project EXcel Clean'!A354:A1353,'Subbu- Mini Project EXcel Clean'!M354:M1353," ",0)</f>
        <v>90</v>
      </c>
      <c r="F354">
        <f>_xlfn.XLOOKUP(A354,'Subbu- Mini Project EXcel Clean'!A354:A1353,'Subbu- Mini Project EXcel Clean'!P354:P1353," ",0)</f>
        <v>1</v>
      </c>
      <c r="G354" t="str">
        <f>_xlfn.XLOOKUP(A354,'Subbu- Mini Project EXcel Clean'!A354:A1353,'Subbu- Mini Project EXcel Clean'!Q354:Q1353," ",0)</f>
        <v>Low</v>
      </c>
      <c r="H354">
        <f>VLOOKUP(A354,'Subbu- Mini Project EXcel Clean'!A353:R1353,15,FALSE)</f>
        <v>3.1</v>
      </c>
    </row>
    <row r="355" spans="1:8" x14ac:dyDescent="0.25">
      <c r="A355" t="s">
        <v>383</v>
      </c>
      <c r="B355">
        <f>_xlfn.XLOOKUP(A355,'Subbu- Mini Project EXcel Clean'!A355:A1354,'Subbu- Mini Project EXcel Clean'!I355:I1354,"Entry Level",0)</f>
        <v>4</v>
      </c>
      <c r="C355" t="str">
        <f>_xlfn.XLOOKUP(A355,'Subbu- Mini Project EXcel Clean'!A355:A1354,'Subbu- Mini Project EXcel Clean'!J355:J1354," ",0)</f>
        <v>Good</v>
      </c>
      <c r="D355">
        <f>_xlfn.XLOOKUP(A355,'Subbu- Mini Project EXcel Clean'!A355:A1354,'Subbu- Mini Project EXcel Clean'!N355:N1354,"entry Level",0)</f>
        <v>6</v>
      </c>
      <c r="E355">
        <f>_xlfn.XLOOKUP(A355,'Subbu- Mini Project EXcel Clean'!A355:A1354,'Subbu- Mini Project EXcel Clean'!M355:M1354," ",0)</f>
        <v>97.1</v>
      </c>
      <c r="F355">
        <f>_xlfn.XLOOKUP(A355,'Subbu- Mini Project EXcel Clean'!A355:A1354,'Subbu- Mini Project EXcel Clean'!P355:P1354," ",0)</f>
        <v>6</v>
      </c>
      <c r="G355" t="str">
        <f>_xlfn.XLOOKUP(A355,'Subbu- Mini Project EXcel Clean'!A355:A1354,'Subbu- Mini Project EXcel Clean'!Q355:Q1354," ",0)</f>
        <v>Moderate</v>
      </c>
      <c r="H355">
        <f>VLOOKUP(A355,'Subbu- Mini Project EXcel Clean'!A354:R1354,15,FALSE)</f>
        <v>4.3</v>
      </c>
    </row>
    <row r="356" spans="1:8" x14ac:dyDescent="0.25">
      <c r="A356" t="s">
        <v>384</v>
      </c>
      <c r="B356">
        <f>_xlfn.XLOOKUP(A356,'Subbu- Mini Project EXcel Clean'!A356:A1355,'Subbu- Mini Project EXcel Clean'!I356:I1355,"Entry Level",0)</f>
        <v>3</v>
      </c>
      <c r="C356" t="str">
        <f>_xlfn.XLOOKUP(A356,'Subbu- Mini Project EXcel Clean'!A356:A1355,'Subbu- Mini Project EXcel Clean'!J356:J1355," ",0)</f>
        <v>Consistent</v>
      </c>
      <c r="D356">
        <f>_xlfn.XLOOKUP(A356,'Subbu- Mini Project EXcel Clean'!A356:A1355,'Subbu- Mini Project EXcel Clean'!N356:N1355,"entry Level",0)</f>
        <v>6.7</v>
      </c>
      <c r="E356">
        <f>_xlfn.XLOOKUP(A356,'Subbu- Mini Project EXcel Clean'!A356:A1355,'Subbu- Mini Project EXcel Clean'!M356:M1355," ",0)</f>
        <v>84.6</v>
      </c>
      <c r="F356">
        <f>_xlfn.XLOOKUP(A356,'Subbu- Mini Project EXcel Clean'!A356:A1355,'Subbu- Mini Project EXcel Clean'!P356:P1355," ",0)</f>
        <v>4</v>
      </c>
      <c r="G356" t="str">
        <f>_xlfn.XLOOKUP(A356,'Subbu- Mini Project EXcel Clean'!A356:A1355,'Subbu- Mini Project EXcel Clean'!Q356:Q1355," ",0)</f>
        <v>Moderate</v>
      </c>
      <c r="H356">
        <f>VLOOKUP(A356,'Subbu- Mini Project EXcel Clean'!A355:R1355,15,FALSE)</f>
        <v>2.2999999999999998</v>
      </c>
    </row>
    <row r="357" spans="1:8" x14ac:dyDescent="0.25">
      <c r="A357" t="s">
        <v>385</v>
      </c>
      <c r="B357">
        <f>_xlfn.XLOOKUP(A357,'Subbu- Mini Project EXcel Clean'!A357:A1356,'Subbu- Mini Project EXcel Clean'!I357:I1356,"Entry Level",0)</f>
        <v>5</v>
      </c>
      <c r="C357" t="str">
        <f>_xlfn.XLOOKUP(A357,'Subbu- Mini Project EXcel Clean'!A357:A1356,'Subbu- Mini Project EXcel Clean'!J357:J1356," ",0)</f>
        <v>Good</v>
      </c>
      <c r="D357">
        <f>_xlfn.XLOOKUP(A357,'Subbu- Mini Project EXcel Clean'!A357:A1356,'Subbu- Mini Project EXcel Clean'!N357:N1356,"entry Level",0)</f>
        <v>6.9</v>
      </c>
      <c r="E357">
        <f>_xlfn.XLOOKUP(A357,'Subbu- Mini Project EXcel Clean'!A357:A1356,'Subbu- Mini Project EXcel Clean'!M357:M1356," ",0)</f>
        <v>96.7</v>
      </c>
      <c r="F357">
        <f>_xlfn.XLOOKUP(A357,'Subbu- Mini Project EXcel Clean'!A357:A1356,'Subbu- Mini Project EXcel Clean'!P357:P1356," ",0)</f>
        <v>2</v>
      </c>
      <c r="G357" t="str">
        <f>_xlfn.XLOOKUP(A357,'Subbu- Mini Project EXcel Clean'!A357:A1356,'Subbu- Mini Project EXcel Clean'!Q357:Q1356," ",0)</f>
        <v>Low</v>
      </c>
      <c r="H357">
        <f>VLOOKUP(A357,'Subbu- Mini Project EXcel Clean'!A356:R1356,15,FALSE)</f>
        <v>1.1000000000000001</v>
      </c>
    </row>
    <row r="358" spans="1:8" x14ac:dyDescent="0.25">
      <c r="A358" t="s">
        <v>386</v>
      </c>
      <c r="B358">
        <f>_xlfn.XLOOKUP(A358,'Subbu- Mini Project EXcel Clean'!A358:A1357,'Subbu- Mini Project EXcel Clean'!I358:I1357,"Entry Level",0)</f>
        <v>4</v>
      </c>
      <c r="C358" t="str">
        <f>_xlfn.XLOOKUP(A358,'Subbu- Mini Project EXcel Clean'!A358:A1357,'Subbu- Mini Project EXcel Clean'!J358:J1357," ",0)</f>
        <v>Excellent</v>
      </c>
      <c r="D358">
        <f>_xlfn.XLOOKUP(A358,'Subbu- Mini Project EXcel Clean'!A358:A1357,'Subbu- Mini Project EXcel Clean'!N358:N1357,"entry Level",0)</f>
        <v>7.1</v>
      </c>
      <c r="E358">
        <f>_xlfn.XLOOKUP(A358,'Subbu- Mini Project EXcel Clean'!A358:A1357,'Subbu- Mini Project EXcel Clean'!M358:M1357," ",0)</f>
        <v>88.9</v>
      </c>
      <c r="F358">
        <f>_xlfn.XLOOKUP(A358,'Subbu- Mini Project EXcel Clean'!A358:A1357,'Subbu- Mini Project EXcel Clean'!P358:P1357," ",0)</f>
        <v>6</v>
      </c>
      <c r="G358" t="str">
        <f>_xlfn.XLOOKUP(A358,'Subbu- Mini Project EXcel Clean'!A358:A1357,'Subbu- Mini Project EXcel Clean'!Q358:Q1357," ",0)</f>
        <v>Moderate</v>
      </c>
      <c r="H358">
        <f>VLOOKUP(A358,'Subbu- Mini Project EXcel Clean'!A357:R1357,15,FALSE)</f>
        <v>3.6</v>
      </c>
    </row>
    <row r="359" spans="1:8" x14ac:dyDescent="0.25">
      <c r="A359" t="s">
        <v>387</v>
      </c>
      <c r="B359">
        <f>_xlfn.XLOOKUP(A359,'Subbu- Mini Project EXcel Clean'!A359:A1358,'Subbu- Mini Project EXcel Clean'!I359:I1358,"Entry Level",0)</f>
        <v>5</v>
      </c>
      <c r="C359" t="str">
        <f>_xlfn.XLOOKUP(A359,'Subbu- Mini Project EXcel Clean'!A359:A1358,'Subbu- Mini Project EXcel Clean'!J359:J1358," ",0)</f>
        <v>Good</v>
      </c>
      <c r="D359">
        <f>_xlfn.XLOOKUP(A359,'Subbu- Mini Project EXcel Clean'!A359:A1358,'Subbu- Mini Project EXcel Clean'!N359:N1358,"entry Level",0)</f>
        <v>6.9</v>
      </c>
      <c r="E359">
        <f>_xlfn.XLOOKUP(A359,'Subbu- Mini Project EXcel Clean'!A359:A1358,'Subbu- Mini Project EXcel Clean'!M359:M1358," ",0)</f>
        <v>103</v>
      </c>
      <c r="F359">
        <f>_xlfn.XLOOKUP(A359,'Subbu- Mini Project EXcel Clean'!A359:A1358,'Subbu- Mini Project EXcel Clean'!P359:P1358," ",0)</f>
        <v>4</v>
      </c>
      <c r="G359" t="str">
        <f>_xlfn.XLOOKUP(A359,'Subbu- Mini Project EXcel Clean'!A359:A1358,'Subbu- Mini Project EXcel Clean'!Q359:Q1358," ",0)</f>
        <v>Moderate</v>
      </c>
      <c r="H359">
        <f>VLOOKUP(A359,'Subbu- Mini Project EXcel Clean'!A358:R1358,15,FALSE)</f>
        <v>4</v>
      </c>
    </row>
    <row r="360" spans="1:8" x14ac:dyDescent="0.25">
      <c r="A360" t="s">
        <v>388</v>
      </c>
      <c r="B360">
        <f>_xlfn.XLOOKUP(A360,'Subbu- Mini Project EXcel Clean'!A360:A1359,'Subbu- Mini Project EXcel Clean'!I360:I1359,"Entry Level",0)</f>
        <v>4</v>
      </c>
      <c r="C360" t="str">
        <f>_xlfn.XLOOKUP(A360,'Subbu- Mini Project EXcel Clean'!A360:A1359,'Subbu- Mini Project EXcel Clean'!J360:J1359," ",0)</f>
        <v>Excellent</v>
      </c>
      <c r="D360">
        <f>_xlfn.XLOOKUP(A360,'Subbu- Mini Project EXcel Clean'!A360:A1359,'Subbu- Mini Project EXcel Clean'!N360:N1359,"entry Level",0)</f>
        <v>7</v>
      </c>
      <c r="E360">
        <f>_xlfn.XLOOKUP(A360,'Subbu- Mini Project EXcel Clean'!A360:A1359,'Subbu- Mini Project EXcel Clean'!M360:M1359," ",0)</f>
        <v>87.2</v>
      </c>
      <c r="F360">
        <f>_xlfn.XLOOKUP(A360,'Subbu- Mini Project EXcel Clean'!A360:A1359,'Subbu- Mini Project EXcel Clean'!P360:P1359," ",0)</f>
        <v>3</v>
      </c>
      <c r="G360" t="str">
        <f>_xlfn.XLOOKUP(A360,'Subbu- Mini Project EXcel Clean'!A360:A1359,'Subbu- Mini Project EXcel Clean'!Q360:Q1359," ",0)</f>
        <v>Moderate</v>
      </c>
      <c r="H360">
        <f>VLOOKUP(A360,'Subbu- Mini Project EXcel Clean'!A359:R1359,15,FALSE)</f>
        <v>5.8</v>
      </c>
    </row>
    <row r="361" spans="1:8" x14ac:dyDescent="0.25">
      <c r="A361" t="s">
        <v>389</v>
      </c>
      <c r="B361">
        <f>_xlfn.XLOOKUP(A361,'Subbu- Mini Project EXcel Clean'!A361:A1360,'Subbu- Mini Project EXcel Clean'!I361:I1360,"Entry Level",0)</f>
        <v>2</v>
      </c>
      <c r="C361" t="str">
        <f>_xlfn.XLOOKUP(A361,'Subbu- Mini Project EXcel Clean'!A361:A1360,'Subbu- Mini Project EXcel Clean'!J361:J1360," ",0)</f>
        <v>Consistent</v>
      </c>
      <c r="D361">
        <f>_xlfn.XLOOKUP(A361,'Subbu- Mini Project EXcel Clean'!A361:A1360,'Subbu- Mini Project EXcel Clean'!N361:N1360,"entry Level",0)</f>
        <v>6.9</v>
      </c>
      <c r="E361">
        <f>_xlfn.XLOOKUP(A361,'Subbu- Mini Project EXcel Clean'!A361:A1360,'Subbu- Mini Project EXcel Clean'!M361:M1360," ",0)</f>
        <v>62.7</v>
      </c>
      <c r="F361">
        <f>_xlfn.XLOOKUP(A361,'Subbu- Mini Project EXcel Clean'!A361:A1360,'Subbu- Mini Project EXcel Clean'!P361:P1360," ",0)</f>
        <v>3</v>
      </c>
      <c r="G361" t="str">
        <f>_xlfn.XLOOKUP(A361,'Subbu- Mini Project EXcel Clean'!A361:A1360,'Subbu- Mini Project EXcel Clean'!Q361:Q1360," ",0)</f>
        <v>Moderate</v>
      </c>
      <c r="H361">
        <f>VLOOKUP(A361,'Subbu- Mini Project EXcel Clean'!A360:R1360,15,FALSE)</f>
        <v>3.9</v>
      </c>
    </row>
    <row r="362" spans="1:8" x14ac:dyDescent="0.25">
      <c r="A362" t="s">
        <v>390</v>
      </c>
      <c r="B362">
        <f>_xlfn.XLOOKUP(A362,'Subbu- Mini Project EXcel Clean'!A362:A1361,'Subbu- Mini Project EXcel Clean'!I362:I1361,"Entry Level",0)</f>
        <v>2</v>
      </c>
      <c r="C362" t="str">
        <f>_xlfn.XLOOKUP(A362,'Subbu- Mini Project EXcel Clean'!A362:A1361,'Subbu- Mini Project EXcel Clean'!J362:J1361," ",0)</f>
        <v>Consistent</v>
      </c>
      <c r="D362">
        <f>_xlfn.XLOOKUP(A362,'Subbu- Mini Project EXcel Clean'!A362:A1361,'Subbu- Mini Project EXcel Clean'!N362:N1361,"entry Level",0)</f>
        <v>6.8</v>
      </c>
      <c r="E362">
        <f>_xlfn.XLOOKUP(A362,'Subbu- Mini Project EXcel Clean'!A362:A1361,'Subbu- Mini Project EXcel Clean'!M362:M1361," ",0)</f>
        <v>70.099999999999994</v>
      </c>
      <c r="F362">
        <f>_xlfn.XLOOKUP(A362,'Subbu- Mini Project EXcel Clean'!A362:A1361,'Subbu- Mini Project EXcel Clean'!P362:P1361," ",0)</f>
        <v>4</v>
      </c>
      <c r="G362" t="str">
        <f>_xlfn.XLOOKUP(A362,'Subbu- Mini Project EXcel Clean'!A362:A1361,'Subbu- Mini Project EXcel Clean'!Q362:Q1361," ",0)</f>
        <v>Moderate</v>
      </c>
      <c r="H362">
        <f>VLOOKUP(A362,'Subbu- Mini Project EXcel Clean'!A361:R1361,15,FALSE)</f>
        <v>3.4</v>
      </c>
    </row>
    <row r="363" spans="1:8" x14ac:dyDescent="0.25">
      <c r="A363" t="s">
        <v>391</v>
      </c>
      <c r="B363">
        <f>_xlfn.XLOOKUP(A363,'Subbu- Mini Project EXcel Clean'!A363:A1362,'Subbu- Mini Project EXcel Clean'!I363:I1362,"Entry Level",0)</f>
        <v>2</v>
      </c>
      <c r="C363" t="str">
        <f>_xlfn.XLOOKUP(A363,'Subbu- Mini Project EXcel Clean'!A363:A1362,'Subbu- Mini Project EXcel Clean'!J363:J1362," ",0)</f>
        <v>Consistent</v>
      </c>
      <c r="D363">
        <f>_xlfn.XLOOKUP(A363,'Subbu- Mini Project EXcel Clean'!A363:A1362,'Subbu- Mini Project EXcel Clean'!N363:N1362,"entry Level",0)</f>
        <v>6.8</v>
      </c>
      <c r="E363">
        <f>_xlfn.XLOOKUP(A363,'Subbu- Mini Project EXcel Clean'!A363:A1362,'Subbu- Mini Project EXcel Clean'!M363:M1362," ",0)</f>
        <v>69.3</v>
      </c>
      <c r="F363">
        <f>_xlfn.XLOOKUP(A363,'Subbu- Mini Project EXcel Clean'!A363:A1362,'Subbu- Mini Project EXcel Clean'!P363:P1362," ",0)</f>
        <v>2</v>
      </c>
      <c r="G363" t="str">
        <f>_xlfn.XLOOKUP(A363,'Subbu- Mini Project EXcel Clean'!A363:A1362,'Subbu- Mini Project EXcel Clean'!Q363:Q1362," ",0)</f>
        <v>Low</v>
      </c>
      <c r="H363">
        <f>VLOOKUP(A363,'Subbu- Mini Project EXcel Clean'!A362:R1362,15,FALSE)</f>
        <v>3.9</v>
      </c>
    </row>
    <row r="364" spans="1:8" x14ac:dyDescent="0.25">
      <c r="A364" t="s">
        <v>392</v>
      </c>
      <c r="B364">
        <f>_xlfn.XLOOKUP(A364,'Subbu- Mini Project EXcel Clean'!A364:A1363,'Subbu- Mini Project EXcel Clean'!I364:I1363,"Entry Level",0)</f>
        <v>5</v>
      </c>
      <c r="C364" t="str">
        <f>_xlfn.XLOOKUP(A364,'Subbu- Mini Project EXcel Clean'!A364:A1363,'Subbu- Mini Project EXcel Clean'!J364:J1363," ",0)</f>
        <v>Good</v>
      </c>
      <c r="D364">
        <f>_xlfn.XLOOKUP(A364,'Subbu- Mini Project EXcel Clean'!A364:A1363,'Subbu- Mini Project EXcel Clean'!N364:N1363,"entry Level",0)</f>
        <v>6.4</v>
      </c>
      <c r="E364">
        <f>_xlfn.XLOOKUP(A364,'Subbu- Mini Project EXcel Clean'!A364:A1363,'Subbu- Mini Project EXcel Clean'!M364:M1363," ",0)</f>
        <v>89.9</v>
      </c>
      <c r="F364">
        <f>_xlfn.XLOOKUP(A364,'Subbu- Mini Project EXcel Clean'!A364:A1363,'Subbu- Mini Project EXcel Clean'!P364:P1363," ",0)</f>
        <v>5</v>
      </c>
      <c r="G364" t="str">
        <f>_xlfn.XLOOKUP(A364,'Subbu- Mini Project EXcel Clean'!A364:A1363,'Subbu- Mini Project EXcel Clean'!Q364:Q1363," ",0)</f>
        <v>Moderate</v>
      </c>
      <c r="H364">
        <f>VLOOKUP(A364,'Subbu- Mini Project EXcel Clean'!A363:R1363,15,FALSE)</f>
        <v>5.6</v>
      </c>
    </row>
    <row r="365" spans="1:8" x14ac:dyDescent="0.25">
      <c r="A365" t="s">
        <v>393</v>
      </c>
      <c r="B365">
        <f>_xlfn.XLOOKUP(A365,'Subbu- Mini Project EXcel Clean'!A365:A1364,'Subbu- Mini Project EXcel Clean'!I365:I1364,"Entry Level",0)</f>
        <v>4</v>
      </c>
      <c r="C365" t="str">
        <f>_xlfn.XLOOKUP(A365,'Subbu- Mini Project EXcel Clean'!A365:A1364,'Subbu- Mini Project EXcel Clean'!J365:J1364," ",0)</f>
        <v>Excellent</v>
      </c>
      <c r="D365">
        <f>_xlfn.XLOOKUP(A365,'Subbu- Mini Project EXcel Clean'!A365:A1364,'Subbu- Mini Project EXcel Clean'!N365:N1364,"entry Level",0)</f>
        <v>5.6</v>
      </c>
      <c r="E365">
        <f>_xlfn.XLOOKUP(A365,'Subbu- Mini Project EXcel Clean'!A365:A1364,'Subbu- Mini Project EXcel Clean'!M365:M1364," ",0)</f>
        <v>89.7</v>
      </c>
      <c r="F365">
        <f>_xlfn.XLOOKUP(A365,'Subbu- Mini Project EXcel Clean'!A365:A1364,'Subbu- Mini Project EXcel Clean'!P365:P1364," ",0)</f>
        <v>1</v>
      </c>
      <c r="G365" t="str">
        <f>_xlfn.XLOOKUP(A365,'Subbu- Mini Project EXcel Clean'!A365:A1364,'Subbu- Mini Project EXcel Clean'!Q365:Q1364," ",0)</f>
        <v>Low</v>
      </c>
      <c r="H365">
        <f>VLOOKUP(A365,'Subbu- Mini Project EXcel Clean'!A364:R1364,15,FALSE)</f>
        <v>5.0999999999999996</v>
      </c>
    </row>
    <row r="366" spans="1:8" x14ac:dyDescent="0.25">
      <c r="A366" t="s">
        <v>394</v>
      </c>
      <c r="B366">
        <f>_xlfn.XLOOKUP(A366,'Subbu- Mini Project EXcel Clean'!A366:A1365,'Subbu- Mini Project EXcel Clean'!I366:I1365,"Entry Level",0)</f>
        <v>4</v>
      </c>
      <c r="C366" t="str">
        <f>_xlfn.XLOOKUP(A366,'Subbu- Mini Project EXcel Clean'!A366:A1365,'Subbu- Mini Project EXcel Clean'!J366:J1365," ",0)</f>
        <v>Excellent</v>
      </c>
      <c r="D366">
        <f>_xlfn.XLOOKUP(A366,'Subbu- Mini Project EXcel Clean'!A366:A1365,'Subbu- Mini Project EXcel Clean'!N366:N1365,"entry Level",0)</f>
        <v>8.6</v>
      </c>
      <c r="E366">
        <f>_xlfn.XLOOKUP(A366,'Subbu- Mini Project EXcel Clean'!A366:A1365,'Subbu- Mini Project EXcel Clean'!M366:M1365," ",0)</f>
        <v>92.5</v>
      </c>
      <c r="F366">
        <f>_xlfn.XLOOKUP(A366,'Subbu- Mini Project EXcel Clean'!A366:A1365,'Subbu- Mini Project EXcel Clean'!P366:P1365," ",0)</f>
        <v>4</v>
      </c>
      <c r="G366" t="str">
        <f>_xlfn.XLOOKUP(A366,'Subbu- Mini Project EXcel Clean'!A366:A1365,'Subbu- Mini Project EXcel Clean'!Q366:Q1365," ",0)</f>
        <v>Moderate</v>
      </c>
      <c r="H366">
        <f>VLOOKUP(A366,'Subbu- Mini Project EXcel Clean'!A365:R1365,15,FALSE)</f>
        <v>2.6</v>
      </c>
    </row>
    <row r="367" spans="1:8" x14ac:dyDescent="0.25">
      <c r="A367" t="s">
        <v>395</v>
      </c>
      <c r="B367">
        <f>_xlfn.XLOOKUP(A367,'Subbu- Mini Project EXcel Clean'!A367:A1366,'Subbu- Mini Project EXcel Clean'!I367:I1366,"Entry Level",0)</f>
        <v>2</v>
      </c>
      <c r="C367" t="str">
        <f>_xlfn.XLOOKUP(A367,'Subbu- Mini Project EXcel Clean'!A367:A1366,'Subbu- Mini Project EXcel Clean'!J367:J1366," ",0)</f>
        <v>Consistent</v>
      </c>
      <c r="D367">
        <f>_xlfn.XLOOKUP(A367,'Subbu- Mini Project EXcel Clean'!A367:A1366,'Subbu- Mini Project EXcel Clean'!N367:N1366,"entry Level",0)</f>
        <v>7.6</v>
      </c>
      <c r="E367">
        <f>_xlfn.XLOOKUP(A367,'Subbu- Mini Project EXcel Clean'!A367:A1366,'Subbu- Mini Project EXcel Clean'!M367:M1366," ",0)</f>
        <v>61.1</v>
      </c>
      <c r="F367">
        <f>_xlfn.XLOOKUP(A367,'Subbu- Mini Project EXcel Clean'!A367:A1366,'Subbu- Mini Project EXcel Clean'!P367:P1366," ",0)</f>
        <v>6</v>
      </c>
      <c r="G367" t="str">
        <f>_xlfn.XLOOKUP(A367,'Subbu- Mini Project EXcel Clean'!A367:A1366,'Subbu- Mini Project EXcel Clean'!Q367:Q1366," ",0)</f>
        <v>High</v>
      </c>
      <c r="H367">
        <f>VLOOKUP(A367,'Subbu- Mini Project EXcel Clean'!A366:R1366,15,FALSE)</f>
        <v>2.2000000000000002</v>
      </c>
    </row>
    <row r="368" spans="1:8" x14ac:dyDescent="0.25">
      <c r="A368" t="s">
        <v>396</v>
      </c>
      <c r="B368">
        <f>_xlfn.XLOOKUP(A368,'Subbu- Mini Project EXcel Clean'!A368:A1367,'Subbu- Mini Project EXcel Clean'!I368:I1367,"Entry Level",0)</f>
        <v>2</v>
      </c>
      <c r="C368" t="str">
        <f>_xlfn.XLOOKUP(A368,'Subbu- Mini Project EXcel Clean'!A368:A1367,'Subbu- Mini Project EXcel Clean'!J368:J1367," ",0)</f>
        <v>Consistent</v>
      </c>
      <c r="D368">
        <f>_xlfn.XLOOKUP(A368,'Subbu- Mini Project EXcel Clean'!A368:A1367,'Subbu- Mini Project EXcel Clean'!N368:N1367,"entry Level",0)</f>
        <v>7.4</v>
      </c>
      <c r="E368">
        <f>_xlfn.XLOOKUP(A368,'Subbu- Mini Project EXcel Clean'!A368:A1367,'Subbu- Mini Project EXcel Clean'!M368:M1367," ",0)</f>
        <v>75</v>
      </c>
      <c r="F368">
        <f>_xlfn.XLOOKUP(A368,'Subbu- Mini Project EXcel Clean'!A368:A1367,'Subbu- Mini Project EXcel Clean'!P368:P1367," ",0)</f>
        <v>5</v>
      </c>
      <c r="G368" t="str">
        <f>_xlfn.XLOOKUP(A368,'Subbu- Mini Project EXcel Clean'!A368:A1367,'Subbu- Mini Project EXcel Clean'!Q368:Q1367," ",0)</f>
        <v>Moderate</v>
      </c>
      <c r="H368">
        <f>VLOOKUP(A368,'Subbu- Mini Project EXcel Clean'!A367:R1367,15,FALSE)</f>
        <v>2.2999999999999998</v>
      </c>
    </row>
    <row r="369" spans="1:8" x14ac:dyDescent="0.25">
      <c r="A369" t="s">
        <v>397</v>
      </c>
      <c r="B369">
        <f>_xlfn.XLOOKUP(A369,'Subbu- Mini Project EXcel Clean'!A369:A1368,'Subbu- Mini Project EXcel Clean'!I369:I1368,"Entry Level",0)</f>
        <v>4</v>
      </c>
      <c r="C369" t="str">
        <f>_xlfn.XLOOKUP(A369,'Subbu- Mini Project EXcel Clean'!A369:A1368,'Subbu- Mini Project EXcel Clean'!J369:J1368," ",0)</f>
        <v>Excellent</v>
      </c>
      <c r="D369">
        <f>_xlfn.XLOOKUP(A369,'Subbu- Mini Project EXcel Clean'!A369:A1368,'Subbu- Mini Project EXcel Clean'!N369:N1368,"entry Level",0)</f>
        <v>7.3</v>
      </c>
      <c r="E369">
        <f>_xlfn.XLOOKUP(A369,'Subbu- Mini Project EXcel Clean'!A369:A1368,'Subbu- Mini Project EXcel Clean'!M369:M1368," ",0)</f>
        <v>95.9</v>
      </c>
      <c r="F369">
        <f>_xlfn.XLOOKUP(A369,'Subbu- Mini Project EXcel Clean'!A369:A1368,'Subbu- Mini Project EXcel Clean'!P369:P1368," ",0)</f>
        <v>7</v>
      </c>
      <c r="G369" t="str">
        <f>_xlfn.XLOOKUP(A369,'Subbu- Mini Project EXcel Clean'!A369:A1368,'Subbu- Mini Project EXcel Clean'!Q369:Q1368," ",0)</f>
        <v>High</v>
      </c>
      <c r="H369">
        <f>VLOOKUP(A369,'Subbu- Mini Project EXcel Clean'!A368:R1368,15,FALSE)</f>
        <v>3.5</v>
      </c>
    </row>
    <row r="370" spans="1:8" x14ac:dyDescent="0.25">
      <c r="A370" t="s">
        <v>398</v>
      </c>
      <c r="B370">
        <f>_xlfn.XLOOKUP(A370,'Subbu- Mini Project EXcel Clean'!A370:A1369,'Subbu- Mini Project EXcel Clean'!I370:I1369,"Entry Level",0)</f>
        <v>3</v>
      </c>
      <c r="C370" t="str">
        <f>_xlfn.XLOOKUP(A370,'Subbu- Mini Project EXcel Clean'!A370:A1369,'Subbu- Mini Project EXcel Clean'!J370:J1369," ",0)</f>
        <v>Consistent</v>
      </c>
      <c r="D370">
        <f>_xlfn.XLOOKUP(A370,'Subbu- Mini Project EXcel Clean'!A370:A1369,'Subbu- Mini Project EXcel Clean'!N370:N1369,"entry Level",0)</f>
        <v>6.9</v>
      </c>
      <c r="E370">
        <f>_xlfn.XLOOKUP(A370,'Subbu- Mini Project EXcel Clean'!A370:A1369,'Subbu- Mini Project EXcel Clean'!M370:M1369," ",0)</f>
        <v>76.7</v>
      </c>
      <c r="F370">
        <f>_xlfn.XLOOKUP(A370,'Subbu- Mini Project EXcel Clean'!A370:A1369,'Subbu- Mini Project EXcel Clean'!P370:P1369," ",0)</f>
        <v>4</v>
      </c>
      <c r="G370" t="str">
        <f>_xlfn.XLOOKUP(A370,'Subbu- Mini Project EXcel Clean'!A370:A1369,'Subbu- Mini Project EXcel Clean'!Q370:Q1369," ",0)</f>
        <v>Moderate</v>
      </c>
      <c r="H370">
        <f>VLOOKUP(A370,'Subbu- Mini Project EXcel Clean'!A369:R1369,15,FALSE)</f>
        <v>4.7</v>
      </c>
    </row>
    <row r="371" spans="1:8" x14ac:dyDescent="0.25">
      <c r="A371" t="s">
        <v>399</v>
      </c>
      <c r="B371">
        <f>_xlfn.XLOOKUP(A371,'Subbu- Mini Project EXcel Clean'!A371:A1370,'Subbu- Mini Project EXcel Clean'!I371:I1370,"Entry Level",0)</f>
        <v>2</v>
      </c>
      <c r="C371" t="str">
        <f>_xlfn.XLOOKUP(A371,'Subbu- Mini Project EXcel Clean'!A371:A1370,'Subbu- Mini Project EXcel Clean'!J371:J1370," ",0)</f>
        <v>Consistent</v>
      </c>
      <c r="D371">
        <f>_xlfn.XLOOKUP(A371,'Subbu- Mini Project EXcel Clean'!A371:A1370,'Subbu- Mini Project EXcel Clean'!N371:N1370,"entry Level",0)</f>
        <v>6.9</v>
      </c>
      <c r="E371">
        <f>_xlfn.XLOOKUP(A371,'Subbu- Mini Project EXcel Clean'!A371:A1370,'Subbu- Mini Project EXcel Clean'!M371:M1370," ",0)</f>
        <v>71.7</v>
      </c>
      <c r="F371">
        <f>_xlfn.XLOOKUP(A371,'Subbu- Mini Project EXcel Clean'!A371:A1370,'Subbu- Mini Project EXcel Clean'!P371:P1370," ",0)</f>
        <v>5</v>
      </c>
      <c r="G371" t="str">
        <f>_xlfn.XLOOKUP(A371,'Subbu- Mini Project EXcel Clean'!A371:A1370,'Subbu- Mini Project EXcel Clean'!Q371:Q1370," ",0)</f>
        <v>Moderate</v>
      </c>
      <c r="H371">
        <f>VLOOKUP(A371,'Subbu- Mini Project EXcel Clean'!A370:R1370,15,FALSE)</f>
        <v>3.5</v>
      </c>
    </row>
    <row r="372" spans="1:8" x14ac:dyDescent="0.25">
      <c r="A372" t="s">
        <v>400</v>
      </c>
      <c r="B372">
        <f>_xlfn.XLOOKUP(A372,'Subbu- Mini Project EXcel Clean'!A372:A1371,'Subbu- Mini Project EXcel Clean'!I372:I1371,"Entry Level",0)</f>
        <v>4</v>
      </c>
      <c r="C372" t="str">
        <f>_xlfn.XLOOKUP(A372,'Subbu- Mini Project EXcel Clean'!A372:A1371,'Subbu- Mini Project EXcel Clean'!J372:J1371," ",0)</f>
        <v>Excellent</v>
      </c>
      <c r="D372">
        <f>_xlfn.XLOOKUP(A372,'Subbu- Mini Project EXcel Clean'!A372:A1371,'Subbu- Mini Project EXcel Clean'!N372:N1371,"entry Level",0)</f>
        <v>7.3</v>
      </c>
      <c r="E372">
        <f>_xlfn.XLOOKUP(A372,'Subbu- Mini Project EXcel Clean'!A372:A1371,'Subbu- Mini Project EXcel Clean'!M372:M1371," ",0)</f>
        <v>84.7</v>
      </c>
      <c r="F372">
        <f>_xlfn.XLOOKUP(A372,'Subbu- Mini Project EXcel Clean'!A372:A1371,'Subbu- Mini Project EXcel Clean'!P372:P1371," ",0)</f>
        <v>4</v>
      </c>
      <c r="G372" t="str">
        <f>_xlfn.XLOOKUP(A372,'Subbu- Mini Project EXcel Clean'!A372:A1371,'Subbu- Mini Project EXcel Clean'!Q372:Q1371," ",0)</f>
        <v>Moderate</v>
      </c>
      <c r="H372">
        <f>VLOOKUP(A372,'Subbu- Mini Project EXcel Clean'!A371:R1371,15,FALSE)</f>
        <v>1.3</v>
      </c>
    </row>
    <row r="373" spans="1:8" x14ac:dyDescent="0.25">
      <c r="A373" t="s">
        <v>401</v>
      </c>
      <c r="B373">
        <f>_xlfn.XLOOKUP(A373,'Subbu- Mini Project EXcel Clean'!A373:A1372,'Subbu- Mini Project EXcel Clean'!I373:I1372,"Entry Level",0)</f>
        <v>1</v>
      </c>
      <c r="C373" t="str">
        <f>_xlfn.XLOOKUP(A373,'Subbu- Mini Project EXcel Clean'!A373:A1372,'Subbu- Mini Project EXcel Clean'!J373:J1372," ",0)</f>
        <v>Consistent</v>
      </c>
      <c r="D373">
        <f>_xlfn.XLOOKUP(A373,'Subbu- Mini Project EXcel Clean'!A373:A1372,'Subbu- Mini Project EXcel Clean'!N373:N1372,"entry Level",0)</f>
        <v>6.9</v>
      </c>
      <c r="E373">
        <f>_xlfn.XLOOKUP(A373,'Subbu- Mini Project EXcel Clean'!A373:A1372,'Subbu- Mini Project EXcel Clean'!M373:M1372," ",0)</f>
        <v>67.8</v>
      </c>
      <c r="F373">
        <f>_xlfn.XLOOKUP(A373,'Subbu- Mini Project EXcel Clean'!A373:A1372,'Subbu- Mini Project EXcel Clean'!P373:P1372," ",0)</f>
        <v>1</v>
      </c>
      <c r="G373" t="str">
        <f>_xlfn.XLOOKUP(A373,'Subbu- Mini Project EXcel Clean'!A373:A1372,'Subbu- Mini Project EXcel Clean'!Q373:Q1372," ",0)</f>
        <v>Low</v>
      </c>
      <c r="H373">
        <f>VLOOKUP(A373,'Subbu- Mini Project EXcel Clean'!A372:R1372,15,FALSE)</f>
        <v>4.5999999999999996</v>
      </c>
    </row>
    <row r="374" spans="1:8" x14ac:dyDescent="0.25">
      <c r="A374" t="s">
        <v>402</v>
      </c>
      <c r="B374">
        <f>_xlfn.XLOOKUP(A374,'Subbu- Mini Project EXcel Clean'!A374:A1373,'Subbu- Mini Project EXcel Clean'!I374:I1373,"Entry Level",0)</f>
        <v>2</v>
      </c>
      <c r="C374" t="str">
        <f>_xlfn.XLOOKUP(A374,'Subbu- Mini Project EXcel Clean'!A374:A1373,'Subbu- Mini Project EXcel Clean'!J374:J1373," ",0)</f>
        <v>Consistent</v>
      </c>
      <c r="D374">
        <f>_xlfn.XLOOKUP(A374,'Subbu- Mini Project EXcel Clean'!A374:A1373,'Subbu- Mini Project EXcel Clean'!N374:N1373,"entry Level",0)</f>
        <v>6.7</v>
      </c>
      <c r="E374">
        <f>_xlfn.XLOOKUP(A374,'Subbu- Mini Project EXcel Clean'!A374:A1373,'Subbu- Mini Project EXcel Clean'!M374:M1373," ",0)</f>
        <v>78</v>
      </c>
      <c r="F374">
        <f>_xlfn.XLOOKUP(A374,'Subbu- Mini Project EXcel Clean'!A374:A1373,'Subbu- Mini Project EXcel Clean'!P374:P1373," ",0)</f>
        <v>5</v>
      </c>
      <c r="G374" t="str">
        <f>_xlfn.XLOOKUP(A374,'Subbu- Mini Project EXcel Clean'!A374:A1373,'Subbu- Mini Project EXcel Clean'!Q374:Q1373," ",0)</f>
        <v>Moderate</v>
      </c>
      <c r="H374">
        <f>VLOOKUP(A374,'Subbu- Mini Project EXcel Clean'!A373:R1373,15,FALSE)</f>
        <v>5</v>
      </c>
    </row>
    <row r="375" spans="1:8" x14ac:dyDescent="0.25">
      <c r="A375" t="s">
        <v>403</v>
      </c>
      <c r="B375">
        <f>_xlfn.XLOOKUP(A375,'Subbu- Mini Project EXcel Clean'!A375:A1374,'Subbu- Mini Project EXcel Clean'!I375:I1374,"Entry Level",0)</f>
        <v>3</v>
      </c>
      <c r="C375" t="str">
        <f>_xlfn.XLOOKUP(A375,'Subbu- Mini Project EXcel Clean'!A375:A1374,'Subbu- Mini Project EXcel Clean'!J375:J1374," ",0)</f>
        <v>Consistent</v>
      </c>
      <c r="D375">
        <f>_xlfn.XLOOKUP(A375,'Subbu- Mini Project EXcel Clean'!A375:A1374,'Subbu- Mini Project EXcel Clean'!N375:N1374,"entry Level",0)</f>
        <v>6.9</v>
      </c>
      <c r="E375">
        <f>_xlfn.XLOOKUP(A375,'Subbu- Mini Project EXcel Clean'!A375:A1374,'Subbu- Mini Project EXcel Clean'!M375:M1374," ",0)</f>
        <v>71.7</v>
      </c>
      <c r="F375">
        <f>_xlfn.XLOOKUP(A375,'Subbu- Mini Project EXcel Clean'!A375:A1374,'Subbu- Mini Project EXcel Clean'!P375:P1374," ",0)</f>
        <v>5</v>
      </c>
      <c r="G375" t="str">
        <f>_xlfn.XLOOKUP(A375,'Subbu- Mini Project EXcel Clean'!A375:A1374,'Subbu- Mini Project EXcel Clean'!Q375:Q1374," ",0)</f>
        <v>Moderate</v>
      </c>
      <c r="H375">
        <f>VLOOKUP(A375,'Subbu- Mini Project EXcel Clean'!A374:R1374,15,FALSE)</f>
        <v>2.4</v>
      </c>
    </row>
    <row r="376" spans="1:8" x14ac:dyDescent="0.25">
      <c r="A376" t="s">
        <v>404</v>
      </c>
      <c r="B376">
        <f>_xlfn.XLOOKUP(A376,'Subbu- Mini Project EXcel Clean'!A376:A1375,'Subbu- Mini Project EXcel Clean'!I376:I1375,"Entry Level",0)</f>
        <v>2</v>
      </c>
      <c r="C376" t="str">
        <f>_xlfn.XLOOKUP(A376,'Subbu- Mini Project EXcel Clean'!A376:A1375,'Subbu- Mini Project EXcel Clean'!J376:J1375," ",0)</f>
        <v>Consistent</v>
      </c>
      <c r="D376">
        <f>_xlfn.XLOOKUP(A376,'Subbu- Mini Project EXcel Clean'!A376:A1375,'Subbu- Mini Project EXcel Clean'!N376:N1375,"entry Level",0)</f>
        <v>7.4</v>
      </c>
      <c r="E376">
        <f>_xlfn.XLOOKUP(A376,'Subbu- Mini Project EXcel Clean'!A376:A1375,'Subbu- Mini Project EXcel Clean'!M376:M1375," ",0)</f>
        <v>68.900000000000006</v>
      </c>
      <c r="F376">
        <f>_xlfn.XLOOKUP(A376,'Subbu- Mini Project EXcel Clean'!A376:A1375,'Subbu- Mini Project EXcel Clean'!P376:P1375," ",0)</f>
        <v>2</v>
      </c>
      <c r="G376" t="str">
        <f>_xlfn.XLOOKUP(A376,'Subbu- Mini Project EXcel Clean'!A376:A1375,'Subbu- Mini Project EXcel Clean'!Q376:Q1375," ",0)</f>
        <v>Low</v>
      </c>
      <c r="H376">
        <f>VLOOKUP(A376,'Subbu- Mini Project EXcel Clean'!A375:R1375,15,FALSE)</f>
        <v>4.3</v>
      </c>
    </row>
    <row r="377" spans="1:8" x14ac:dyDescent="0.25">
      <c r="A377" t="s">
        <v>405</v>
      </c>
      <c r="B377">
        <f>_xlfn.XLOOKUP(A377,'Subbu- Mini Project EXcel Clean'!A377:A1376,'Subbu- Mini Project EXcel Clean'!I377:I1376,"Entry Level",0)</f>
        <v>5</v>
      </c>
      <c r="C377" t="str">
        <f>_xlfn.XLOOKUP(A377,'Subbu- Mini Project EXcel Clean'!A377:A1376,'Subbu- Mini Project EXcel Clean'!J377:J1376," ",0)</f>
        <v>Good</v>
      </c>
      <c r="D377">
        <f>_xlfn.XLOOKUP(A377,'Subbu- Mini Project EXcel Clean'!A377:A1376,'Subbu- Mini Project EXcel Clean'!N377:N1376,"entry Level",0)</f>
        <v>7.2</v>
      </c>
      <c r="E377">
        <f>_xlfn.XLOOKUP(A377,'Subbu- Mini Project EXcel Clean'!A377:A1376,'Subbu- Mini Project EXcel Clean'!M377:M1376," ",0)</f>
        <v>98.4</v>
      </c>
      <c r="F377">
        <f>_xlfn.XLOOKUP(A377,'Subbu- Mini Project EXcel Clean'!A377:A1376,'Subbu- Mini Project EXcel Clean'!P377:P1376," ",0)</f>
        <v>1</v>
      </c>
      <c r="G377" t="str">
        <f>_xlfn.XLOOKUP(A377,'Subbu- Mini Project EXcel Clean'!A377:A1376,'Subbu- Mini Project EXcel Clean'!Q377:Q1376," ",0)</f>
        <v>Low</v>
      </c>
      <c r="H377">
        <f>VLOOKUP(A377,'Subbu- Mini Project EXcel Clean'!A376:R1376,15,FALSE)</f>
        <v>3.1</v>
      </c>
    </row>
    <row r="378" spans="1:8" x14ac:dyDescent="0.25">
      <c r="A378" t="s">
        <v>406</v>
      </c>
      <c r="B378">
        <f>_xlfn.XLOOKUP(A378,'Subbu- Mini Project EXcel Clean'!A378:A1377,'Subbu- Mini Project EXcel Clean'!I378:I1377,"Entry Level",0)</f>
        <v>2</v>
      </c>
      <c r="C378" t="str">
        <f>_xlfn.XLOOKUP(A378,'Subbu- Mini Project EXcel Clean'!A378:A1377,'Subbu- Mini Project EXcel Clean'!J378:J1377," ",0)</f>
        <v>Consistent</v>
      </c>
      <c r="D378">
        <f>_xlfn.XLOOKUP(A378,'Subbu- Mini Project EXcel Clean'!A378:A1377,'Subbu- Mini Project EXcel Clean'!N378:N1377,"entry Level",0)</f>
        <v>6.7</v>
      </c>
      <c r="E378">
        <f>_xlfn.XLOOKUP(A378,'Subbu- Mini Project EXcel Clean'!A378:A1377,'Subbu- Mini Project EXcel Clean'!M378:M1377," ",0)</f>
        <v>68.8</v>
      </c>
      <c r="F378">
        <f>_xlfn.XLOOKUP(A378,'Subbu- Mini Project EXcel Clean'!A378:A1377,'Subbu- Mini Project EXcel Clean'!P378:P1377," ",0)</f>
        <v>5</v>
      </c>
      <c r="G378" t="str">
        <f>_xlfn.XLOOKUP(A378,'Subbu- Mini Project EXcel Clean'!A378:A1377,'Subbu- Mini Project EXcel Clean'!Q378:Q1377," ",0)</f>
        <v>Moderate</v>
      </c>
      <c r="H378">
        <f>VLOOKUP(A378,'Subbu- Mini Project EXcel Clean'!A377:R1377,15,FALSE)</f>
        <v>5.4</v>
      </c>
    </row>
    <row r="379" spans="1:8" x14ac:dyDescent="0.25">
      <c r="A379" t="s">
        <v>407</v>
      </c>
      <c r="B379">
        <f>_xlfn.XLOOKUP(A379,'Subbu- Mini Project EXcel Clean'!A379:A1378,'Subbu- Mini Project EXcel Clean'!I379:I1378,"Entry Level",0)</f>
        <v>2</v>
      </c>
      <c r="C379" t="str">
        <f>_xlfn.XLOOKUP(A379,'Subbu- Mini Project EXcel Clean'!A379:A1378,'Subbu- Mini Project EXcel Clean'!J379:J1378," ",0)</f>
        <v>Consistent</v>
      </c>
      <c r="D379">
        <f>_xlfn.XLOOKUP(A379,'Subbu- Mini Project EXcel Clean'!A379:A1378,'Subbu- Mini Project EXcel Clean'!N379:N1378,"entry Level",0)</f>
        <v>7.1</v>
      </c>
      <c r="E379">
        <f>_xlfn.XLOOKUP(A379,'Subbu- Mini Project EXcel Clean'!A379:A1378,'Subbu- Mini Project EXcel Clean'!M379:M1378," ",0)</f>
        <v>61.6</v>
      </c>
      <c r="F379">
        <f>_xlfn.XLOOKUP(A379,'Subbu- Mini Project EXcel Clean'!A379:A1378,'Subbu- Mini Project EXcel Clean'!P379:P1378," ",0)</f>
        <v>5</v>
      </c>
      <c r="G379" t="str">
        <f>_xlfn.XLOOKUP(A379,'Subbu- Mini Project EXcel Clean'!A379:A1378,'Subbu- Mini Project EXcel Clean'!Q379:Q1378," ",0)</f>
        <v>Moderate</v>
      </c>
      <c r="H379">
        <f>VLOOKUP(A379,'Subbu- Mini Project EXcel Clean'!A378:R1378,15,FALSE)</f>
        <v>5.2</v>
      </c>
    </row>
    <row r="380" spans="1:8" x14ac:dyDescent="0.25">
      <c r="A380" t="s">
        <v>408</v>
      </c>
      <c r="B380">
        <f>_xlfn.XLOOKUP(A380,'Subbu- Mini Project EXcel Clean'!A380:A1379,'Subbu- Mini Project EXcel Clean'!I380:I1379,"Entry Level",0)</f>
        <v>2</v>
      </c>
      <c r="C380" t="str">
        <f>_xlfn.XLOOKUP(A380,'Subbu- Mini Project EXcel Clean'!A380:A1379,'Subbu- Mini Project EXcel Clean'!J380:J1379," ",0)</f>
        <v>Consistent</v>
      </c>
      <c r="D380">
        <f>_xlfn.XLOOKUP(A380,'Subbu- Mini Project EXcel Clean'!A380:A1379,'Subbu- Mini Project EXcel Clean'!N380:N1379,"entry Level",0)</f>
        <v>6.9</v>
      </c>
      <c r="E380">
        <f>_xlfn.XLOOKUP(A380,'Subbu- Mini Project EXcel Clean'!A380:A1379,'Subbu- Mini Project EXcel Clean'!M380:M1379," ",0)</f>
        <v>76.900000000000006</v>
      </c>
      <c r="F380">
        <f>_xlfn.XLOOKUP(A380,'Subbu- Mini Project EXcel Clean'!A380:A1379,'Subbu- Mini Project EXcel Clean'!P380:P1379," ",0)</f>
        <v>2</v>
      </c>
      <c r="G380" t="str">
        <f>_xlfn.XLOOKUP(A380,'Subbu- Mini Project EXcel Clean'!A380:A1379,'Subbu- Mini Project EXcel Clean'!Q380:Q1379," ",0)</f>
        <v>Low</v>
      </c>
      <c r="H380">
        <f>VLOOKUP(A380,'Subbu- Mini Project EXcel Clean'!A379:R1379,15,FALSE)</f>
        <v>3.6</v>
      </c>
    </row>
    <row r="381" spans="1:8" x14ac:dyDescent="0.25">
      <c r="A381" t="s">
        <v>409</v>
      </c>
      <c r="B381">
        <f>_xlfn.XLOOKUP(A381,'Subbu- Mini Project EXcel Clean'!A381:A1380,'Subbu- Mini Project EXcel Clean'!I381:I1380,"Entry Level",0)</f>
        <v>4</v>
      </c>
      <c r="C381" t="str">
        <f>_xlfn.XLOOKUP(A381,'Subbu- Mini Project EXcel Clean'!A381:A1380,'Subbu- Mini Project EXcel Clean'!J381:J1380," ",0)</f>
        <v>Good</v>
      </c>
      <c r="D381">
        <f>_xlfn.XLOOKUP(A381,'Subbu- Mini Project EXcel Clean'!A381:A1380,'Subbu- Mini Project EXcel Clean'!N381:N1380,"entry Level",0)</f>
        <v>6.8</v>
      </c>
      <c r="E381">
        <f>_xlfn.XLOOKUP(A381,'Subbu- Mini Project EXcel Clean'!A381:A1380,'Subbu- Mini Project EXcel Clean'!M381:M1380," ",0)</f>
        <v>96</v>
      </c>
      <c r="F381">
        <f>_xlfn.XLOOKUP(A381,'Subbu- Mini Project EXcel Clean'!A381:A1380,'Subbu- Mini Project EXcel Clean'!P381:P1380," ",0)</f>
        <v>6</v>
      </c>
      <c r="G381" t="str">
        <f>_xlfn.XLOOKUP(A381,'Subbu- Mini Project EXcel Clean'!A381:A1380,'Subbu- Mini Project EXcel Clean'!Q381:Q1380," ",0)</f>
        <v>Moderate</v>
      </c>
      <c r="H381">
        <f>VLOOKUP(A381,'Subbu- Mini Project EXcel Clean'!A380:R1380,15,FALSE)</f>
        <v>4.5</v>
      </c>
    </row>
    <row r="382" spans="1:8" x14ac:dyDescent="0.25">
      <c r="A382" t="s">
        <v>410</v>
      </c>
      <c r="B382">
        <f>_xlfn.XLOOKUP(A382,'Subbu- Mini Project EXcel Clean'!A382:A1381,'Subbu- Mini Project EXcel Clean'!I382:I1381,"Entry Level",0)</f>
        <v>3</v>
      </c>
      <c r="C382" t="str">
        <f>_xlfn.XLOOKUP(A382,'Subbu- Mini Project EXcel Clean'!A382:A1381,'Subbu- Mini Project EXcel Clean'!J382:J1381," ",0)</f>
        <v>Consistent</v>
      </c>
      <c r="D382">
        <f>_xlfn.XLOOKUP(A382,'Subbu- Mini Project EXcel Clean'!A382:A1381,'Subbu- Mini Project EXcel Clean'!N382:N1381,"entry Level",0)</f>
        <v>6.8</v>
      </c>
      <c r="E382">
        <f>_xlfn.XLOOKUP(A382,'Subbu- Mini Project EXcel Clean'!A382:A1381,'Subbu- Mini Project EXcel Clean'!M382:M1381," ",0)</f>
        <v>73.3</v>
      </c>
      <c r="F382">
        <f>_xlfn.XLOOKUP(A382,'Subbu- Mini Project EXcel Clean'!A382:A1381,'Subbu- Mini Project EXcel Clean'!P382:P1381," ",0)</f>
        <v>1</v>
      </c>
      <c r="G382" t="str">
        <f>_xlfn.XLOOKUP(A382,'Subbu- Mini Project EXcel Clean'!A382:A1381,'Subbu- Mini Project EXcel Clean'!Q382:Q1381," ",0)</f>
        <v>Low</v>
      </c>
      <c r="H382">
        <f>VLOOKUP(A382,'Subbu- Mini Project EXcel Clean'!A381:R1381,15,FALSE)</f>
        <v>5.4</v>
      </c>
    </row>
    <row r="383" spans="1:8" x14ac:dyDescent="0.25">
      <c r="A383" t="s">
        <v>411</v>
      </c>
      <c r="B383">
        <f>_xlfn.XLOOKUP(A383,'Subbu- Mini Project EXcel Clean'!A383:A1382,'Subbu- Mini Project EXcel Clean'!I383:I1382,"Entry Level",0)</f>
        <v>3</v>
      </c>
      <c r="C383" t="str">
        <f>_xlfn.XLOOKUP(A383,'Subbu- Mini Project EXcel Clean'!A383:A1382,'Subbu- Mini Project EXcel Clean'!J383:J1382," ",0)</f>
        <v>Excellent</v>
      </c>
      <c r="D383">
        <f>_xlfn.XLOOKUP(A383,'Subbu- Mini Project EXcel Clean'!A383:A1382,'Subbu- Mini Project EXcel Clean'!N383:N1382,"entry Level",0)</f>
        <v>6.6</v>
      </c>
      <c r="E383">
        <f>_xlfn.XLOOKUP(A383,'Subbu- Mini Project EXcel Clean'!A383:A1382,'Subbu- Mini Project EXcel Clean'!M383:M1382," ",0)</f>
        <v>75.900000000000006</v>
      </c>
      <c r="F383">
        <f>_xlfn.XLOOKUP(A383,'Subbu- Mini Project EXcel Clean'!A383:A1382,'Subbu- Mini Project EXcel Clean'!P383:P1382," ",0)</f>
        <v>6</v>
      </c>
      <c r="G383" t="str">
        <f>_xlfn.XLOOKUP(A383,'Subbu- Mini Project EXcel Clean'!A383:A1382,'Subbu- Mini Project EXcel Clean'!Q383:Q1382," ",0)</f>
        <v>Moderate</v>
      </c>
      <c r="H383">
        <f>VLOOKUP(A383,'Subbu- Mini Project EXcel Clean'!A382:R1382,15,FALSE)</f>
        <v>3.5</v>
      </c>
    </row>
    <row r="384" spans="1:8" x14ac:dyDescent="0.25">
      <c r="A384" t="s">
        <v>412</v>
      </c>
      <c r="B384">
        <f>_xlfn.XLOOKUP(A384,'Subbu- Mini Project EXcel Clean'!A384:A1383,'Subbu- Mini Project EXcel Clean'!I384:I1383,"Entry Level",0)</f>
        <v>1</v>
      </c>
      <c r="C384" t="str">
        <f>_xlfn.XLOOKUP(A384,'Subbu- Mini Project EXcel Clean'!A384:A1383,'Subbu- Mini Project EXcel Clean'!J384:J1383," ",0)</f>
        <v>Consistent</v>
      </c>
      <c r="D384">
        <f>_xlfn.XLOOKUP(A384,'Subbu- Mini Project EXcel Clean'!A384:A1383,'Subbu- Mini Project EXcel Clean'!N384:N1383,"entry Level",0)</f>
        <v>7.3</v>
      </c>
      <c r="E384">
        <f>_xlfn.XLOOKUP(A384,'Subbu- Mini Project EXcel Clean'!A384:A1383,'Subbu- Mini Project EXcel Clean'!M384:M1383," ",0)</f>
        <v>58.9</v>
      </c>
      <c r="F384">
        <f>_xlfn.XLOOKUP(A384,'Subbu- Mini Project EXcel Clean'!A384:A1383,'Subbu- Mini Project EXcel Clean'!P384:P1383," ",0)</f>
        <v>1</v>
      </c>
      <c r="G384" t="str">
        <f>_xlfn.XLOOKUP(A384,'Subbu- Mini Project EXcel Clean'!A384:A1383,'Subbu- Mini Project EXcel Clean'!Q384:Q1383," ",0)</f>
        <v>Low</v>
      </c>
      <c r="H384">
        <f>VLOOKUP(A384,'Subbu- Mini Project EXcel Clean'!A383:R1383,15,FALSE)</f>
        <v>2.6</v>
      </c>
    </row>
    <row r="385" spans="1:8" x14ac:dyDescent="0.25">
      <c r="A385" t="s">
        <v>413</v>
      </c>
      <c r="B385">
        <f>_xlfn.XLOOKUP(A385,'Subbu- Mini Project EXcel Clean'!A385:A1384,'Subbu- Mini Project EXcel Clean'!I385:I1384,"Entry Level",0)</f>
        <v>1</v>
      </c>
      <c r="C385" t="str">
        <f>_xlfn.XLOOKUP(A385,'Subbu- Mini Project EXcel Clean'!A385:A1384,'Subbu- Mini Project EXcel Clean'!J385:J1384," ",0)</f>
        <v>Consistent</v>
      </c>
      <c r="D385">
        <f>_xlfn.XLOOKUP(A385,'Subbu- Mini Project EXcel Clean'!A385:A1384,'Subbu- Mini Project EXcel Clean'!N385:N1384,"entry Level",0)</f>
        <v>6.6</v>
      </c>
      <c r="E385">
        <f>_xlfn.XLOOKUP(A385,'Subbu- Mini Project EXcel Clean'!A385:A1384,'Subbu- Mini Project EXcel Clean'!M385:M1384," ",0)</f>
        <v>63.5</v>
      </c>
      <c r="F385">
        <f>_xlfn.XLOOKUP(A385,'Subbu- Mini Project EXcel Clean'!A385:A1384,'Subbu- Mini Project EXcel Clean'!P385:P1384," ",0)</f>
        <v>6</v>
      </c>
      <c r="G385" t="str">
        <f>_xlfn.XLOOKUP(A385,'Subbu- Mini Project EXcel Clean'!A385:A1384,'Subbu- Mini Project EXcel Clean'!Q385:Q1384," ",0)</f>
        <v>Moderate</v>
      </c>
      <c r="H385">
        <f>VLOOKUP(A385,'Subbu- Mini Project EXcel Clean'!A384:R1384,15,FALSE)</f>
        <v>4.8</v>
      </c>
    </row>
    <row r="386" spans="1:8" x14ac:dyDescent="0.25">
      <c r="A386" t="s">
        <v>414</v>
      </c>
      <c r="B386">
        <f>_xlfn.XLOOKUP(A386,'Subbu- Mini Project EXcel Clean'!A386:A1385,'Subbu- Mini Project EXcel Clean'!I386:I1385,"Entry Level",0)</f>
        <v>3</v>
      </c>
      <c r="C386" t="str">
        <f>_xlfn.XLOOKUP(A386,'Subbu- Mini Project EXcel Clean'!A386:A1385,'Subbu- Mini Project EXcel Clean'!J386:J1385," ",0)</f>
        <v>Consistent</v>
      </c>
      <c r="D386">
        <f>_xlfn.XLOOKUP(A386,'Subbu- Mini Project EXcel Clean'!A386:A1385,'Subbu- Mini Project EXcel Clean'!N386:N1385,"entry Level",0)</f>
        <v>6.9</v>
      </c>
      <c r="E386">
        <f>_xlfn.XLOOKUP(A386,'Subbu- Mini Project EXcel Clean'!A386:A1385,'Subbu- Mini Project EXcel Clean'!M386:M1385," ",0)</f>
        <v>79</v>
      </c>
      <c r="F386">
        <f>_xlfn.XLOOKUP(A386,'Subbu- Mini Project EXcel Clean'!A386:A1385,'Subbu- Mini Project EXcel Clean'!P386:P1385," ",0)</f>
        <v>1</v>
      </c>
      <c r="G386" t="str">
        <f>_xlfn.XLOOKUP(A386,'Subbu- Mini Project EXcel Clean'!A386:A1385,'Subbu- Mini Project EXcel Clean'!Q386:Q1385," ",0)</f>
        <v>Low</v>
      </c>
      <c r="H386">
        <f>VLOOKUP(A386,'Subbu- Mini Project EXcel Clean'!A385:R1385,15,FALSE)</f>
        <v>2.1</v>
      </c>
    </row>
    <row r="387" spans="1:8" x14ac:dyDescent="0.25">
      <c r="A387" t="s">
        <v>415</v>
      </c>
      <c r="B387">
        <f>_xlfn.XLOOKUP(A387,'Subbu- Mini Project EXcel Clean'!A387:A1386,'Subbu- Mini Project EXcel Clean'!I387:I1386,"Entry Level",0)</f>
        <v>4</v>
      </c>
      <c r="C387" t="str">
        <f>_xlfn.XLOOKUP(A387,'Subbu- Mini Project EXcel Clean'!A387:A1386,'Subbu- Mini Project EXcel Clean'!J387:J1386," ",0)</f>
        <v>Good</v>
      </c>
      <c r="D387">
        <f>_xlfn.XLOOKUP(A387,'Subbu- Mini Project EXcel Clean'!A387:A1386,'Subbu- Mini Project EXcel Clean'!N387:N1386,"entry Level",0)</f>
        <v>8.3000000000000007</v>
      </c>
      <c r="E387">
        <f>_xlfn.XLOOKUP(A387,'Subbu- Mini Project EXcel Clean'!A387:A1386,'Subbu- Mini Project EXcel Clean'!M387:M1386," ",0)</f>
        <v>98.9</v>
      </c>
      <c r="F387">
        <f>_xlfn.XLOOKUP(A387,'Subbu- Mini Project EXcel Clean'!A387:A1386,'Subbu- Mini Project EXcel Clean'!P387:P1386," ",0)</f>
        <v>3</v>
      </c>
      <c r="G387" t="str">
        <f>_xlfn.XLOOKUP(A387,'Subbu- Mini Project EXcel Clean'!A387:A1386,'Subbu- Mini Project EXcel Clean'!Q387:Q1386," ",0)</f>
        <v>Low</v>
      </c>
      <c r="H387">
        <f>VLOOKUP(A387,'Subbu- Mini Project EXcel Clean'!A386:R1386,15,FALSE)</f>
        <v>2.9</v>
      </c>
    </row>
    <row r="388" spans="1:8" x14ac:dyDescent="0.25">
      <c r="A388" t="s">
        <v>416</v>
      </c>
      <c r="B388">
        <f>_xlfn.XLOOKUP(A388,'Subbu- Mini Project EXcel Clean'!A388:A1387,'Subbu- Mini Project EXcel Clean'!I388:I1387,"Entry Level",0)</f>
        <v>5</v>
      </c>
      <c r="C388" t="str">
        <f>_xlfn.XLOOKUP(A388,'Subbu- Mini Project EXcel Clean'!A388:A1387,'Subbu- Mini Project EXcel Clean'!J388:J1387," ",0)</f>
        <v>Good</v>
      </c>
      <c r="D388">
        <f>_xlfn.XLOOKUP(A388,'Subbu- Mini Project EXcel Clean'!A388:A1387,'Subbu- Mini Project EXcel Clean'!N388:N1387,"entry Level",0)</f>
        <v>5.7</v>
      </c>
      <c r="E388">
        <f>_xlfn.XLOOKUP(A388,'Subbu- Mini Project EXcel Clean'!A388:A1387,'Subbu- Mini Project EXcel Clean'!M388:M1387," ",0)</f>
        <v>99.4</v>
      </c>
      <c r="F388">
        <f>_xlfn.XLOOKUP(A388,'Subbu- Mini Project EXcel Clean'!A388:A1387,'Subbu- Mini Project EXcel Clean'!P388:P1387," ",0)</f>
        <v>2</v>
      </c>
      <c r="G388" t="str">
        <f>_xlfn.XLOOKUP(A388,'Subbu- Mini Project EXcel Clean'!A388:A1387,'Subbu- Mini Project EXcel Clean'!Q388:Q1387," ",0)</f>
        <v>Low</v>
      </c>
      <c r="H388">
        <f>VLOOKUP(A388,'Subbu- Mini Project EXcel Clean'!A387:R1387,15,FALSE)</f>
        <v>5.3</v>
      </c>
    </row>
    <row r="389" spans="1:8" x14ac:dyDescent="0.25">
      <c r="A389" t="s">
        <v>417</v>
      </c>
      <c r="B389">
        <f>_xlfn.XLOOKUP(A389,'Subbu- Mini Project EXcel Clean'!A389:A1388,'Subbu- Mini Project EXcel Clean'!I389:I1388,"Entry Level",0)</f>
        <v>1</v>
      </c>
      <c r="C389" t="str">
        <f>_xlfn.XLOOKUP(A389,'Subbu- Mini Project EXcel Clean'!A389:A1388,'Subbu- Mini Project EXcel Clean'!J389:J1388," ",0)</f>
        <v>Consistent</v>
      </c>
      <c r="D389">
        <f>_xlfn.XLOOKUP(A389,'Subbu- Mini Project EXcel Clean'!A389:A1388,'Subbu- Mini Project EXcel Clean'!N389:N1388,"entry Level",0)</f>
        <v>6</v>
      </c>
      <c r="E389">
        <f>_xlfn.XLOOKUP(A389,'Subbu- Mini Project EXcel Clean'!A389:A1388,'Subbu- Mini Project EXcel Clean'!M389:M1388," ",0)</f>
        <v>68.3</v>
      </c>
      <c r="F389">
        <f>_xlfn.XLOOKUP(A389,'Subbu- Mini Project EXcel Clean'!A389:A1388,'Subbu- Mini Project EXcel Clean'!P389:P1388," ",0)</f>
        <v>4</v>
      </c>
      <c r="G389" t="str">
        <f>_xlfn.XLOOKUP(A389,'Subbu- Mini Project EXcel Clean'!A389:A1388,'Subbu- Mini Project EXcel Clean'!Q389:Q1388," ",0)</f>
        <v>Moderate</v>
      </c>
      <c r="H389">
        <f>VLOOKUP(A389,'Subbu- Mini Project EXcel Clean'!A388:R1388,15,FALSE)</f>
        <v>4.5999999999999996</v>
      </c>
    </row>
    <row r="390" spans="1:8" x14ac:dyDescent="0.25">
      <c r="A390" t="s">
        <v>418</v>
      </c>
      <c r="B390">
        <f>_xlfn.XLOOKUP(A390,'Subbu- Mini Project EXcel Clean'!A390:A1389,'Subbu- Mini Project EXcel Clean'!I390:I1389,"Entry Level",0)</f>
        <v>3</v>
      </c>
      <c r="C390" t="str">
        <f>_xlfn.XLOOKUP(A390,'Subbu- Mini Project EXcel Clean'!A390:A1389,'Subbu- Mini Project EXcel Clean'!J390:J1389," ",0)</f>
        <v>Excellent</v>
      </c>
      <c r="D390">
        <f>_xlfn.XLOOKUP(A390,'Subbu- Mini Project EXcel Clean'!A390:A1389,'Subbu- Mini Project EXcel Clean'!N390:N1389,"entry Level",0)</f>
        <v>7.8</v>
      </c>
      <c r="E390">
        <f>_xlfn.XLOOKUP(A390,'Subbu- Mini Project EXcel Clean'!A390:A1389,'Subbu- Mini Project EXcel Clean'!M390:M1389," ",0)</f>
        <v>83.2</v>
      </c>
      <c r="F390">
        <f>_xlfn.XLOOKUP(A390,'Subbu- Mini Project EXcel Clean'!A390:A1389,'Subbu- Mini Project EXcel Clean'!P390:P1389," ",0)</f>
        <v>4</v>
      </c>
      <c r="G390" t="str">
        <f>_xlfn.XLOOKUP(A390,'Subbu- Mini Project EXcel Clean'!A390:A1389,'Subbu- Mini Project EXcel Clean'!Q390:Q1389," ",0)</f>
        <v>Moderate</v>
      </c>
      <c r="H390">
        <f>VLOOKUP(A390,'Subbu- Mini Project EXcel Clean'!A389:R1389,15,FALSE)</f>
        <v>3</v>
      </c>
    </row>
    <row r="391" spans="1:8" x14ac:dyDescent="0.25">
      <c r="A391" t="s">
        <v>419</v>
      </c>
      <c r="B391">
        <f>_xlfn.XLOOKUP(A391,'Subbu- Mini Project EXcel Clean'!A391:A1390,'Subbu- Mini Project EXcel Clean'!I391:I1390,"Entry Level",0)</f>
        <v>5</v>
      </c>
      <c r="C391" t="str">
        <f>_xlfn.XLOOKUP(A391,'Subbu- Mini Project EXcel Clean'!A391:A1390,'Subbu- Mini Project EXcel Clean'!J391:J1390," ",0)</f>
        <v>Good</v>
      </c>
      <c r="D391">
        <f>_xlfn.XLOOKUP(A391,'Subbu- Mini Project EXcel Clean'!A391:A1390,'Subbu- Mini Project EXcel Clean'!N391:N1390,"entry Level",0)</f>
        <v>7.7</v>
      </c>
      <c r="E391">
        <f>_xlfn.XLOOKUP(A391,'Subbu- Mini Project EXcel Clean'!A391:A1390,'Subbu- Mini Project EXcel Clean'!M391:M1390," ",0)</f>
        <v>89.6</v>
      </c>
      <c r="F391">
        <f>_xlfn.XLOOKUP(A391,'Subbu- Mini Project EXcel Clean'!A391:A1390,'Subbu- Mini Project EXcel Clean'!P391:P1390," ",0)</f>
        <v>1</v>
      </c>
      <c r="G391" t="str">
        <f>_xlfn.XLOOKUP(A391,'Subbu- Mini Project EXcel Clean'!A391:A1390,'Subbu- Mini Project EXcel Clean'!Q391:Q1390," ",0)</f>
        <v>Low</v>
      </c>
      <c r="H391">
        <f>VLOOKUP(A391,'Subbu- Mini Project EXcel Clean'!A390:R1390,15,FALSE)</f>
        <v>2.1</v>
      </c>
    </row>
    <row r="392" spans="1:8" x14ac:dyDescent="0.25">
      <c r="A392" t="s">
        <v>420</v>
      </c>
      <c r="B392">
        <f>_xlfn.XLOOKUP(A392,'Subbu- Mini Project EXcel Clean'!A392:A1391,'Subbu- Mini Project EXcel Clean'!I392:I1391,"Entry Level",0)</f>
        <v>3</v>
      </c>
      <c r="C392" t="str">
        <f>_xlfn.XLOOKUP(A392,'Subbu- Mini Project EXcel Clean'!A392:A1391,'Subbu- Mini Project EXcel Clean'!J392:J1391," ",0)</f>
        <v>Consistent</v>
      </c>
      <c r="D392">
        <f>_xlfn.XLOOKUP(A392,'Subbu- Mini Project EXcel Clean'!A392:A1391,'Subbu- Mini Project EXcel Clean'!N392:N1391,"entry Level",0)</f>
        <v>6.7</v>
      </c>
      <c r="E392">
        <f>_xlfn.XLOOKUP(A392,'Subbu- Mini Project EXcel Clean'!A392:A1391,'Subbu- Mini Project EXcel Clean'!M392:M1391," ",0)</f>
        <v>74.5</v>
      </c>
      <c r="F392">
        <f>_xlfn.XLOOKUP(A392,'Subbu- Mini Project EXcel Clean'!A392:A1391,'Subbu- Mini Project EXcel Clean'!P392:P1391," ",0)</f>
        <v>3</v>
      </c>
      <c r="G392" t="str">
        <f>_xlfn.XLOOKUP(A392,'Subbu- Mini Project EXcel Clean'!A392:A1391,'Subbu- Mini Project EXcel Clean'!Q392:Q1391," ",0)</f>
        <v>Moderate</v>
      </c>
      <c r="H392">
        <f>VLOOKUP(A392,'Subbu- Mini Project EXcel Clean'!A391:R1391,15,FALSE)</f>
        <v>2.8</v>
      </c>
    </row>
    <row r="393" spans="1:8" x14ac:dyDescent="0.25">
      <c r="A393" t="s">
        <v>421</v>
      </c>
      <c r="B393">
        <f>_xlfn.XLOOKUP(A393,'Subbu- Mini Project EXcel Clean'!A393:A1392,'Subbu- Mini Project EXcel Clean'!I393:I1392,"Entry Level",0)</f>
        <v>4</v>
      </c>
      <c r="C393" t="str">
        <f>_xlfn.XLOOKUP(A393,'Subbu- Mini Project EXcel Clean'!A393:A1392,'Subbu- Mini Project EXcel Clean'!J393:J1392," ",0)</f>
        <v>Good</v>
      </c>
      <c r="D393">
        <f>_xlfn.XLOOKUP(A393,'Subbu- Mini Project EXcel Clean'!A393:A1392,'Subbu- Mini Project EXcel Clean'!N393:N1392,"entry Level",0)</f>
        <v>7.6</v>
      </c>
      <c r="E393">
        <f>_xlfn.XLOOKUP(A393,'Subbu- Mini Project EXcel Clean'!A393:A1392,'Subbu- Mini Project EXcel Clean'!M393:M1392," ",0)</f>
        <v>98.5</v>
      </c>
      <c r="F393">
        <f>_xlfn.XLOOKUP(A393,'Subbu- Mini Project EXcel Clean'!A393:A1392,'Subbu- Mini Project EXcel Clean'!P393:P1392," ",0)</f>
        <v>1</v>
      </c>
      <c r="G393" t="str">
        <f>_xlfn.XLOOKUP(A393,'Subbu- Mini Project EXcel Clean'!A393:A1392,'Subbu- Mini Project EXcel Clean'!Q393:Q1392," ",0)</f>
        <v>Low</v>
      </c>
      <c r="H393">
        <f>VLOOKUP(A393,'Subbu- Mini Project EXcel Clean'!A392:R1392,15,FALSE)</f>
        <v>2.4</v>
      </c>
    </row>
    <row r="394" spans="1:8" x14ac:dyDescent="0.25">
      <c r="A394" t="s">
        <v>422</v>
      </c>
      <c r="B394">
        <f>_xlfn.XLOOKUP(A394,'Subbu- Mini Project EXcel Clean'!A394:A1393,'Subbu- Mini Project EXcel Clean'!I394:I1393,"Entry Level",0)</f>
        <v>2</v>
      </c>
      <c r="C394" t="str">
        <f>_xlfn.XLOOKUP(A394,'Subbu- Mini Project EXcel Clean'!A394:A1393,'Subbu- Mini Project EXcel Clean'!J394:J1393," ",0)</f>
        <v>Consistent</v>
      </c>
      <c r="D394">
        <f>_xlfn.XLOOKUP(A394,'Subbu- Mini Project EXcel Clean'!A394:A1393,'Subbu- Mini Project EXcel Clean'!N394:N1393,"entry Level",0)</f>
        <v>8.1999999999999993</v>
      </c>
      <c r="E394">
        <f>_xlfn.XLOOKUP(A394,'Subbu- Mini Project EXcel Clean'!A394:A1393,'Subbu- Mini Project EXcel Clean'!M394:M1393," ",0)</f>
        <v>65.099999999999994</v>
      </c>
      <c r="F394">
        <f>_xlfn.XLOOKUP(A394,'Subbu- Mini Project EXcel Clean'!A394:A1393,'Subbu- Mini Project EXcel Clean'!P394:P1393," ",0)</f>
        <v>4</v>
      </c>
      <c r="G394" t="str">
        <f>_xlfn.XLOOKUP(A394,'Subbu- Mini Project EXcel Clean'!A394:A1393,'Subbu- Mini Project EXcel Clean'!Q394:Q1393," ",0)</f>
        <v>Moderate</v>
      </c>
      <c r="H394">
        <f>VLOOKUP(A394,'Subbu- Mini Project EXcel Clean'!A393:R1393,15,FALSE)</f>
        <v>1.9</v>
      </c>
    </row>
    <row r="395" spans="1:8" x14ac:dyDescent="0.25">
      <c r="A395" t="s">
        <v>423</v>
      </c>
      <c r="B395">
        <f>_xlfn.XLOOKUP(A395,'Subbu- Mini Project EXcel Clean'!A395:A1394,'Subbu- Mini Project EXcel Clean'!I395:I1394,"Entry Level",0)</f>
        <v>5</v>
      </c>
      <c r="C395" t="str">
        <f>_xlfn.XLOOKUP(A395,'Subbu- Mini Project EXcel Clean'!A395:A1394,'Subbu- Mini Project EXcel Clean'!J395:J1394," ",0)</f>
        <v>Good</v>
      </c>
      <c r="D395">
        <f>_xlfn.XLOOKUP(A395,'Subbu- Mini Project EXcel Clean'!A395:A1394,'Subbu- Mini Project EXcel Clean'!N395:N1394,"entry Level",0)</f>
        <v>6.6</v>
      </c>
      <c r="E395">
        <f>_xlfn.XLOOKUP(A395,'Subbu- Mini Project EXcel Clean'!A395:A1394,'Subbu- Mini Project EXcel Clean'!M395:M1394," ",0)</f>
        <v>99.9</v>
      </c>
      <c r="F395">
        <f>_xlfn.XLOOKUP(A395,'Subbu- Mini Project EXcel Clean'!A395:A1394,'Subbu- Mini Project EXcel Clean'!P395:P1394," ",0)</f>
        <v>2</v>
      </c>
      <c r="G395" t="str">
        <f>_xlfn.XLOOKUP(A395,'Subbu- Mini Project EXcel Clean'!A395:A1394,'Subbu- Mini Project EXcel Clean'!Q395:Q1394," ",0)</f>
        <v>Low</v>
      </c>
      <c r="H395">
        <f>VLOOKUP(A395,'Subbu- Mini Project EXcel Clean'!A394:R1394,15,FALSE)</f>
        <v>4.7</v>
      </c>
    </row>
    <row r="396" spans="1:8" x14ac:dyDescent="0.25">
      <c r="A396" t="s">
        <v>424</v>
      </c>
      <c r="B396">
        <f>_xlfn.XLOOKUP(A396,'Subbu- Mini Project EXcel Clean'!A396:A1395,'Subbu- Mini Project EXcel Clean'!I396:I1395,"Entry Level",0)</f>
        <v>4</v>
      </c>
      <c r="C396" t="str">
        <f>_xlfn.XLOOKUP(A396,'Subbu- Mini Project EXcel Clean'!A396:A1395,'Subbu- Mini Project EXcel Clean'!J396:J1395," ",0)</f>
        <v>Excellent</v>
      </c>
      <c r="D396">
        <f>_xlfn.XLOOKUP(A396,'Subbu- Mini Project EXcel Clean'!A396:A1395,'Subbu- Mini Project EXcel Clean'!N396:N1395,"entry Level",0)</f>
        <v>8.6</v>
      </c>
      <c r="E396">
        <f>_xlfn.XLOOKUP(A396,'Subbu- Mini Project EXcel Clean'!A396:A1395,'Subbu- Mini Project EXcel Clean'!M396:M1395," ",0)</f>
        <v>88.5</v>
      </c>
      <c r="F396">
        <f>_xlfn.XLOOKUP(A396,'Subbu- Mini Project EXcel Clean'!A396:A1395,'Subbu- Mini Project EXcel Clean'!P396:P1395," ",0)</f>
        <v>4</v>
      </c>
      <c r="G396" t="str">
        <f>_xlfn.XLOOKUP(A396,'Subbu- Mini Project EXcel Clean'!A396:A1395,'Subbu- Mini Project EXcel Clean'!Q396:Q1395," ",0)</f>
        <v>Moderate</v>
      </c>
      <c r="H396">
        <f>VLOOKUP(A396,'Subbu- Mini Project EXcel Clean'!A395:R1395,15,FALSE)</f>
        <v>2.2999999999999998</v>
      </c>
    </row>
    <row r="397" spans="1:8" x14ac:dyDescent="0.25">
      <c r="A397" t="s">
        <v>425</v>
      </c>
      <c r="B397">
        <f>_xlfn.XLOOKUP(A397,'Subbu- Mini Project EXcel Clean'!A397:A1396,'Subbu- Mini Project EXcel Clean'!I397:I1396,"Entry Level",0)</f>
        <v>5</v>
      </c>
      <c r="C397" t="str">
        <f>_xlfn.XLOOKUP(A397,'Subbu- Mini Project EXcel Clean'!A397:A1396,'Subbu- Mini Project EXcel Clean'!J397:J1396," ",0)</f>
        <v>Good</v>
      </c>
      <c r="D397">
        <f>_xlfn.XLOOKUP(A397,'Subbu- Mini Project EXcel Clean'!A397:A1396,'Subbu- Mini Project EXcel Clean'!N397:N1396,"entry Level",0)</f>
        <v>6.2</v>
      </c>
      <c r="E397">
        <f>_xlfn.XLOOKUP(A397,'Subbu- Mini Project EXcel Clean'!A397:A1396,'Subbu- Mini Project EXcel Clean'!M397:M1396," ",0)</f>
        <v>92.5</v>
      </c>
      <c r="F397">
        <f>_xlfn.XLOOKUP(A397,'Subbu- Mini Project EXcel Clean'!A397:A1396,'Subbu- Mini Project EXcel Clean'!P397:P1396," ",0)</f>
        <v>1</v>
      </c>
      <c r="G397" t="str">
        <f>_xlfn.XLOOKUP(A397,'Subbu- Mini Project EXcel Clean'!A397:A1396,'Subbu- Mini Project EXcel Clean'!Q397:Q1396," ",0)</f>
        <v>Low</v>
      </c>
      <c r="H397">
        <f>VLOOKUP(A397,'Subbu- Mini Project EXcel Clean'!A396:R1396,15,FALSE)</f>
        <v>3.3</v>
      </c>
    </row>
    <row r="398" spans="1:8" x14ac:dyDescent="0.25">
      <c r="A398" t="s">
        <v>426</v>
      </c>
      <c r="B398">
        <f>_xlfn.XLOOKUP(A398,'Subbu- Mini Project EXcel Clean'!A398:A1397,'Subbu- Mini Project EXcel Clean'!I398:I1397,"Entry Level",0)</f>
        <v>4</v>
      </c>
      <c r="C398" t="str">
        <f>_xlfn.XLOOKUP(A398,'Subbu- Mini Project EXcel Clean'!A398:A1397,'Subbu- Mini Project EXcel Clean'!J398:J1397," ",0)</f>
        <v>Excellent</v>
      </c>
      <c r="D398">
        <f>_xlfn.XLOOKUP(A398,'Subbu- Mini Project EXcel Clean'!A398:A1397,'Subbu- Mini Project EXcel Clean'!N398:N1397,"entry Level",0)</f>
        <v>7.5</v>
      </c>
      <c r="E398">
        <f>_xlfn.XLOOKUP(A398,'Subbu- Mini Project EXcel Clean'!A398:A1397,'Subbu- Mini Project EXcel Clean'!M398:M1397," ",0)</f>
        <v>86.4</v>
      </c>
      <c r="F398">
        <f>_xlfn.XLOOKUP(A398,'Subbu- Mini Project EXcel Clean'!A398:A1397,'Subbu- Mini Project EXcel Clean'!P398:P1397," ",0)</f>
        <v>1</v>
      </c>
      <c r="G398" t="str">
        <f>_xlfn.XLOOKUP(A398,'Subbu- Mini Project EXcel Clean'!A398:A1397,'Subbu- Mini Project EXcel Clean'!Q398:Q1397," ",0)</f>
        <v>Low</v>
      </c>
      <c r="H398">
        <f>VLOOKUP(A398,'Subbu- Mini Project EXcel Clean'!A397:R1397,15,FALSE)</f>
        <v>2.9</v>
      </c>
    </row>
    <row r="399" spans="1:8" x14ac:dyDescent="0.25">
      <c r="A399" t="s">
        <v>427</v>
      </c>
      <c r="B399">
        <f>_xlfn.XLOOKUP(A399,'Subbu- Mini Project EXcel Clean'!A399:A1398,'Subbu- Mini Project EXcel Clean'!I399:I1398,"Entry Level",0)</f>
        <v>3</v>
      </c>
      <c r="C399" t="str">
        <f>_xlfn.XLOOKUP(A399,'Subbu- Mini Project EXcel Clean'!A399:A1398,'Subbu- Mini Project EXcel Clean'!J399:J1398," ",0)</f>
        <v>Consistent</v>
      </c>
      <c r="D399">
        <f>_xlfn.XLOOKUP(A399,'Subbu- Mini Project EXcel Clean'!A399:A1398,'Subbu- Mini Project EXcel Clean'!N399:N1398,"entry Level",0)</f>
        <v>6.8</v>
      </c>
      <c r="E399">
        <f>_xlfn.XLOOKUP(A399,'Subbu- Mini Project EXcel Clean'!A399:A1398,'Subbu- Mini Project EXcel Clean'!M399:M1398," ",0)</f>
        <v>76.099999999999994</v>
      </c>
      <c r="F399">
        <f>_xlfn.XLOOKUP(A399,'Subbu- Mini Project EXcel Clean'!A399:A1398,'Subbu- Mini Project EXcel Clean'!P399:P1398," ",0)</f>
        <v>3</v>
      </c>
      <c r="G399" t="str">
        <f>_xlfn.XLOOKUP(A399,'Subbu- Mini Project EXcel Clean'!A399:A1398,'Subbu- Mini Project EXcel Clean'!Q399:Q1398," ",0)</f>
        <v>Low</v>
      </c>
      <c r="H399">
        <f>VLOOKUP(A399,'Subbu- Mini Project EXcel Clean'!A398:R1398,15,FALSE)</f>
        <v>5.9</v>
      </c>
    </row>
    <row r="400" spans="1:8" x14ac:dyDescent="0.25">
      <c r="A400" t="s">
        <v>428</v>
      </c>
      <c r="B400">
        <f>_xlfn.XLOOKUP(A400,'Subbu- Mini Project EXcel Clean'!A400:A1399,'Subbu- Mini Project EXcel Clean'!I400:I1399,"Entry Level",0)</f>
        <v>5</v>
      </c>
      <c r="C400" t="str">
        <f>_xlfn.XLOOKUP(A400,'Subbu- Mini Project EXcel Clean'!A400:A1399,'Subbu- Mini Project EXcel Clean'!J400:J1399," ",0)</f>
        <v>Good</v>
      </c>
      <c r="D400">
        <f>_xlfn.XLOOKUP(A400,'Subbu- Mini Project EXcel Clean'!A400:A1399,'Subbu- Mini Project EXcel Clean'!N400:N1399,"entry Level",0)</f>
        <v>7.6</v>
      </c>
      <c r="E400">
        <f>_xlfn.XLOOKUP(A400,'Subbu- Mini Project EXcel Clean'!A400:A1399,'Subbu- Mini Project EXcel Clean'!M400:M1399," ",0)</f>
        <v>94.2</v>
      </c>
      <c r="F400">
        <f>_xlfn.XLOOKUP(A400,'Subbu- Mini Project EXcel Clean'!A400:A1399,'Subbu- Mini Project EXcel Clean'!P400:P1399," ",0)</f>
        <v>1</v>
      </c>
      <c r="G400" t="str">
        <f>_xlfn.XLOOKUP(A400,'Subbu- Mini Project EXcel Clean'!A400:A1399,'Subbu- Mini Project EXcel Clean'!Q400:Q1399," ",0)</f>
        <v>Low</v>
      </c>
      <c r="H400">
        <f>VLOOKUP(A400,'Subbu- Mini Project EXcel Clean'!A399:R1399,15,FALSE)</f>
        <v>3</v>
      </c>
    </row>
    <row r="401" spans="1:8" x14ac:dyDescent="0.25">
      <c r="A401" t="s">
        <v>429</v>
      </c>
      <c r="B401">
        <f>_xlfn.XLOOKUP(A401,'Subbu- Mini Project EXcel Clean'!A401:A1400,'Subbu- Mini Project EXcel Clean'!I401:I1400,"Entry Level",0)</f>
        <v>2</v>
      </c>
      <c r="C401" t="str">
        <f>_xlfn.XLOOKUP(A401,'Subbu- Mini Project EXcel Clean'!A401:A1400,'Subbu- Mini Project EXcel Clean'!J401:J1400," ",0)</f>
        <v>Consistent</v>
      </c>
      <c r="D401">
        <f>_xlfn.XLOOKUP(A401,'Subbu- Mini Project EXcel Clean'!A401:A1400,'Subbu- Mini Project EXcel Clean'!N401:N1400,"entry Level",0)</f>
        <v>7.5</v>
      </c>
      <c r="E401">
        <f>_xlfn.XLOOKUP(A401,'Subbu- Mini Project EXcel Clean'!A401:A1400,'Subbu- Mini Project EXcel Clean'!M401:M1400," ",0)</f>
        <v>69.8</v>
      </c>
      <c r="F401">
        <f>_xlfn.XLOOKUP(A401,'Subbu- Mini Project EXcel Clean'!A401:A1400,'Subbu- Mini Project EXcel Clean'!P401:P1400," ",0)</f>
        <v>1</v>
      </c>
      <c r="G401" t="str">
        <f>_xlfn.XLOOKUP(A401,'Subbu- Mini Project EXcel Clean'!A401:A1400,'Subbu- Mini Project EXcel Clean'!Q401:Q1400," ",0)</f>
        <v>Low</v>
      </c>
      <c r="H401">
        <f>VLOOKUP(A401,'Subbu- Mini Project EXcel Clean'!A400:R1400,15,FALSE)</f>
        <v>1.4</v>
      </c>
    </row>
    <row r="402" spans="1:8" x14ac:dyDescent="0.25">
      <c r="A402" t="s">
        <v>430</v>
      </c>
      <c r="B402">
        <f>_xlfn.XLOOKUP(A402,'Subbu- Mini Project EXcel Clean'!A402:A1401,'Subbu- Mini Project EXcel Clean'!I402:I1401,"Entry Level",0)</f>
        <v>2</v>
      </c>
      <c r="C402" t="str">
        <f>_xlfn.XLOOKUP(A402,'Subbu- Mini Project EXcel Clean'!A402:A1401,'Subbu- Mini Project EXcel Clean'!J402:J1401," ",0)</f>
        <v>Consistent</v>
      </c>
      <c r="D402">
        <f>_xlfn.XLOOKUP(A402,'Subbu- Mini Project EXcel Clean'!A402:A1401,'Subbu- Mini Project EXcel Clean'!N402:N1401,"entry Level",0)</f>
        <v>7.4</v>
      </c>
      <c r="E402">
        <f>_xlfn.XLOOKUP(A402,'Subbu- Mini Project EXcel Clean'!A402:A1401,'Subbu- Mini Project EXcel Clean'!M402:M1401," ",0)</f>
        <v>68.599999999999994</v>
      </c>
      <c r="F402">
        <f>_xlfn.XLOOKUP(A402,'Subbu- Mini Project EXcel Clean'!A402:A1401,'Subbu- Mini Project EXcel Clean'!P402:P1401," ",0)</f>
        <v>5</v>
      </c>
      <c r="G402" t="str">
        <f>_xlfn.XLOOKUP(A402,'Subbu- Mini Project EXcel Clean'!A402:A1401,'Subbu- Mini Project EXcel Clean'!Q402:Q1401," ",0)</f>
        <v>Moderate</v>
      </c>
      <c r="H402">
        <f>VLOOKUP(A402,'Subbu- Mini Project EXcel Clean'!A401:R1401,15,FALSE)</f>
        <v>1.4</v>
      </c>
    </row>
    <row r="403" spans="1:8" x14ac:dyDescent="0.25">
      <c r="A403" t="s">
        <v>431</v>
      </c>
      <c r="B403">
        <f>_xlfn.XLOOKUP(A403,'Subbu- Mini Project EXcel Clean'!A403:A1402,'Subbu- Mini Project EXcel Clean'!I403:I1402,"Entry Level",0)</f>
        <v>4</v>
      </c>
      <c r="C403" t="str">
        <f>_xlfn.XLOOKUP(A403,'Subbu- Mini Project EXcel Clean'!A403:A1402,'Subbu- Mini Project EXcel Clean'!J403:J1402," ",0)</f>
        <v>Excellent</v>
      </c>
      <c r="D403">
        <f>_xlfn.XLOOKUP(A403,'Subbu- Mini Project EXcel Clean'!A403:A1402,'Subbu- Mini Project EXcel Clean'!N403:N1402,"entry Level",0)</f>
        <v>7</v>
      </c>
      <c r="E403">
        <f>_xlfn.XLOOKUP(A403,'Subbu- Mini Project EXcel Clean'!A403:A1402,'Subbu- Mini Project EXcel Clean'!M403:M1402," ",0)</f>
        <v>93.6</v>
      </c>
      <c r="F403">
        <f>_xlfn.XLOOKUP(A403,'Subbu- Mini Project EXcel Clean'!A403:A1402,'Subbu- Mini Project EXcel Clean'!P403:P1402," ",0)</f>
        <v>5</v>
      </c>
      <c r="G403" t="str">
        <f>_xlfn.XLOOKUP(A403,'Subbu- Mini Project EXcel Clean'!A403:A1402,'Subbu- Mini Project EXcel Clean'!Q403:Q1402," ",0)</f>
        <v>Moderate</v>
      </c>
      <c r="H403">
        <f>VLOOKUP(A403,'Subbu- Mini Project EXcel Clean'!A402:R1402,15,FALSE)</f>
        <v>4</v>
      </c>
    </row>
    <row r="404" spans="1:8" x14ac:dyDescent="0.25">
      <c r="A404" t="s">
        <v>432</v>
      </c>
      <c r="B404">
        <f>_xlfn.XLOOKUP(A404,'Subbu- Mini Project EXcel Clean'!A404:A1403,'Subbu- Mini Project EXcel Clean'!I404:I1403,"Entry Level",0)</f>
        <v>4</v>
      </c>
      <c r="C404" t="str">
        <f>_xlfn.XLOOKUP(A404,'Subbu- Mini Project EXcel Clean'!A404:A1403,'Subbu- Mini Project EXcel Clean'!J404:J1403," ",0)</f>
        <v>Good</v>
      </c>
      <c r="D404">
        <f>_xlfn.XLOOKUP(A404,'Subbu- Mini Project EXcel Clean'!A404:A1403,'Subbu- Mini Project EXcel Clean'!N404:N1403,"entry Level",0)</f>
        <v>7.2</v>
      </c>
      <c r="E404">
        <f>_xlfn.XLOOKUP(A404,'Subbu- Mini Project EXcel Clean'!A404:A1403,'Subbu- Mini Project EXcel Clean'!M404:M1403," ",0)</f>
        <v>89.1</v>
      </c>
      <c r="F404">
        <f>_xlfn.XLOOKUP(A404,'Subbu- Mini Project EXcel Clean'!A404:A1403,'Subbu- Mini Project EXcel Clean'!P404:P1403," ",0)</f>
        <v>6</v>
      </c>
      <c r="G404" t="str">
        <f>_xlfn.XLOOKUP(A404,'Subbu- Mini Project EXcel Clean'!A404:A1403,'Subbu- Mini Project EXcel Clean'!Q404:Q1403," ",0)</f>
        <v>High</v>
      </c>
      <c r="H404">
        <f>VLOOKUP(A404,'Subbu- Mini Project EXcel Clean'!A403:R1403,15,FALSE)</f>
        <v>4</v>
      </c>
    </row>
    <row r="405" spans="1:8" x14ac:dyDescent="0.25">
      <c r="A405" t="s">
        <v>433</v>
      </c>
      <c r="B405">
        <f>_xlfn.XLOOKUP(A405,'Subbu- Mini Project EXcel Clean'!A405:A1404,'Subbu- Mini Project EXcel Clean'!I405:I1404,"Entry Level",0)</f>
        <v>5</v>
      </c>
      <c r="C405" t="str">
        <f>_xlfn.XLOOKUP(A405,'Subbu- Mini Project EXcel Clean'!A405:A1404,'Subbu- Mini Project EXcel Clean'!J405:J1404," ",0)</f>
        <v>Good</v>
      </c>
      <c r="D405">
        <f>_xlfn.XLOOKUP(A405,'Subbu- Mini Project EXcel Clean'!A405:A1404,'Subbu- Mini Project EXcel Clean'!N405:N1404,"entry Level",0)</f>
        <v>7.4</v>
      </c>
      <c r="E405">
        <f>_xlfn.XLOOKUP(A405,'Subbu- Mini Project EXcel Clean'!A405:A1404,'Subbu- Mini Project EXcel Clean'!M405:M1404," ",0)</f>
        <v>104.4</v>
      </c>
      <c r="F405">
        <f>_xlfn.XLOOKUP(A405,'Subbu- Mini Project EXcel Clean'!A405:A1404,'Subbu- Mini Project EXcel Clean'!P405:P1404," ",0)</f>
        <v>1</v>
      </c>
      <c r="G405" t="str">
        <f>_xlfn.XLOOKUP(A405,'Subbu- Mini Project EXcel Clean'!A405:A1404,'Subbu- Mini Project EXcel Clean'!Q405:Q1404," ",0)</f>
        <v>Low</v>
      </c>
      <c r="H405">
        <f>VLOOKUP(A405,'Subbu- Mini Project EXcel Clean'!A404:R1404,15,FALSE)</f>
        <v>3.1</v>
      </c>
    </row>
    <row r="406" spans="1:8" x14ac:dyDescent="0.25">
      <c r="A406" t="s">
        <v>434</v>
      </c>
      <c r="B406">
        <f>_xlfn.XLOOKUP(A406,'Subbu- Mini Project EXcel Clean'!A406:A1405,'Subbu- Mini Project EXcel Clean'!I406:I1405,"Entry Level",0)</f>
        <v>2</v>
      </c>
      <c r="C406" t="str">
        <f>_xlfn.XLOOKUP(A406,'Subbu- Mini Project EXcel Clean'!A406:A1405,'Subbu- Mini Project EXcel Clean'!J406:J1405," ",0)</f>
        <v>Consistent</v>
      </c>
      <c r="D406">
        <f>_xlfn.XLOOKUP(A406,'Subbu- Mini Project EXcel Clean'!A406:A1405,'Subbu- Mini Project EXcel Clean'!N406:N1405,"entry Level",0)</f>
        <v>7.6</v>
      </c>
      <c r="E406">
        <f>_xlfn.XLOOKUP(A406,'Subbu- Mini Project EXcel Clean'!A406:A1405,'Subbu- Mini Project EXcel Clean'!M406:M1405," ",0)</f>
        <v>75.8</v>
      </c>
      <c r="F406">
        <f>_xlfn.XLOOKUP(A406,'Subbu- Mini Project EXcel Clean'!A406:A1405,'Subbu- Mini Project EXcel Clean'!P406:P1405," ",0)</f>
        <v>5</v>
      </c>
      <c r="G406" t="str">
        <f>_xlfn.XLOOKUP(A406,'Subbu- Mini Project EXcel Clean'!A406:A1405,'Subbu- Mini Project EXcel Clean'!Q406:Q1405," ",0)</f>
        <v>Moderate</v>
      </c>
      <c r="H406">
        <f>VLOOKUP(A406,'Subbu- Mini Project EXcel Clean'!A405:R1405,15,FALSE)</f>
        <v>3.2</v>
      </c>
    </row>
    <row r="407" spans="1:8" x14ac:dyDescent="0.25">
      <c r="A407" t="s">
        <v>435</v>
      </c>
      <c r="B407">
        <f>_xlfn.XLOOKUP(A407,'Subbu- Mini Project EXcel Clean'!A407:A1406,'Subbu- Mini Project EXcel Clean'!I407:I1406,"Entry Level",0)</f>
        <v>4</v>
      </c>
      <c r="C407" t="str">
        <f>_xlfn.XLOOKUP(A407,'Subbu- Mini Project EXcel Clean'!A407:A1406,'Subbu- Mini Project EXcel Clean'!J407:J1406," ",0)</f>
        <v>Good</v>
      </c>
      <c r="D407">
        <f>_xlfn.XLOOKUP(A407,'Subbu- Mini Project EXcel Clean'!A407:A1406,'Subbu- Mini Project EXcel Clean'!N407:N1406,"entry Level",0)</f>
        <v>7.1</v>
      </c>
      <c r="E407">
        <f>_xlfn.XLOOKUP(A407,'Subbu- Mini Project EXcel Clean'!A407:A1406,'Subbu- Mini Project EXcel Clean'!M407:M1406," ",0)</f>
        <v>91.5</v>
      </c>
      <c r="F407">
        <f>_xlfn.XLOOKUP(A407,'Subbu- Mini Project EXcel Clean'!A407:A1406,'Subbu- Mini Project EXcel Clean'!P407:P1406," ",0)</f>
        <v>6</v>
      </c>
      <c r="G407" t="str">
        <f>_xlfn.XLOOKUP(A407,'Subbu- Mini Project EXcel Clean'!A407:A1406,'Subbu- Mini Project EXcel Clean'!Q407:Q1406," ",0)</f>
        <v>Moderate</v>
      </c>
      <c r="H407">
        <f>VLOOKUP(A407,'Subbu- Mini Project EXcel Clean'!A406:R1406,15,FALSE)</f>
        <v>1.3</v>
      </c>
    </row>
    <row r="408" spans="1:8" x14ac:dyDescent="0.25">
      <c r="A408" t="s">
        <v>436</v>
      </c>
      <c r="B408">
        <f>_xlfn.XLOOKUP(A408,'Subbu- Mini Project EXcel Clean'!A408:A1407,'Subbu- Mini Project EXcel Clean'!I408:I1407,"Entry Level",0)</f>
        <v>4</v>
      </c>
      <c r="C408" t="str">
        <f>_xlfn.XLOOKUP(A408,'Subbu- Mini Project EXcel Clean'!A408:A1407,'Subbu- Mini Project EXcel Clean'!J408:J1407," ",0)</f>
        <v>Excellent</v>
      </c>
      <c r="D408">
        <f>_xlfn.XLOOKUP(A408,'Subbu- Mini Project EXcel Clean'!A408:A1407,'Subbu- Mini Project EXcel Clean'!N408:N1407,"entry Level",0)</f>
        <v>6.8</v>
      </c>
      <c r="E408">
        <f>_xlfn.XLOOKUP(A408,'Subbu- Mini Project EXcel Clean'!A408:A1407,'Subbu- Mini Project EXcel Clean'!M408:M1407," ",0)</f>
        <v>84.5</v>
      </c>
      <c r="F408">
        <f>_xlfn.XLOOKUP(A408,'Subbu- Mini Project EXcel Clean'!A408:A1407,'Subbu- Mini Project EXcel Clean'!P408:P1407," ",0)</f>
        <v>4</v>
      </c>
      <c r="G408" t="str">
        <f>_xlfn.XLOOKUP(A408,'Subbu- Mini Project EXcel Clean'!A408:A1407,'Subbu- Mini Project EXcel Clean'!Q408:Q1407," ",0)</f>
        <v>Moderate</v>
      </c>
      <c r="H408">
        <f>VLOOKUP(A408,'Subbu- Mini Project EXcel Clean'!A407:R1407,15,FALSE)</f>
        <v>3.6</v>
      </c>
    </row>
    <row r="409" spans="1:8" x14ac:dyDescent="0.25">
      <c r="A409" t="s">
        <v>437</v>
      </c>
      <c r="B409">
        <f>_xlfn.XLOOKUP(A409,'Subbu- Mini Project EXcel Clean'!A409:A1408,'Subbu- Mini Project EXcel Clean'!I409:I1408,"Entry Level",0)</f>
        <v>1</v>
      </c>
      <c r="C409" t="str">
        <f>_xlfn.XLOOKUP(A409,'Subbu- Mini Project EXcel Clean'!A409:A1408,'Subbu- Mini Project EXcel Clean'!J409:J1408," ",0)</f>
        <v>Consistent</v>
      </c>
      <c r="D409">
        <f>_xlfn.XLOOKUP(A409,'Subbu- Mini Project EXcel Clean'!A409:A1408,'Subbu- Mini Project EXcel Clean'!N409:N1408,"entry Level",0)</f>
        <v>6.5</v>
      </c>
      <c r="E409">
        <f>_xlfn.XLOOKUP(A409,'Subbu- Mini Project EXcel Clean'!A409:A1408,'Subbu- Mini Project EXcel Clean'!M409:M1408," ",0)</f>
        <v>52.1</v>
      </c>
      <c r="F409">
        <f>_xlfn.XLOOKUP(A409,'Subbu- Mini Project EXcel Clean'!A409:A1408,'Subbu- Mini Project EXcel Clean'!P409:P1408," ",0)</f>
        <v>2</v>
      </c>
      <c r="G409" t="str">
        <f>_xlfn.XLOOKUP(A409,'Subbu- Mini Project EXcel Clean'!A409:A1408,'Subbu- Mini Project EXcel Clean'!Q409:Q1408," ",0)</f>
        <v>Low</v>
      </c>
      <c r="H409">
        <f>VLOOKUP(A409,'Subbu- Mini Project EXcel Clean'!A408:R1408,15,FALSE)</f>
        <v>3.5</v>
      </c>
    </row>
    <row r="410" spans="1:8" x14ac:dyDescent="0.25">
      <c r="A410" t="s">
        <v>438</v>
      </c>
      <c r="B410">
        <f>_xlfn.XLOOKUP(A410,'Subbu- Mini Project EXcel Clean'!A410:A1409,'Subbu- Mini Project EXcel Clean'!I410:I1409,"Entry Level",0)</f>
        <v>3</v>
      </c>
      <c r="C410" t="str">
        <f>_xlfn.XLOOKUP(A410,'Subbu- Mini Project EXcel Clean'!A410:A1409,'Subbu- Mini Project EXcel Clean'!J410:J1409," ",0)</f>
        <v>Consistent</v>
      </c>
      <c r="D410">
        <f>_xlfn.XLOOKUP(A410,'Subbu- Mini Project EXcel Clean'!A410:A1409,'Subbu- Mini Project EXcel Clean'!N410:N1409,"entry Level",0)</f>
        <v>7.3</v>
      </c>
      <c r="E410">
        <f>_xlfn.XLOOKUP(A410,'Subbu- Mini Project EXcel Clean'!A410:A1409,'Subbu- Mini Project EXcel Clean'!M410:M1409," ",0)</f>
        <v>68.099999999999994</v>
      </c>
      <c r="F410">
        <f>_xlfn.XLOOKUP(A410,'Subbu- Mini Project EXcel Clean'!A410:A1409,'Subbu- Mini Project EXcel Clean'!P410:P1409," ",0)</f>
        <v>1</v>
      </c>
      <c r="G410" t="str">
        <f>_xlfn.XLOOKUP(A410,'Subbu- Mini Project EXcel Clean'!A410:A1409,'Subbu- Mini Project EXcel Clean'!Q410:Q1409," ",0)</f>
        <v>Low</v>
      </c>
      <c r="H410">
        <f>VLOOKUP(A410,'Subbu- Mini Project EXcel Clean'!A409:R1409,15,FALSE)</f>
        <v>1.7</v>
      </c>
    </row>
    <row r="411" spans="1:8" x14ac:dyDescent="0.25">
      <c r="A411" t="s">
        <v>439</v>
      </c>
      <c r="B411">
        <f>_xlfn.XLOOKUP(A411,'Subbu- Mini Project EXcel Clean'!A411:A1410,'Subbu- Mini Project EXcel Clean'!I411:I1410,"Entry Level",0)</f>
        <v>2</v>
      </c>
      <c r="C411" t="str">
        <f>_xlfn.XLOOKUP(A411,'Subbu- Mini Project EXcel Clean'!A411:A1410,'Subbu- Mini Project EXcel Clean'!J411:J1410," ",0)</f>
        <v>Consistent</v>
      </c>
      <c r="D411">
        <f>_xlfn.XLOOKUP(A411,'Subbu- Mini Project EXcel Clean'!A411:A1410,'Subbu- Mini Project EXcel Clean'!N411:N1410,"entry Level",0)</f>
        <v>8.1</v>
      </c>
      <c r="E411">
        <f>_xlfn.XLOOKUP(A411,'Subbu- Mini Project EXcel Clean'!A411:A1410,'Subbu- Mini Project EXcel Clean'!M411:M1410," ",0)</f>
        <v>64.400000000000006</v>
      </c>
      <c r="F411">
        <f>_xlfn.XLOOKUP(A411,'Subbu- Mini Project EXcel Clean'!A411:A1410,'Subbu- Mini Project EXcel Clean'!P411:P1410," ",0)</f>
        <v>1</v>
      </c>
      <c r="G411" t="str">
        <f>_xlfn.XLOOKUP(A411,'Subbu- Mini Project EXcel Clean'!A411:A1410,'Subbu- Mini Project EXcel Clean'!Q411:Q1410," ",0)</f>
        <v>Low</v>
      </c>
      <c r="H411">
        <f>VLOOKUP(A411,'Subbu- Mini Project EXcel Clean'!A410:R1410,15,FALSE)</f>
        <v>1.5</v>
      </c>
    </row>
    <row r="412" spans="1:8" x14ac:dyDescent="0.25">
      <c r="A412" t="s">
        <v>440</v>
      </c>
      <c r="B412">
        <f>_xlfn.XLOOKUP(A412,'Subbu- Mini Project EXcel Clean'!A412:A1411,'Subbu- Mini Project EXcel Clean'!I412:I1411,"Entry Level",0)</f>
        <v>2</v>
      </c>
      <c r="C412" t="str">
        <f>_xlfn.XLOOKUP(A412,'Subbu- Mini Project EXcel Clean'!A412:A1411,'Subbu- Mini Project EXcel Clean'!J412:J1411," ",0)</f>
        <v>Consistent</v>
      </c>
      <c r="D412">
        <f>_xlfn.XLOOKUP(A412,'Subbu- Mini Project EXcel Clean'!A412:A1411,'Subbu- Mini Project EXcel Clean'!N412:N1411,"entry Level",0)</f>
        <v>7.6</v>
      </c>
      <c r="E412">
        <f>_xlfn.XLOOKUP(A412,'Subbu- Mini Project EXcel Clean'!A412:A1411,'Subbu- Mini Project EXcel Clean'!M412:M1411," ",0)</f>
        <v>79.099999999999994</v>
      </c>
      <c r="F412">
        <f>_xlfn.XLOOKUP(A412,'Subbu- Mini Project EXcel Clean'!A412:A1411,'Subbu- Mini Project EXcel Clean'!P412:P1411," ",0)</f>
        <v>2</v>
      </c>
      <c r="G412" t="str">
        <f>_xlfn.XLOOKUP(A412,'Subbu- Mini Project EXcel Clean'!A412:A1411,'Subbu- Mini Project EXcel Clean'!Q412:Q1411," ",0)</f>
        <v>Low</v>
      </c>
      <c r="H412">
        <f>VLOOKUP(A412,'Subbu- Mini Project EXcel Clean'!A411:R1411,15,FALSE)</f>
        <v>1.6</v>
      </c>
    </row>
    <row r="413" spans="1:8" x14ac:dyDescent="0.25">
      <c r="A413" t="s">
        <v>441</v>
      </c>
      <c r="B413">
        <f>_xlfn.XLOOKUP(A413,'Subbu- Mini Project EXcel Clean'!A413:A1412,'Subbu- Mini Project EXcel Clean'!I413:I1412,"Entry Level",0)</f>
        <v>5</v>
      </c>
      <c r="C413" t="str">
        <f>_xlfn.XLOOKUP(A413,'Subbu- Mini Project EXcel Clean'!A413:A1412,'Subbu- Mini Project EXcel Clean'!J413:J1412," ",0)</f>
        <v>Good</v>
      </c>
      <c r="D413">
        <f>_xlfn.XLOOKUP(A413,'Subbu- Mini Project EXcel Clean'!A413:A1412,'Subbu- Mini Project EXcel Clean'!N413:N1412,"entry Level",0)</f>
        <v>8.9</v>
      </c>
      <c r="E413">
        <f>_xlfn.XLOOKUP(A413,'Subbu- Mini Project EXcel Clean'!A413:A1412,'Subbu- Mini Project EXcel Clean'!M413:M1412," ",0)</f>
        <v>99.9</v>
      </c>
      <c r="F413">
        <f>_xlfn.XLOOKUP(A413,'Subbu- Mini Project EXcel Clean'!A413:A1412,'Subbu- Mini Project EXcel Clean'!P413:P1412," ",0)</f>
        <v>6</v>
      </c>
      <c r="G413" t="str">
        <f>_xlfn.XLOOKUP(A413,'Subbu- Mini Project EXcel Clean'!A413:A1412,'Subbu- Mini Project EXcel Clean'!Q413:Q1412," ",0)</f>
        <v>High</v>
      </c>
      <c r="H413">
        <f>VLOOKUP(A413,'Subbu- Mini Project EXcel Clean'!A412:R1412,15,FALSE)</f>
        <v>1.5</v>
      </c>
    </row>
    <row r="414" spans="1:8" x14ac:dyDescent="0.25">
      <c r="A414" t="s">
        <v>442</v>
      </c>
      <c r="B414">
        <f>_xlfn.XLOOKUP(A414,'Subbu- Mini Project EXcel Clean'!A414:A1413,'Subbu- Mini Project EXcel Clean'!I414:I1413,"Entry Level",0)</f>
        <v>4</v>
      </c>
      <c r="C414" t="str">
        <f>_xlfn.XLOOKUP(A414,'Subbu- Mini Project EXcel Clean'!A414:A1413,'Subbu- Mini Project EXcel Clean'!J414:J1413," ",0)</f>
        <v>Excellent</v>
      </c>
      <c r="D414">
        <f>_xlfn.XLOOKUP(A414,'Subbu- Mini Project EXcel Clean'!A414:A1413,'Subbu- Mini Project EXcel Clean'!N414:N1413,"entry Level",0)</f>
        <v>6.9</v>
      </c>
      <c r="E414">
        <f>_xlfn.XLOOKUP(A414,'Subbu- Mini Project EXcel Clean'!A414:A1413,'Subbu- Mini Project EXcel Clean'!M414:M1413," ",0)</f>
        <v>87.7</v>
      </c>
      <c r="F414">
        <f>_xlfn.XLOOKUP(A414,'Subbu- Mini Project EXcel Clean'!A414:A1413,'Subbu- Mini Project EXcel Clean'!P414:P1413," ",0)</f>
        <v>1</v>
      </c>
      <c r="G414" t="str">
        <f>_xlfn.XLOOKUP(A414,'Subbu- Mini Project EXcel Clean'!A414:A1413,'Subbu- Mini Project EXcel Clean'!Q414:Q1413," ",0)</f>
        <v>Low</v>
      </c>
      <c r="H414">
        <f>VLOOKUP(A414,'Subbu- Mini Project EXcel Clean'!A413:R1413,15,FALSE)</f>
        <v>4</v>
      </c>
    </row>
    <row r="415" spans="1:8" x14ac:dyDescent="0.25">
      <c r="A415" t="s">
        <v>443</v>
      </c>
      <c r="B415">
        <f>_xlfn.XLOOKUP(A415,'Subbu- Mini Project EXcel Clean'!A415:A1414,'Subbu- Mini Project EXcel Clean'!I415:I1414,"Entry Level",0)</f>
        <v>4</v>
      </c>
      <c r="C415" t="str">
        <f>_xlfn.XLOOKUP(A415,'Subbu- Mini Project EXcel Clean'!A415:A1414,'Subbu- Mini Project EXcel Clean'!J415:J1414," ",0)</f>
        <v>Excellent</v>
      </c>
      <c r="D415">
        <f>_xlfn.XLOOKUP(A415,'Subbu- Mini Project EXcel Clean'!A415:A1414,'Subbu- Mini Project EXcel Clean'!N415:N1414,"entry Level",0)</f>
        <v>7.4</v>
      </c>
      <c r="E415">
        <f>_xlfn.XLOOKUP(A415,'Subbu- Mini Project EXcel Clean'!A415:A1414,'Subbu- Mini Project EXcel Clean'!M415:M1414," ",0)</f>
        <v>77.599999999999994</v>
      </c>
      <c r="F415">
        <f>_xlfn.XLOOKUP(A415,'Subbu- Mini Project EXcel Clean'!A415:A1414,'Subbu- Mini Project EXcel Clean'!P415:P1414," ",0)</f>
        <v>3</v>
      </c>
      <c r="G415" t="str">
        <f>_xlfn.XLOOKUP(A415,'Subbu- Mini Project EXcel Clean'!A415:A1414,'Subbu- Mini Project EXcel Clean'!Q415:Q1414," ",0)</f>
        <v>Moderate</v>
      </c>
      <c r="H415">
        <f>VLOOKUP(A415,'Subbu- Mini Project EXcel Clean'!A414:R1414,15,FALSE)</f>
        <v>2</v>
      </c>
    </row>
    <row r="416" spans="1:8" x14ac:dyDescent="0.25">
      <c r="A416" t="s">
        <v>444</v>
      </c>
      <c r="B416">
        <f>_xlfn.XLOOKUP(A416,'Subbu- Mini Project EXcel Clean'!A416:A1415,'Subbu- Mini Project EXcel Clean'!I416:I1415,"Entry Level",0)</f>
        <v>5</v>
      </c>
      <c r="C416" t="str">
        <f>_xlfn.XLOOKUP(A416,'Subbu- Mini Project EXcel Clean'!A416:A1415,'Subbu- Mini Project EXcel Clean'!J416:J1415," ",0)</f>
        <v>Good</v>
      </c>
      <c r="D416">
        <f>_xlfn.XLOOKUP(A416,'Subbu- Mini Project EXcel Clean'!A416:A1415,'Subbu- Mini Project EXcel Clean'!N416:N1415,"entry Level",0)</f>
        <v>7.4</v>
      </c>
      <c r="E416">
        <f>_xlfn.XLOOKUP(A416,'Subbu- Mini Project EXcel Clean'!A416:A1415,'Subbu- Mini Project EXcel Clean'!M416:M1415," ",0)</f>
        <v>93.1</v>
      </c>
      <c r="F416">
        <f>_xlfn.XLOOKUP(A416,'Subbu- Mini Project EXcel Clean'!A416:A1415,'Subbu- Mini Project EXcel Clean'!P416:P1415," ",0)</f>
        <v>2</v>
      </c>
      <c r="G416" t="str">
        <f>_xlfn.XLOOKUP(A416,'Subbu- Mini Project EXcel Clean'!A416:A1415,'Subbu- Mini Project EXcel Clean'!Q416:Q1415," ",0)</f>
        <v>Low</v>
      </c>
      <c r="H416">
        <f>VLOOKUP(A416,'Subbu- Mini Project EXcel Clean'!A415:R1415,15,FALSE)</f>
        <v>2.2999999999999998</v>
      </c>
    </row>
    <row r="417" spans="1:8" x14ac:dyDescent="0.25">
      <c r="A417" t="s">
        <v>445</v>
      </c>
      <c r="B417">
        <f>_xlfn.XLOOKUP(A417,'Subbu- Mini Project EXcel Clean'!A417:A1416,'Subbu- Mini Project EXcel Clean'!I417:I1416,"Entry Level",0)</f>
        <v>3</v>
      </c>
      <c r="C417" t="str">
        <f>_xlfn.XLOOKUP(A417,'Subbu- Mini Project EXcel Clean'!A417:A1416,'Subbu- Mini Project EXcel Clean'!J417:J1416," ",0)</f>
        <v>Consistent</v>
      </c>
      <c r="D417">
        <f>_xlfn.XLOOKUP(A417,'Subbu- Mini Project EXcel Clean'!A417:A1416,'Subbu- Mini Project EXcel Clean'!N417:N1416,"entry Level",0)</f>
        <v>7.1</v>
      </c>
      <c r="E417">
        <f>_xlfn.XLOOKUP(A417,'Subbu- Mini Project EXcel Clean'!A417:A1416,'Subbu- Mini Project EXcel Clean'!M417:M1416," ",0)</f>
        <v>79.5</v>
      </c>
      <c r="F417">
        <f>_xlfn.XLOOKUP(A417,'Subbu- Mini Project EXcel Clean'!A417:A1416,'Subbu- Mini Project EXcel Clean'!P417:P1416," ",0)</f>
        <v>6</v>
      </c>
      <c r="G417" t="str">
        <f>_xlfn.XLOOKUP(A417,'Subbu- Mini Project EXcel Clean'!A417:A1416,'Subbu- Mini Project EXcel Clean'!Q417:Q1416," ",0)</f>
        <v>Moderate</v>
      </c>
      <c r="H417">
        <f>VLOOKUP(A417,'Subbu- Mini Project EXcel Clean'!A416:R1416,15,FALSE)</f>
        <v>1.9</v>
      </c>
    </row>
    <row r="418" spans="1:8" x14ac:dyDescent="0.25">
      <c r="A418" t="s">
        <v>446</v>
      </c>
      <c r="B418">
        <f>_xlfn.XLOOKUP(A418,'Subbu- Mini Project EXcel Clean'!A418:A1417,'Subbu- Mini Project EXcel Clean'!I418:I1417,"Entry Level",0)</f>
        <v>4</v>
      </c>
      <c r="C418" t="str">
        <f>_xlfn.XLOOKUP(A418,'Subbu- Mini Project EXcel Clean'!A418:A1417,'Subbu- Mini Project EXcel Clean'!J418:J1417," ",0)</f>
        <v>Good</v>
      </c>
      <c r="D418">
        <f>_xlfn.XLOOKUP(A418,'Subbu- Mini Project EXcel Clean'!A418:A1417,'Subbu- Mini Project EXcel Clean'!N418:N1417,"entry Level",0)</f>
        <v>6.2</v>
      </c>
      <c r="E418">
        <f>_xlfn.XLOOKUP(A418,'Subbu- Mini Project EXcel Clean'!A418:A1417,'Subbu- Mini Project EXcel Clean'!M418:M1417," ",0)</f>
        <v>93.5</v>
      </c>
      <c r="F418">
        <f>_xlfn.XLOOKUP(A418,'Subbu- Mini Project EXcel Clean'!A418:A1417,'Subbu- Mini Project EXcel Clean'!P418:P1417," ",0)</f>
        <v>2</v>
      </c>
      <c r="G418" t="str">
        <f>_xlfn.XLOOKUP(A418,'Subbu- Mini Project EXcel Clean'!A418:A1417,'Subbu- Mini Project EXcel Clean'!Q418:Q1417," ",0)</f>
        <v>Low</v>
      </c>
      <c r="H418">
        <f>VLOOKUP(A418,'Subbu- Mini Project EXcel Clean'!A417:R1417,15,FALSE)</f>
        <v>5.8</v>
      </c>
    </row>
    <row r="419" spans="1:8" x14ac:dyDescent="0.25">
      <c r="A419" t="s">
        <v>447</v>
      </c>
      <c r="B419">
        <f>_xlfn.XLOOKUP(A419,'Subbu- Mini Project EXcel Clean'!A419:A1418,'Subbu- Mini Project EXcel Clean'!I419:I1418,"Entry Level",0)</f>
        <v>3</v>
      </c>
      <c r="C419" t="str">
        <f>_xlfn.XLOOKUP(A419,'Subbu- Mini Project EXcel Clean'!A419:A1418,'Subbu- Mini Project EXcel Clean'!J419:J1418," ",0)</f>
        <v>Consistent</v>
      </c>
      <c r="D419">
        <f>_xlfn.XLOOKUP(A419,'Subbu- Mini Project EXcel Clean'!A419:A1418,'Subbu- Mini Project EXcel Clean'!N419:N1418,"entry Level",0)</f>
        <v>7</v>
      </c>
      <c r="E419">
        <f>_xlfn.XLOOKUP(A419,'Subbu- Mini Project EXcel Clean'!A419:A1418,'Subbu- Mini Project EXcel Clean'!M419:M1418," ",0)</f>
        <v>76.599999999999994</v>
      </c>
      <c r="F419">
        <f>_xlfn.XLOOKUP(A419,'Subbu- Mini Project EXcel Clean'!A419:A1418,'Subbu- Mini Project EXcel Clean'!P419:P1418," ",0)</f>
        <v>4</v>
      </c>
      <c r="G419" t="str">
        <f>_xlfn.XLOOKUP(A419,'Subbu- Mini Project EXcel Clean'!A419:A1418,'Subbu- Mini Project EXcel Clean'!Q419:Q1418," ",0)</f>
        <v>Moderate</v>
      </c>
      <c r="H419">
        <f>VLOOKUP(A419,'Subbu- Mini Project EXcel Clean'!A418:R1418,15,FALSE)</f>
        <v>5.3</v>
      </c>
    </row>
    <row r="420" spans="1:8" x14ac:dyDescent="0.25">
      <c r="A420" t="s">
        <v>448</v>
      </c>
      <c r="B420">
        <f>_xlfn.XLOOKUP(A420,'Subbu- Mini Project EXcel Clean'!A420:A1419,'Subbu- Mini Project EXcel Clean'!I420:I1419,"Entry Level",0)</f>
        <v>5</v>
      </c>
      <c r="C420" t="str">
        <f>_xlfn.XLOOKUP(A420,'Subbu- Mini Project EXcel Clean'!A420:A1419,'Subbu- Mini Project EXcel Clean'!J420:J1419," ",0)</f>
        <v>Good</v>
      </c>
      <c r="D420">
        <f>_xlfn.XLOOKUP(A420,'Subbu- Mini Project EXcel Clean'!A420:A1419,'Subbu- Mini Project EXcel Clean'!N420:N1419,"entry Level",0)</f>
        <v>7.4</v>
      </c>
      <c r="E420">
        <f>_xlfn.XLOOKUP(A420,'Subbu- Mini Project EXcel Clean'!A420:A1419,'Subbu- Mini Project EXcel Clean'!M420:M1419," ",0)</f>
        <v>97.6</v>
      </c>
      <c r="F420">
        <f>_xlfn.XLOOKUP(A420,'Subbu- Mini Project EXcel Clean'!A420:A1419,'Subbu- Mini Project EXcel Clean'!P420:P1419," ",0)</f>
        <v>2</v>
      </c>
      <c r="G420" t="str">
        <f>_xlfn.XLOOKUP(A420,'Subbu- Mini Project EXcel Clean'!A420:A1419,'Subbu- Mini Project EXcel Clean'!Q420:Q1419," ",0)</f>
        <v>Low</v>
      </c>
      <c r="H420">
        <f>VLOOKUP(A420,'Subbu- Mini Project EXcel Clean'!A419:R1419,15,FALSE)</f>
        <v>2.2000000000000002</v>
      </c>
    </row>
    <row r="421" spans="1:8" x14ac:dyDescent="0.25">
      <c r="A421" t="s">
        <v>449</v>
      </c>
      <c r="B421">
        <f>_xlfn.XLOOKUP(A421,'Subbu- Mini Project EXcel Clean'!A421:A1420,'Subbu- Mini Project EXcel Clean'!I421:I1420,"Entry Level",0)</f>
        <v>2</v>
      </c>
      <c r="C421" t="str">
        <f>_xlfn.XLOOKUP(A421,'Subbu- Mini Project EXcel Clean'!A421:A1420,'Subbu- Mini Project EXcel Clean'!J421:J1420," ",0)</f>
        <v>Consistent</v>
      </c>
      <c r="D421">
        <f>_xlfn.XLOOKUP(A421,'Subbu- Mini Project EXcel Clean'!A421:A1420,'Subbu- Mini Project EXcel Clean'!N421:N1420,"entry Level",0)</f>
        <v>6.8</v>
      </c>
      <c r="E421">
        <f>_xlfn.XLOOKUP(A421,'Subbu- Mini Project EXcel Clean'!A421:A1420,'Subbu- Mini Project EXcel Clean'!M421:M1420," ",0)</f>
        <v>75.400000000000006</v>
      </c>
      <c r="F421">
        <f>_xlfn.XLOOKUP(A421,'Subbu- Mini Project EXcel Clean'!A421:A1420,'Subbu- Mini Project EXcel Clean'!P421:P1420," ",0)</f>
        <v>2</v>
      </c>
      <c r="G421" t="str">
        <f>_xlfn.XLOOKUP(A421,'Subbu- Mini Project EXcel Clean'!A421:A1420,'Subbu- Mini Project EXcel Clean'!Q421:Q1420," ",0)</f>
        <v>Low</v>
      </c>
      <c r="H421">
        <f>VLOOKUP(A421,'Subbu- Mini Project EXcel Clean'!A420:R1420,15,FALSE)</f>
        <v>2.6</v>
      </c>
    </row>
    <row r="422" spans="1:8" x14ac:dyDescent="0.25">
      <c r="A422" t="s">
        <v>450</v>
      </c>
      <c r="B422">
        <f>_xlfn.XLOOKUP(A422,'Subbu- Mini Project EXcel Clean'!A422:A1421,'Subbu- Mini Project EXcel Clean'!I422:I1421,"Entry Level",0)</f>
        <v>5</v>
      </c>
      <c r="C422" t="str">
        <f>_xlfn.XLOOKUP(A422,'Subbu- Mini Project EXcel Clean'!A422:A1421,'Subbu- Mini Project EXcel Clean'!J422:J1421," ",0)</f>
        <v>Good</v>
      </c>
      <c r="D422">
        <f>_xlfn.XLOOKUP(A422,'Subbu- Mini Project EXcel Clean'!A422:A1421,'Subbu- Mini Project EXcel Clean'!N422:N1421,"entry Level",0)</f>
        <v>6.9</v>
      </c>
      <c r="E422">
        <f>_xlfn.XLOOKUP(A422,'Subbu- Mini Project EXcel Clean'!A422:A1421,'Subbu- Mini Project EXcel Clean'!M422:M1421," ",0)</f>
        <v>96.8</v>
      </c>
      <c r="F422">
        <f>_xlfn.XLOOKUP(A422,'Subbu- Mini Project EXcel Clean'!A422:A1421,'Subbu- Mini Project EXcel Clean'!P422:P1421," ",0)</f>
        <v>1</v>
      </c>
      <c r="G422" t="str">
        <f>_xlfn.XLOOKUP(A422,'Subbu- Mini Project EXcel Clean'!A422:A1421,'Subbu- Mini Project EXcel Clean'!Q422:Q1421," ",0)</f>
        <v>Low</v>
      </c>
      <c r="H422">
        <f>VLOOKUP(A422,'Subbu- Mini Project EXcel Clean'!A421:R1421,15,FALSE)</f>
        <v>2</v>
      </c>
    </row>
    <row r="423" spans="1:8" x14ac:dyDescent="0.25">
      <c r="A423" t="s">
        <v>451</v>
      </c>
      <c r="B423">
        <f>_xlfn.XLOOKUP(A423,'Subbu- Mini Project EXcel Clean'!A423:A1422,'Subbu- Mini Project EXcel Clean'!I423:I1422,"Entry Level",0)</f>
        <v>2</v>
      </c>
      <c r="C423" t="str">
        <f>_xlfn.XLOOKUP(A423,'Subbu- Mini Project EXcel Clean'!A423:A1422,'Subbu- Mini Project EXcel Clean'!J423:J1422," ",0)</f>
        <v>Consistent</v>
      </c>
      <c r="D423">
        <f>_xlfn.XLOOKUP(A423,'Subbu- Mini Project EXcel Clean'!A423:A1422,'Subbu- Mini Project EXcel Clean'!N423:N1422,"entry Level",0)</f>
        <v>6.7</v>
      </c>
      <c r="E423">
        <f>_xlfn.XLOOKUP(A423,'Subbu- Mini Project EXcel Clean'!A423:A1422,'Subbu- Mini Project EXcel Clean'!M423:M1422," ",0)</f>
        <v>69.099999999999994</v>
      </c>
      <c r="F423">
        <f>_xlfn.XLOOKUP(A423,'Subbu- Mini Project EXcel Clean'!A423:A1422,'Subbu- Mini Project EXcel Clean'!P423:P1422," ",0)</f>
        <v>3</v>
      </c>
      <c r="G423" t="str">
        <f>_xlfn.XLOOKUP(A423,'Subbu- Mini Project EXcel Clean'!A423:A1422,'Subbu- Mini Project EXcel Clean'!Q423:Q1422," ",0)</f>
        <v>Moderate</v>
      </c>
      <c r="H423">
        <f>VLOOKUP(A423,'Subbu- Mini Project EXcel Clean'!A422:R1422,15,FALSE)</f>
        <v>3.5</v>
      </c>
    </row>
    <row r="424" spans="1:8" x14ac:dyDescent="0.25">
      <c r="A424" t="s">
        <v>452</v>
      </c>
      <c r="B424">
        <f>_xlfn.XLOOKUP(A424,'Subbu- Mini Project EXcel Clean'!A424:A1423,'Subbu- Mini Project EXcel Clean'!I424:I1423,"Entry Level",0)</f>
        <v>2</v>
      </c>
      <c r="C424" t="str">
        <f>_xlfn.XLOOKUP(A424,'Subbu- Mini Project EXcel Clean'!A424:A1423,'Subbu- Mini Project EXcel Clean'!J424:J1423," ",0)</f>
        <v>Consistent</v>
      </c>
      <c r="D424">
        <f>_xlfn.XLOOKUP(A424,'Subbu- Mini Project EXcel Clean'!A424:A1423,'Subbu- Mini Project EXcel Clean'!N424:N1423,"entry Level",0)</f>
        <v>7.7</v>
      </c>
      <c r="E424">
        <f>_xlfn.XLOOKUP(A424,'Subbu- Mini Project EXcel Clean'!A424:A1423,'Subbu- Mini Project EXcel Clean'!M424:M1423," ",0)</f>
        <v>74</v>
      </c>
      <c r="F424">
        <f>_xlfn.XLOOKUP(A424,'Subbu- Mini Project EXcel Clean'!A424:A1423,'Subbu- Mini Project EXcel Clean'!P424:P1423," ",0)</f>
        <v>6</v>
      </c>
      <c r="G424" t="str">
        <f>_xlfn.XLOOKUP(A424,'Subbu- Mini Project EXcel Clean'!A424:A1423,'Subbu- Mini Project EXcel Clean'!Q424:Q1423," ",0)</f>
        <v>Moderate</v>
      </c>
      <c r="H424">
        <f>VLOOKUP(A424,'Subbu- Mini Project EXcel Clean'!A423:R1423,15,FALSE)</f>
        <v>1.1000000000000001</v>
      </c>
    </row>
    <row r="425" spans="1:8" x14ac:dyDescent="0.25">
      <c r="A425" t="s">
        <v>453</v>
      </c>
      <c r="B425">
        <f>_xlfn.XLOOKUP(A425,'Subbu- Mini Project EXcel Clean'!A425:A1424,'Subbu- Mini Project EXcel Clean'!I425:I1424,"Entry Level",0)</f>
        <v>4</v>
      </c>
      <c r="C425" t="str">
        <f>_xlfn.XLOOKUP(A425,'Subbu- Mini Project EXcel Clean'!A425:A1424,'Subbu- Mini Project EXcel Clean'!J425:J1424," ",0)</f>
        <v>Excellent</v>
      </c>
      <c r="D425">
        <f>_xlfn.XLOOKUP(A425,'Subbu- Mini Project EXcel Clean'!A425:A1424,'Subbu- Mini Project EXcel Clean'!N425:N1424,"entry Level",0)</f>
        <v>7.3</v>
      </c>
      <c r="E425">
        <f>_xlfn.XLOOKUP(A425,'Subbu- Mini Project EXcel Clean'!A425:A1424,'Subbu- Mini Project EXcel Clean'!M425:M1424," ",0)</f>
        <v>102.2</v>
      </c>
      <c r="F425">
        <f>_xlfn.XLOOKUP(A425,'Subbu- Mini Project EXcel Clean'!A425:A1424,'Subbu- Mini Project EXcel Clean'!P425:P1424," ",0)</f>
        <v>2</v>
      </c>
      <c r="G425" t="str">
        <f>_xlfn.XLOOKUP(A425,'Subbu- Mini Project EXcel Clean'!A425:A1424,'Subbu- Mini Project EXcel Clean'!Q425:Q1424," ",0)</f>
        <v>Low</v>
      </c>
      <c r="H425">
        <f>VLOOKUP(A425,'Subbu- Mini Project EXcel Clean'!A424:R1424,15,FALSE)</f>
        <v>4.4000000000000004</v>
      </c>
    </row>
    <row r="426" spans="1:8" x14ac:dyDescent="0.25">
      <c r="A426" t="s">
        <v>454</v>
      </c>
      <c r="B426">
        <f>_xlfn.XLOOKUP(A426,'Subbu- Mini Project EXcel Clean'!A426:A1425,'Subbu- Mini Project EXcel Clean'!I426:I1425,"Entry Level",0)</f>
        <v>3</v>
      </c>
      <c r="C426" t="str">
        <f>_xlfn.XLOOKUP(A426,'Subbu- Mini Project EXcel Clean'!A426:A1425,'Subbu- Mini Project EXcel Clean'!J426:J1425," ",0)</f>
        <v>Consistent</v>
      </c>
      <c r="D426">
        <f>_xlfn.XLOOKUP(A426,'Subbu- Mini Project EXcel Clean'!A426:A1425,'Subbu- Mini Project EXcel Clean'!N426:N1425,"entry Level",0)</f>
        <v>6.2</v>
      </c>
      <c r="E426">
        <f>_xlfn.XLOOKUP(A426,'Subbu- Mini Project EXcel Clean'!A426:A1425,'Subbu- Mini Project EXcel Clean'!M426:M1425," ",0)</f>
        <v>65.3</v>
      </c>
      <c r="F426">
        <f>_xlfn.XLOOKUP(A426,'Subbu- Mini Project EXcel Clean'!A426:A1425,'Subbu- Mini Project EXcel Clean'!P426:P1425," ",0)</f>
        <v>3</v>
      </c>
      <c r="G426" t="str">
        <f>_xlfn.XLOOKUP(A426,'Subbu- Mini Project EXcel Clean'!A426:A1425,'Subbu- Mini Project EXcel Clean'!Q426:Q1425," ",0)</f>
        <v>Low</v>
      </c>
      <c r="H426">
        <f>VLOOKUP(A426,'Subbu- Mini Project EXcel Clean'!A425:R1425,15,FALSE)</f>
        <v>3.6</v>
      </c>
    </row>
    <row r="427" spans="1:8" x14ac:dyDescent="0.25">
      <c r="A427" t="s">
        <v>455</v>
      </c>
      <c r="B427">
        <f>_xlfn.XLOOKUP(A427,'Subbu- Mini Project EXcel Clean'!A427:A1426,'Subbu- Mini Project EXcel Clean'!I427:I1426,"Entry Level",0)</f>
        <v>3</v>
      </c>
      <c r="C427" t="str">
        <f>_xlfn.XLOOKUP(A427,'Subbu- Mini Project EXcel Clean'!A427:A1426,'Subbu- Mini Project EXcel Clean'!J427:J1426," ",0)</f>
        <v>Excellent</v>
      </c>
      <c r="D427">
        <f>_xlfn.XLOOKUP(A427,'Subbu- Mini Project EXcel Clean'!A427:A1426,'Subbu- Mini Project EXcel Clean'!N427:N1426,"entry Level",0)</f>
        <v>6.2</v>
      </c>
      <c r="E427">
        <f>_xlfn.XLOOKUP(A427,'Subbu- Mini Project EXcel Clean'!A427:A1426,'Subbu- Mini Project EXcel Clean'!M427:M1426," ",0)</f>
        <v>87.7</v>
      </c>
      <c r="F427">
        <f>_xlfn.XLOOKUP(A427,'Subbu- Mini Project EXcel Clean'!A427:A1426,'Subbu- Mini Project EXcel Clean'!P427:P1426," ",0)</f>
        <v>5</v>
      </c>
      <c r="G427" t="str">
        <f>_xlfn.XLOOKUP(A427,'Subbu- Mini Project EXcel Clean'!A427:A1426,'Subbu- Mini Project EXcel Clean'!Q427:Q1426," ",0)</f>
        <v>Moderate</v>
      </c>
      <c r="H427">
        <f>VLOOKUP(A427,'Subbu- Mini Project EXcel Clean'!A426:R1426,15,FALSE)</f>
        <v>5.5</v>
      </c>
    </row>
    <row r="428" spans="1:8" x14ac:dyDescent="0.25">
      <c r="A428" t="s">
        <v>456</v>
      </c>
      <c r="B428">
        <f>_xlfn.XLOOKUP(A428,'Subbu- Mini Project EXcel Clean'!A428:A1427,'Subbu- Mini Project EXcel Clean'!I428:I1427,"Entry Level",0)</f>
        <v>3</v>
      </c>
      <c r="C428" t="str">
        <f>_xlfn.XLOOKUP(A428,'Subbu- Mini Project EXcel Clean'!A428:A1427,'Subbu- Mini Project EXcel Clean'!J428:J1427," ",0)</f>
        <v>Consistent</v>
      </c>
      <c r="D428">
        <f>_xlfn.XLOOKUP(A428,'Subbu- Mini Project EXcel Clean'!A428:A1427,'Subbu- Mini Project EXcel Clean'!N428:N1427,"entry Level",0)</f>
        <v>7.5</v>
      </c>
      <c r="E428">
        <f>_xlfn.XLOOKUP(A428,'Subbu- Mini Project EXcel Clean'!A428:A1427,'Subbu- Mini Project EXcel Clean'!M428:M1427," ",0)</f>
        <v>77.2</v>
      </c>
      <c r="F428">
        <f>_xlfn.XLOOKUP(A428,'Subbu- Mini Project EXcel Clean'!A428:A1427,'Subbu- Mini Project EXcel Clean'!P428:P1427," ",0)</f>
        <v>5</v>
      </c>
      <c r="G428" t="str">
        <f>_xlfn.XLOOKUP(A428,'Subbu- Mini Project EXcel Clean'!A428:A1427,'Subbu- Mini Project EXcel Clean'!Q428:Q1427," ",0)</f>
        <v>Moderate</v>
      </c>
      <c r="H428">
        <f>VLOOKUP(A428,'Subbu- Mini Project EXcel Clean'!A427:R1427,15,FALSE)</f>
        <v>1.8</v>
      </c>
    </row>
    <row r="429" spans="1:8" x14ac:dyDescent="0.25">
      <c r="A429" t="s">
        <v>457</v>
      </c>
      <c r="B429">
        <f>_xlfn.XLOOKUP(A429,'Subbu- Mini Project EXcel Clean'!A429:A1428,'Subbu- Mini Project EXcel Clean'!I429:I1428,"Entry Level",0)</f>
        <v>4</v>
      </c>
      <c r="C429" t="str">
        <f>_xlfn.XLOOKUP(A429,'Subbu- Mini Project EXcel Clean'!A429:A1428,'Subbu- Mini Project EXcel Clean'!J429:J1428," ",0)</f>
        <v>Excellent</v>
      </c>
      <c r="D429">
        <f>_xlfn.XLOOKUP(A429,'Subbu- Mini Project EXcel Clean'!A429:A1428,'Subbu- Mini Project EXcel Clean'!N429:N1428,"entry Level",0)</f>
        <v>5.6</v>
      </c>
      <c r="E429">
        <f>_xlfn.XLOOKUP(A429,'Subbu- Mini Project EXcel Clean'!A429:A1428,'Subbu- Mini Project EXcel Clean'!M429:M1428," ",0)</f>
        <v>92.5</v>
      </c>
      <c r="F429">
        <f>_xlfn.XLOOKUP(A429,'Subbu- Mini Project EXcel Clean'!A429:A1428,'Subbu- Mini Project EXcel Clean'!P429:P1428," ",0)</f>
        <v>5</v>
      </c>
      <c r="G429" t="str">
        <f>_xlfn.XLOOKUP(A429,'Subbu- Mini Project EXcel Clean'!A429:A1428,'Subbu- Mini Project EXcel Clean'!Q429:Q1428," ",0)</f>
        <v>Moderate</v>
      </c>
      <c r="H429">
        <f>VLOOKUP(A429,'Subbu- Mini Project EXcel Clean'!A428:R1428,15,FALSE)</f>
        <v>5</v>
      </c>
    </row>
    <row r="430" spans="1:8" x14ac:dyDescent="0.25">
      <c r="A430" t="s">
        <v>458</v>
      </c>
      <c r="B430">
        <f>_xlfn.XLOOKUP(A430,'Subbu- Mini Project EXcel Clean'!A430:A1429,'Subbu- Mini Project EXcel Clean'!I430:I1429,"Entry Level",0)</f>
        <v>2</v>
      </c>
      <c r="C430" t="str">
        <f>_xlfn.XLOOKUP(A430,'Subbu- Mini Project EXcel Clean'!A430:A1429,'Subbu- Mini Project EXcel Clean'!J430:J1429," ",0)</f>
        <v>Consistent</v>
      </c>
      <c r="D430">
        <f>_xlfn.XLOOKUP(A430,'Subbu- Mini Project EXcel Clean'!A430:A1429,'Subbu- Mini Project EXcel Clean'!N430:N1429,"entry Level",0)</f>
        <v>6.1</v>
      </c>
      <c r="E430">
        <f>_xlfn.XLOOKUP(A430,'Subbu- Mini Project EXcel Clean'!A430:A1429,'Subbu- Mini Project EXcel Clean'!M430:M1429," ",0)</f>
        <v>65.8</v>
      </c>
      <c r="F430">
        <f>_xlfn.XLOOKUP(A430,'Subbu- Mini Project EXcel Clean'!A430:A1429,'Subbu- Mini Project EXcel Clean'!P430:P1429," ",0)</f>
        <v>1</v>
      </c>
      <c r="G430" t="str">
        <f>_xlfn.XLOOKUP(A430,'Subbu- Mini Project EXcel Clean'!A430:A1429,'Subbu- Mini Project EXcel Clean'!Q430:Q1429," ",0)</f>
        <v>Low</v>
      </c>
      <c r="H430">
        <f>VLOOKUP(A430,'Subbu- Mini Project EXcel Clean'!A429:R1429,15,FALSE)</f>
        <v>5</v>
      </c>
    </row>
    <row r="431" spans="1:8" x14ac:dyDescent="0.25">
      <c r="A431" t="s">
        <v>459</v>
      </c>
      <c r="B431">
        <f>_xlfn.XLOOKUP(A431,'Subbu- Mini Project EXcel Clean'!A431:A1430,'Subbu- Mini Project EXcel Clean'!I431:I1430,"Entry Level",0)</f>
        <v>1</v>
      </c>
      <c r="C431" t="str">
        <f>_xlfn.XLOOKUP(A431,'Subbu- Mini Project EXcel Clean'!A431:A1430,'Subbu- Mini Project EXcel Clean'!J431:J1430," ",0)</f>
        <v>Consistent</v>
      </c>
      <c r="D431">
        <f>_xlfn.XLOOKUP(A431,'Subbu- Mini Project EXcel Clean'!A431:A1430,'Subbu- Mini Project EXcel Clean'!N431:N1430,"entry Level",0)</f>
        <v>7.2</v>
      </c>
      <c r="E431">
        <f>_xlfn.XLOOKUP(A431,'Subbu- Mini Project EXcel Clean'!A431:A1430,'Subbu- Mini Project EXcel Clean'!M431:M1430," ",0)</f>
        <v>62.1</v>
      </c>
      <c r="F431">
        <f>_xlfn.XLOOKUP(A431,'Subbu- Mini Project EXcel Clean'!A431:A1430,'Subbu- Mini Project EXcel Clean'!P431:P1430," ",0)</f>
        <v>3</v>
      </c>
      <c r="G431" t="str">
        <f>_xlfn.XLOOKUP(A431,'Subbu- Mini Project EXcel Clean'!A431:A1430,'Subbu- Mini Project EXcel Clean'!Q431:Q1430," ",0)</f>
        <v>Moderate</v>
      </c>
      <c r="H431">
        <f>VLOOKUP(A431,'Subbu- Mini Project EXcel Clean'!A430:R1430,15,FALSE)</f>
        <v>1.6</v>
      </c>
    </row>
    <row r="432" spans="1:8" x14ac:dyDescent="0.25">
      <c r="A432" t="s">
        <v>460</v>
      </c>
      <c r="B432">
        <f>_xlfn.XLOOKUP(A432,'Subbu- Mini Project EXcel Clean'!A432:A1431,'Subbu- Mini Project EXcel Clean'!I432:I1431,"Entry Level",0)</f>
        <v>2</v>
      </c>
      <c r="C432" t="str">
        <f>_xlfn.XLOOKUP(A432,'Subbu- Mini Project EXcel Clean'!A432:A1431,'Subbu- Mini Project EXcel Clean'!J432:J1431," ",0)</f>
        <v>Consistent</v>
      </c>
      <c r="D432">
        <f>_xlfn.XLOOKUP(A432,'Subbu- Mini Project EXcel Clean'!A432:A1431,'Subbu- Mini Project EXcel Clean'!N432:N1431,"entry Level",0)</f>
        <v>6.7</v>
      </c>
      <c r="E432">
        <f>_xlfn.XLOOKUP(A432,'Subbu- Mini Project EXcel Clean'!A432:A1431,'Subbu- Mini Project EXcel Clean'!M432:M1431," ",0)</f>
        <v>75.599999999999994</v>
      </c>
      <c r="F432">
        <f>_xlfn.XLOOKUP(A432,'Subbu- Mini Project EXcel Clean'!A432:A1431,'Subbu- Mini Project EXcel Clean'!P432:P1431," ",0)</f>
        <v>1</v>
      </c>
      <c r="G432" t="str">
        <f>_xlfn.XLOOKUP(A432,'Subbu- Mini Project EXcel Clean'!A432:A1431,'Subbu- Mini Project EXcel Clean'!Q432:Q1431," ",0)</f>
        <v>Low</v>
      </c>
      <c r="H432">
        <f>VLOOKUP(A432,'Subbu- Mini Project EXcel Clean'!A431:R1431,15,FALSE)</f>
        <v>3</v>
      </c>
    </row>
    <row r="433" spans="1:8" x14ac:dyDescent="0.25">
      <c r="A433" t="s">
        <v>461</v>
      </c>
      <c r="B433">
        <f>_xlfn.XLOOKUP(A433,'Subbu- Mini Project EXcel Clean'!A433:A1432,'Subbu- Mini Project EXcel Clean'!I433:I1432,"Entry Level",0)</f>
        <v>3</v>
      </c>
      <c r="C433" t="str">
        <f>_xlfn.XLOOKUP(A433,'Subbu- Mini Project EXcel Clean'!A433:A1432,'Subbu- Mini Project EXcel Clean'!J433:J1432," ",0)</f>
        <v>Consistent</v>
      </c>
      <c r="D433">
        <f>_xlfn.XLOOKUP(A433,'Subbu- Mini Project EXcel Clean'!A433:A1432,'Subbu- Mini Project EXcel Clean'!N433:N1432,"entry Level",0)</f>
        <v>7.5</v>
      </c>
      <c r="E433">
        <f>_xlfn.XLOOKUP(A433,'Subbu- Mini Project EXcel Clean'!A433:A1432,'Subbu- Mini Project EXcel Clean'!M433:M1432," ",0)</f>
        <v>94.5</v>
      </c>
      <c r="F433">
        <f>_xlfn.XLOOKUP(A433,'Subbu- Mini Project EXcel Clean'!A433:A1432,'Subbu- Mini Project EXcel Clean'!P433:P1432," ",0)</f>
        <v>5</v>
      </c>
      <c r="G433" t="str">
        <f>_xlfn.XLOOKUP(A433,'Subbu- Mini Project EXcel Clean'!A433:A1432,'Subbu- Mini Project EXcel Clean'!Q433:Q1432," ",0)</f>
        <v>Moderate</v>
      </c>
      <c r="H433">
        <f>VLOOKUP(A433,'Subbu- Mini Project EXcel Clean'!A432:R1432,15,FALSE)</f>
        <v>1.9</v>
      </c>
    </row>
    <row r="434" spans="1:8" x14ac:dyDescent="0.25">
      <c r="A434" t="s">
        <v>462</v>
      </c>
      <c r="B434">
        <f>_xlfn.XLOOKUP(A434,'Subbu- Mini Project EXcel Clean'!A434:A1433,'Subbu- Mini Project EXcel Clean'!I434:I1433,"Entry Level",0)</f>
        <v>2</v>
      </c>
      <c r="C434" t="str">
        <f>_xlfn.XLOOKUP(A434,'Subbu- Mini Project EXcel Clean'!A434:A1433,'Subbu- Mini Project EXcel Clean'!J434:J1433," ",0)</f>
        <v>Consistent</v>
      </c>
      <c r="D434">
        <f>_xlfn.XLOOKUP(A434,'Subbu- Mini Project EXcel Clean'!A434:A1433,'Subbu- Mini Project EXcel Clean'!N434:N1433,"entry Level",0)</f>
        <v>7.2</v>
      </c>
      <c r="E434">
        <f>_xlfn.XLOOKUP(A434,'Subbu- Mini Project EXcel Clean'!A434:A1433,'Subbu- Mini Project EXcel Clean'!M434:M1433," ",0)</f>
        <v>70.8</v>
      </c>
      <c r="F434">
        <f>_xlfn.XLOOKUP(A434,'Subbu- Mini Project EXcel Clean'!A434:A1433,'Subbu- Mini Project EXcel Clean'!P434:P1433," ",0)</f>
        <v>2</v>
      </c>
      <c r="G434" t="str">
        <f>_xlfn.XLOOKUP(A434,'Subbu- Mini Project EXcel Clean'!A434:A1433,'Subbu- Mini Project EXcel Clean'!Q434:Q1433," ",0)</f>
        <v>Low</v>
      </c>
      <c r="H434">
        <f>VLOOKUP(A434,'Subbu- Mini Project EXcel Clean'!A433:R1433,15,FALSE)</f>
        <v>2.2999999999999998</v>
      </c>
    </row>
    <row r="435" spans="1:8" x14ac:dyDescent="0.25">
      <c r="A435" t="s">
        <v>463</v>
      </c>
      <c r="B435">
        <f>_xlfn.XLOOKUP(A435,'Subbu- Mini Project EXcel Clean'!A435:A1434,'Subbu- Mini Project EXcel Clean'!I435:I1434,"Entry Level",0)</f>
        <v>2</v>
      </c>
      <c r="C435" t="str">
        <f>_xlfn.XLOOKUP(A435,'Subbu- Mini Project EXcel Clean'!A435:A1434,'Subbu- Mini Project EXcel Clean'!J435:J1434," ",0)</f>
        <v>Consistent</v>
      </c>
      <c r="D435">
        <f>_xlfn.XLOOKUP(A435,'Subbu- Mini Project EXcel Clean'!A435:A1434,'Subbu- Mini Project EXcel Clean'!N435:N1434,"entry Level",0)</f>
        <v>7</v>
      </c>
      <c r="E435">
        <f>_xlfn.XLOOKUP(A435,'Subbu- Mini Project EXcel Clean'!A435:A1434,'Subbu- Mini Project EXcel Clean'!M435:M1434," ",0)</f>
        <v>70</v>
      </c>
      <c r="F435">
        <f>_xlfn.XLOOKUP(A435,'Subbu- Mini Project EXcel Clean'!A435:A1434,'Subbu- Mini Project EXcel Clean'!P435:P1434," ",0)</f>
        <v>1</v>
      </c>
      <c r="G435" t="str">
        <f>_xlfn.XLOOKUP(A435,'Subbu- Mini Project EXcel Clean'!A435:A1434,'Subbu- Mini Project EXcel Clean'!Q435:Q1434," ",0)</f>
        <v>Low</v>
      </c>
      <c r="H435">
        <f>VLOOKUP(A435,'Subbu- Mini Project EXcel Clean'!A434:R1434,15,FALSE)</f>
        <v>2.2999999999999998</v>
      </c>
    </row>
    <row r="436" spans="1:8" x14ac:dyDescent="0.25">
      <c r="A436" t="s">
        <v>464</v>
      </c>
      <c r="B436">
        <f>_xlfn.XLOOKUP(A436,'Subbu- Mini Project EXcel Clean'!A436:A1435,'Subbu- Mini Project EXcel Clean'!I436:I1435,"Entry Level",0)</f>
        <v>3</v>
      </c>
      <c r="C436" t="str">
        <f>_xlfn.XLOOKUP(A436,'Subbu- Mini Project EXcel Clean'!A436:A1435,'Subbu- Mini Project EXcel Clean'!J436:J1435," ",0)</f>
        <v>Consistent</v>
      </c>
      <c r="D436">
        <f>_xlfn.XLOOKUP(A436,'Subbu- Mini Project EXcel Clean'!A436:A1435,'Subbu- Mini Project EXcel Clean'!N436:N1435,"entry Level",0)</f>
        <v>7.1</v>
      </c>
      <c r="E436">
        <f>_xlfn.XLOOKUP(A436,'Subbu- Mini Project EXcel Clean'!A436:A1435,'Subbu- Mini Project EXcel Clean'!M436:M1435," ",0)</f>
        <v>73.900000000000006</v>
      </c>
      <c r="F436">
        <f>_xlfn.XLOOKUP(A436,'Subbu- Mini Project EXcel Clean'!A436:A1435,'Subbu- Mini Project EXcel Clean'!P436:P1435," ",0)</f>
        <v>3</v>
      </c>
      <c r="G436" t="str">
        <f>_xlfn.XLOOKUP(A436,'Subbu- Mini Project EXcel Clean'!A436:A1435,'Subbu- Mini Project EXcel Clean'!Q436:Q1435," ",0)</f>
        <v>Low</v>
      </c>
      <c r="H436">
        <f>VLOOKUP(A436,'Subbu- Mini Project EXcel Clean'!A435:R1435,15,FALSE)</f>
        <v>3.8</v>
      </c>
    </row>
    <row r="437" spans="1:8" x14ac:dyDescent="0.25">
      <c r="A437" t="s">
        <v>465</v>
      </c>
      <c r="B437">
        <f>_xlfn.XLOOKUP(A437,'Subbu- Mini Project EXcel Clean'!A437:A1436,'Subbu- Mini Project EXcel Clean'!I437:I1436,"Entry Level",0)</f>
        <v>1</v>
      </c>
      <c r="C437" t="str">
        <f>_xlfn.XLOOKUP(A437,'Subbu- Mini Project EXcel Clean'!A437:A1436,'Subbu- Mini Project EXcel Clean'!J437:J1436," ",0)</f>
        <v>Consistent</v>
      </c>
      <c r="D437">
        <f>_xlfn.XLOOKUP(A437,'Subbu- Mini Project EXcel Clean'!A437:A1436,'Subbu- Mini Project EXcel Clean'!N437:N1436,"entry Level",0)</f>
        <v>7.9</v>
      </c>
      <c r="E437">
        <f>_xlfn.XLOOKUP(A437,'Subbu- Mini Project EXcel Clean'!A437:A1436,'Subbu- Mini Project EXcel Clean'!M437:M1436," ",0)</f>
        <v>60</v>
      </c>
      <c r="F437">
        <f>_xlfn.XLOOKUP(A437,'Subbu- Mini Project EXcel Clean'!A437:A1436,'Subbu- Mini Project EXcel Clean'!P437:P1436," ",0)</f>
        <v>6</v>
      </c>
      <c r="G437" t="str">
        <f>_xlfn.XLOOKUP(A437,'Subbu- Mini Project EXcel Clean'!A437:A1436,'Subbu- Mini Project EXcel Clean'!Q437:Q1436," ",0)</f>
        <v>Moderate</v>
      </c>
      <c r="H437">
        <f>VLOOKUP(A437,'Subbu- Mini Project EXcel Clean'!A436:R1436,15,FALSE)</f>
        <v>3.1</v>
      </c>
    </row>
    <row r="438" spans="1:8" x14ac:dyDescent="0.25">
      <c r="A438" t="s">
        <v>466</v>
      </c>
      <c r="B438">
        <f>_xlfn.XLOOKUP(A438,'Subbu- Mini Project EXcel Clean'!A438:A1437,'Subbu- Mini Project EXcel Clean'!I438:I1437,"Entry Level",0)</f>
        <v>3</v>
      </c>
      <c r="C438" t="str">
        <f>_xlfn.XLOOKUP(A438,'Subbu- Mini Project EXcel Clean'!A438:A1437,'Subbu- Mini Project EXcel Clean'!J438:J1437," ",0)</f>
        <v>Excellent</v>
      </c>
      <c r="D438">
        <f>_xlfn.XLOOKUP(A438,'Subbu- Mini Project EXcel Clean'!A438:A1437,'Subbu- Mini Project EXcel Clean'!N438:N1437,"entry Level",0)</f>
        <v>7.1</v>
      </c>
      <c r="E438">
        <f>_xlfn.XLOOKUP(A438,'Subbu- Mini Project EXcel Clean'!A438:A1437,'Subbu- Mini Project EXcel Clean'!M438:M1437," ",0)</f>
        <v>74.400000000000006</v>
      </c>
      <c r="F438">
        <f>_xlfn.XLOOKUP(A438,'Subbu- Mini Project EXcel Clean'!A438:A1437,'Subbu- Mini Project EXcel Clean'!P438:P1437," ",0)</f>
        <v>2</v>
      </c>
      <c r="G438" t="str">
        <f>_xlfn.XLOOKUP(A438,'Subbu- Mini Project EXcel Clean'!A438:A1437,'Subbu- Mini Project EXcel Clean'!Q438:Q1437," ",0)</f>
        <v>Low</v>
      </c>
      <c r="H438">
        <f>VLOOKUP(A438,'Subbu- Mini Project EXcel Clean'!A437:R1437,15,FALSE)</f>
        <v>5.7</v>
      </c>
    </row>
    <row r="439" spans="1:8" x14ac:dyDescent="0.25">
      <c r="A439" t="s">
        <v>467</v>
      </c>
      <c r="B439">
        <f>_xlfn.XLOOKUP(A439,'Subbu- Mini Project EXcel Clean'!A439:A1438,'Subbu- Mini Project EXcel Clean'!I439:I1438,"Entry Level",0)</f>
        <v>5</v>
      </c>
      <c r="C439" t="str">
        <f>_xlfn.XLOOKUP(A439,'Subbu- Mini Project EXcel Clean'!A439:A1438,'Subbu- Mini Project EXcel Clean'!J439:J1438," ",0)</f>
        <v>Good</v>
      </c>
      <c r="D439">
        <f>_xlfn.XLOOKUP(A439,'Subbu- Mini Project EXcel Clean'!A439:A1438,'Subbu- Mini Project EXcel Clean'!N439:N1438,"entry Level",0)</f>
        <v>6.5</v>
      </c>
      <c r="E439">
        <f>_xlfn.XLOOKUP(A439,'Subbu- Mini Project EXcel Clean'!A439:A1438,'Subbu- Mini Project EXcel Clean'!M439:M1438," ",0)</f>
        <v>93.7</v>
      </c>
      <c r="F439">
        <f>_xlfn.XLOOKUP(A439,'Subbu- Mini Project EXcel Clean'!A439:A1438,'Subbu- Mini Project EXcel Clean'!P439:P1438," ",0)</f>
        <v>5</v>
      </c>
      <c r="G439" t="str">
        <f>_xlfn.XLOOKUP(A439,'Subbu- Mini Project EXcel Clean'!A439:A1438,'Subbu- Mini Project EXcel Clean'!Q439:Q1438," ",0)</f>
        <v>Moderate</v>
      </c>
      <c r="H439">
        <f>VLOOKUP(A439,'Subbu- Mini Project EXcel Clean'!A438:R1438,15,FALSE)</f>
        <v>1.6</v>
      </c>
    </row>
    <row r="440" spans="1:8" x14ac:dyDescent="0.25">
      <c r="A440" t="s">
        <v>468</v>
      </c>
      <c r="B440">
        <f>_xlfn.XLOOKUP(A440,'Subbu- Mini Project EXcel Clean'!A440:A1439,'Subbu- Mini Project EXcel Clean'!I440:I1439,"Entry Level",0)</f>
        <v>2</v>
      </c>
      <c r="C440" t="str">
        <f>_xlfn.XLOOKUP(A440,'Subbu- Mini Project EXcel Clean'!A440:A1439,'Subbu- Mini Project EXcel Clean'!J440:J1439," ",0)</f>
        <v>Consistent</v>
      </c>
      <c r="D440">
        <f>_xlfn.XLOOKUP(A440,'Subbu- Mini Project EXcel Clean'!A440:A1439,'Subbu- Mini Project EXcel Clean'!N440:N1439,"entry Level",0)</f>
        <v>6.5</v>
      </c>
      <c r="E440">
        <f>_xlfn.XLOOKUP(A440,'Subbu- Mini Project EXcel Clean'!A440:A1439,'Subbu- Mini Project EXcel Clean'!M440:M1439," ",0)</f>
        <v>69.7</v>
      </c>
      <c r="F440">
        <f>_xlfn.XLOOKUP(A440,'Subbu- Mini Project EXcel Clean'!A440:A1439,'Subbu- Mini Project EXcel Clean'!P440:P1439," ",0)</f>
        <v>3</v>
      </c>
      <c r="G440" t="str">
        <f>_xlfn.XLOOKUP(A440,'Subbu- Mini Project EXcel Clean'!A440:A1439,'Subbu- Mini Project EXcel Clean'!Q440:Q1439," ",0)</f>
        <v>Moderate</v>
      </c>
      <c r="H440">
        <f>VLOOKUP(A440,'Subbu- Mini Project EXcel Clean'!A439:R1439,15,FALSE)</f>
        <v>5.9</v>
      </c>
    </row>
    <row r="441" spans="1:8" x14ac:dyDescent="0.25">
      <c r="A441" t="s">
        <v>469</v>
      </c>
      <c r="B441">
        <f>_xlfn.XLOOKUP(A441,'Subbu- Mini Project EXcel Clean'!A441:A1440,'Subbu- Mini Project EXcel Clean'!I441:I1440,"Entry Level",0)</f>
        <v>3</v>
      </c>
      <c r="C441" t="str">
        <f>_xlfn.XLOOKUP(A441,'Subbu- Mini Project EXcel Clean'!A441:A1440,'Subbu- Mini Project EXcel Clean'!J441:J1440," ",0)</f>
        <v>Excellent</v>
      </c>
      <c r="D441">
        <f>_xlfn.XLOOKUP(A441,'Subbu- Mini Project EXcel Clean'!A441:A1440,'Subbu- Mini Project EXcel Clean'!N441:N1440,"entry Level",0)</f>
        <v>7.3</v>
      </c>
      <c r="E441">
        <f>_xlfn.XLOOKUP(A441,'Subbu- Mini Project EXcel Clean'!A441:A1440,'Subbu- Mini Project EXcel Clean'!M441:M1440," ",0)</f>
        <v>77.5</v>
      </c>
      <c r="F441">
        <f>_xlfn.XLOOKUP(A441,'Subbu- Mini Project EXcel Clean'!A441:A1440,'Subbu- Mini Project EXcel Clean'!P441:P1440," ",0)</f>
        <v>1</v>
      </c>
      <c r="G441" t="str">
        <f>_xlfn.XLOOKUP(A441,'Subbu- Mini Project EXcel Clean'!A441:A1440,'Subbu- Mini Project EXcel Clean'!Q441:Q1440," ",0)</f>
        <v>Low</v>
      </c>
      <c r="H441">
        <f>VLOOKUP(A441,'Subbu- Mini Project EXcel Clean'!A440:R1440,15,FALSE)</f>
        <v>2.2000000000000002</v>
      </c>
    </row>
    <row r="442" spans="1:8" x14ac:dyDescent="0.25">
      <c r="A442" t="s">
        <v>470</v>
      </c>
      <c r="B442">
        <f>_xlfn.XLOOKUP(A442,'Subbu- Mini Project EXcel Clean'!A442:A1441,'Subbu- Mini Project EXcel Clean'!I442:I1441,"Entry Level",0)</f>
        <v>4</v>
      </c>
      <c r="C442" t="str">
        <f>_xlfn.XLOOKUP(A442,'Subbu- Mini Project EXcel Clean'!A442:A1441,'Subbu- Mini Project EXcel Clean'!J442:J1441," ",0)</f>
        <v>Excellent</v>
      </c>
      <c r="D442">
        <f>_xlfn.XLOOKUP(A442,'Subbu- Mini Project EXcel Clean'!A442:A1441,'Subbu- Mini Project EXcel Clean'!N442:N1441,"entry Level",0)</f>
        <v>6.6</v>
      </c>
      <c r="E442">
        <f>_xlfn.XLOOKUP(A442,'Subbu- Mini Project EXcel Clean'!A442:A1441,'Subbu- Mini Project EXcel Clean'!M442:M1441," ",0)</f>
        <v>91.8</v>
      </c>
      <c r="F442">
        <f>_xlfn.XLOOKUP(A442,'Subbu- Mini Project EXcel Clean'!A442:A1441,'Subbu- Mini Project EXcel Clean'!P442:P1441," ",0)</f>
        <v>2</v>
      </c>
      <c r="G442" t="str">
        <f>_xlfn.XLOOKUP(A442,'Subbu- Mini Project EXcel Clean'!A442:A1441,'Subbu- Mini Project EXcel Clean'!Q442:Q1441," ",0)</f>
        <v>Low</v>
      </c>
      <c r="H442">
        <f>VLOOKUP(A442,'Subbu- Mini Project EXcel Clean'!A441:R1441,15,FALSE)</f>
        <v>4.9000000000000004</v>
      </c>
    </row>
    <row r="443" spans="1:8" x14ac:dyDescent="0.25">
      <c r="A443" t="s">
        <v>471</v>
      </c>
      <c r="B443">
        <f>_xlfn.XLOOKUP(A443,'Subbu- Mini Project EXcel Clean'!A443:A1442,'Subbu- Mini Project EXcel Clean'!I443:I1442,"Entry Level",0)</f>
        <v>3</v>
      </c>
      <c r="C443" t="str">
        <f>_xlfn.XLOOKUP(A443,'Subbu- Mini Project EXcel Clean'!A443:A1442,'Subbu- Mini Project EXcel Clean'!J443:J1442," ",0)</f>
        <v>Consistent</v>
      </c>
      <c r="D443">
        <f>_xlfn.XLOOKUP(A443,'Subbu- Mini Project EXcel Clean'!A443:A1442,'Subbu- Mini Project EXcel Clean'!N443:N1442,"entry Level",0)</f>
        <v>7</v>
      </c>
      <c r="E443">
        <f>_xlfn.XLOOKUP(A443,'Subbu- Mini Project EXcel Clean'!A443:A1442,'Subbu- Mini Project EXcel Clean'!M443:M1442," ",0)</f>
        <v>79.2</v>
      </c>
      <c r="F443">
        <f>_xlfn.XLOOKUP(A443,'Subbu- Mini Project EXcel Clean'!A443:A1442,'Subbu- Mini Project EXcel Clean'!P443:P1442," ",0)</f>
        <v>2</v>
      </c>
      <c r="G443" t="str">
        <f>_xlfn.XLOOKUP(A443,'Subbu- Mini Project EXcel Clean'!A443:A1442,'Subbu- Mini Project EXcel Clean'!Q443:Q1442," ",0)</f>
        <v>Low</v>
      </c>
      <c r="H443">
        <f>VLOOKUP(A443,'Subbu- Mini Project EXcel Clean'!A442:R1442,15,FALSE)</f>
        <v>2.7</v>
      </c>
    </row>
    <row r="444" spans="1:8" x14ac:dyDescent="0.25">
      <c r="A444" t="s">
        <v>472</v>
      </c>
      <c r="B444">
        <f>_xlfn.XLOOKUP(A444,'Subbu- Mini Project EXcel Clean'!A444:A1443,'Subbu- Mini Project EXcel Clean'!I444:I1443,"Entry Level",0)</f>
        <v>4</v>
      </c>
      <c r="C444" t="str">
        <f>_xlfn.XLOOKUP(A444,'Subbu- Mini Project EXcel Clean'!A444:A1443,'Subbu- Mini Project EXcel Clean'!J444:J1443," ",0)</f>
        <v>Excellent</v>
      </c>
      <c r="D444">
        <f>_xlfn.XLOOKUP(A444,'Subbu- Mini Project EXcel Clean'!A444:A1443,'Subbu- Mini Project EXcel Clean'!N444:N1443,"entry Level",0)</f>
        <v>7.5</v>
      </c>
      <c r="E444">
        <f>_xlfn.XLOOKUP(A444,'Subbu- Mini Project EXcel Clean'!A444:A1443,'Subbu- Mini Project EXcel Clean'!M444:M1443," ",0)</f>
        <v>84.4</v>
      </c>
      <c r="F444">
        <f>_xlfn.XLOOKUP(A444,'Subbu- Mini Project EXcel Clean'!A444:A1443,'Subbu- Mini Project EXcel Clean'!P444:P1443," ",0)</f>
        <v>1</v>
      </c>
      <c r="G444" t="str">
        <f>_xlfn.XLOOKUP(A444,'Subbu- Mini Project EXcel Clean'!A444:A1443,'Subbu- Mini Project EXcel Clean'!Q444:Q1443," ",0)</f>
        <v>Low</v>
      </c>
      <c r="H444">
        <f>VLOOKUP(A444,'Subbu- Mini Project EXcel Clean'!A443:R1443,15,FALSE)</f>
        <v>1.7</v>
      </c>
    </row>
    <row r="445" spans="1:8" x14ac:dyDescent="0.25">
      <c r="A445" t="s">
        <v>473</v>
      </c>
      <c r="B445">
        <f>_xlfn.XLOOKUP(A445,'Subbu- Mini Project EXcel Clean'!A445:A1444,'Subbu- Mini Project EXcel Clean'!I445:I1444,"Entry Level",0)</f>
        <v>3</v>
      </c>
      <c r="C445" t="str">
        <f>_xlfn.XLOOKUP(A445,'Subbu- Mini Project EXcel Clean'!A445:A1444,'Subbu- Mini Project EXcel Clean'!J445:J1444," ",0)</f>
        <v>Consistent</v>
      </c>
      <c r="D445">
        <f>_xlfn.XLOOKUP(A445,'Subbu- Mini Project EXcel Clean'!A445:A1444,'Subbu- Mini Project EXcel Clean'!N445:N1444,"entry Level",0)</f>
        <v>6.5</v>
      </c>
      <c r="E445">
        <f>_xlfn.XLOOKUP(A445,'Subbu- Mini Project EXcel Clean'!A445:A1444,'Subbu- Mini Project EXcel Clean'!M445:M1444," ",0)</f>
        <v>75.7</v>
      </c>
      <c r="F445">
        <f>_xlfn.XLOOKUP(A445,'Subbu- Mini Project EXcel Clean'!A445:A1444,'Subbu- Mini Project EXcel Clean'!P445:P1444," ",0)</f>
        <v>5</v>
      </c>
      <c r="G445" t="str">
        <f>_xlfn.XLOOKUP(A445,'Subbu- Mini Project EXcel Clean'!A445:A1444,'Subbu- Mini Project EXcel Clean'!Q445:Q1444," ",0)</f>
        <v>Moderate</v>
      </c>
      <c r="H445">
        <f>VLOOKUP(A445,'Subbu- Mini Project EXcel Clean'!A444:R1444,15,FALSE)</f>
        <v>5.3</v>
      </c>
    </row>
    <row r="446" spans="1:8" x14ac:dyDescent="0.25">
      <c r="A446" t="s">
        <v>474</v>
      </c>
      <c r="B446">
        <f>_xlfn.XLOOKUP(A446,'Subbu- Mini Project EXcel Clean'!A446:A1445,'Subbu- Mini Project EXcel Clean'!I446:I1445,"Entry Level",0)</f>
        <v>3</v>
      </c>
      <c r="C446" t="str">
        <f>_xlfn.XLOOKUP(A446,'Subbu- Mini Project EXcel Clean'!A446:A1445,'Subbu- Mini Project EXcel Clean'!J446:J1445," ",0)</f>
        <v>Consistent</v>
      </c>
      <c r="D446">
        <f>_xlfn.XLOOKUP(A446,'Subbu- Mini Project EXcel Clean'!A446:A1445,'Subbu- Mini Project EXcel Clean'!N446:N1445,"entry Level",0)</f>
        <v>6.9</v>
      </c>
      <c r="E446">
        <f>_xlfn.XLOOKUP(A446,'Subbu- Mini Project EXcel Clean'!A446:A1445,'Subbu- Mini Project EXcel Clean'!M446:M1445," ",0)</f>
        <v>88.2</v>
      </c>
      <c r="F446">
        <f>_xlfn.XLOOKUP(A446,'Subbu- Mini Project EXcel Clean'!A446:A1445,'Subbu- Mini Project EXcel Clean'!P446:P1445," ",0)</f>
        <v>5</v>
      </c>
      <c r="G446" t="str">
        <f>_xlfn.XLOOKUP(A446,'Subbu- Mini Project EXcel Clean'!A446:A1445,'Subbu- Mini Project EXcel Clean'!Q446:Q1445," ",0)</f>
        <v>Moderate</v>
      </c>
      <c r="H446">
        <f>VLOOKUP(A446,'Subbu- Mini Project EXcel Clean'!A445:R1445,15,FALSE)</f>
        <v>2.5</v>
      </c>
    </row>
    <row r="447" spans="1:8" x14ac:dyDescent="0.25">
      <c r="A447" t="s">
        <v>475</v>
      </c>
      <c r="B447">
        <f>_xlfn.XLOOKUP(A447,'Subbu- Mini Project EXcel Clean'!A447:A1446,'Subbu- Mini Project EXcel Clean'!I447:I1446,"Entry Level",0)</f>
        <v>1</v>
      </c>
      <c r="C447" t="str">
        <f>_xlfn.XLOOKUP(A447,'Subbu- Mini Project EXcel Clean'!A447:A1446,'Subbu- Mini Project EXcel Clean'!J447:J1446," ",0)</f>
        <v>Average</v>
      </c>
      <c r="D447">
        <f>_xlfn.XLOOKUP(A447,'Subbu- Mini Project EXcel Clean'!A447:A1446,'Subbu- Mini Project EXcel Clean'!N447:N1446,"entry Level",0)</f>
        <v>6.3</v>
      </c>
      <c r="E447">
        <f>_xlfn.XLOOKUP(A447,'Subbu- Mini Project EXcel Clean'!A447:A1446,'Subbu- Mini Project EXcel Clean'!M447:M1446," ",0)</f>
        <v>64</v>
      </c>
      <c r="F447">
        <f>_xlfn.XLOOKUP(A447,'Subbu- Mini Project EXcel Clean'!A447:A1446,'Subbu- Mini Project EXcel Clean'!P447:P1446," ",0)</f>
        <v>1</v>
      </c>
      <c r="G447" t="str">
        <f>_xlfn.XLOOKUP(A447,'Subbu- Mini Project EXcel Clean'!A447:A1446,'Subbu- Mini Project EXcel Clean'!Q447:Q1446," ",0)</f>
        <v>Low</v>
      </c>
      <c r="H447">
        <f>VLOOKUP(A447,'Subbu- Mini Project EXcel Clean'!A446:R1446,15,FALSE)</f>
        <v>4.3</v>
      </c>
    </row>
    <row r="448" spans="1:8" x14ac:dyDescent="0.25">
      <c r="A448" t="s">
        <v>476</v>
      </c>
      <c r="B448">
        <f>_xlfn.XLOOKUP(A448,'Subbu- Mini Project EXcel Clean'!A448:A1447,'Subbu- Mini Project EXcel Clean'!I448:I1447,"Entry Level",0)</f>
        <v>4</v>
      </c>
      <c r="C448" t="str">
        <f>_xlfn.XLOOKUP(A448,'Subbu- Mini Project EXcel Clean'!A448:A1447,'Subbu- Mini Project EXcel Clean'!J448:J1447," ",0)</f>
        <v>Excellent</v>
      </c>
      <c r="D448">
        <f>_xlfn.XLOOKUP(A448,'Subbu- Mini Project EXcel Clean'!A448:A1447,'Subbu- Mini Project EXcel Clean'!N448:N1447,"entry Level",0)</f>
        <v>6.6</v>
      </c>
      <c r="E448">
        <f>_xlfn.XLOOKUP(A448,'Subbu- Mini Project EXcel Clean'!A448:A1447,'Subbu- Mini Project EXcel Clean'!M448:M1447," ",0)</f>
        <v>87.7</v>
      </c>
      <c r="F448">
        <f>_xlfn.XLOOKUP(A448,'Subbu- Mini Project EXcel Clean'!A448:A1447,'Subbu- Mini Project EXcel Clean'!P448:P1447," ",0)</f>
        <v>1</v>
      </c>
      <c r="G448" t="str">
        <f>_xlfn.XLOOKUP(A448,'Subbu- Mini Project EXcel Clean'!A448:A1447,'Subbu- Mini Project EXcel Clean'!Q448:Q1447," ",0)</f>
        <v>Low</v>
      </c>
      <c r="H448">
        <f>VLOOKUP(A448,'Subbu- Mini Project EXcel Clean'!A447:R1447,15,FALSE)</f>
        <v>3.8</v>
      </c>
    </row>
    <row r="449" spans="1:8" x14ac:dyDescent="0.25">
      <c r="A449" t="s">
        <v>477</v>
      </c>
      <c r="B449">
        <f>_xlfn.XLOOKUP(A449,'Subbu- Mini Project EXcel Clean'!A449:A1448,'Subbu- Mini Project EXcel Clean'!I449:I1448,"Entry Level",0)</f>
        <v>4</v>
      </c>
      <c r="C449" t="str">
        <f>_xlfn.XLOOKUP(A449,'Subbu- Mini Project EXcel Clean'!A449:A1448,'Subbu- Mini Project EXcel Clean'!J449:J1448," ",0)</f>
        <v>Excellent</v>
      </c>
      <c r="D449">
        <f>_xlfn.XLOOKUP(A449,'Subbu- Mini Project EXcel Clean'!A449:A1448,'Subbu- Mini Project EXcel Clean'!N449:N1448,"entry Level",0)</f>
        <v>7.1</v>
      </c>
      <c r="E449">
        <f>_xlfn.XLOOKUP(A449,'Subbu- Mini Project EXcel Clean'!A449:A1448,'Subbu- Mini Project EXcel Clean'!M449:M1448," ",0)</f>
        <v>85.3</v>
      </c>
      <c r="F449">
        <f>_xlfn.XLOOKUP(A449,'Subbu- Mini Project EXcel Clean'!A449:A1448,'Subbu- Mini Project EXcel Clean'!P449:P1448," ",0)</f>
        <v>1</v>
      </c>
      <c r="G449" t="str">
        <f>_xlfn.XLOOKUP(A449,'Subbu- Mini Project EXcel Clean'!A449:A1448,'Subbu- Mini Project EXcel Clean'!Q449:Q1448," ",0)</f>
        <v>Low</v>
      </c>
      <c r="H449">
        <f>VLOOKUP(A449,'Subbu- Mini Project EXcel Clean'!A448:R1448,15,FALSE)</f>
        <v>3.4</v>
      </c>
    </row>
    <row r="450" spans="1:8" x14ac:dyDescent="0.25">
      <c r="A450" t="s">
        <v>478</v>
      </c>
      <c r="B450">
        <f>_xlfn.XLOOKUP(A450,'Subbu- Mini Project EXcel Clean'!A450:A1449,'Subbu- Mini Project EXcel Clean'!I450:I1449,"Entry Level",0)</f>
        <v>1</v>
      </c>
      <c r="C450" t="str">
        <f>_xlfn.XLOOKUP(A450,'Subbu- Mini Project EXcel Clean'!A450:A1449,'Subbu- Mini Project EXcel Clean'!J450:J1449," ",0)</f>
        <v>Consistent</v>
      </c>
      <c r="D450">
        <f>_xlfn.XLOOKUP(A450,'Subbu- Mini Project EXcel Clean'!A450:A1449,'Subbu- Mini Project EXcel Clean'!N450:N1449,"entry Level",0)</f>
        <v>7.3</v>
      </c>
      <c r="E450">
        <f>_xlfn.XLOOKUP(A450,'Subbu- Mini Project EXcel Clean'!A450:A1449,'Subbu- Mini Project EXcel Clean'!M450:M1449," ",0)</f>
        <v>61.9</v>
      </c>
      <c r="F450">
        <f>_xlfn.XLOOKUP(A450,'Subbu- Mini Project EXcel Clean'!A450:A1449,'Subbu- Mini Project EXcel Clean'!P450:P1449," ",0)</f>
        <v>4</v>
      </c>
      <c r="G450" t="str">
        <f>_xlfn.XLOOKUP(A450,'Subbu- Mini Project EXcel Clean'!A450:A1449,'Subbu- Mini Project EXcel Clean'!Q450:Q1449," ",0)</f>
        <v>Moderate</v>
      </c>
      <c r="H450">
        <f>VLOOKUP(A450,'Subbu- Mini Project EXcel Clean'!A449:R1449,15,FALSE)</f>
        <v>3.5</v>
      </c>
    </row>
    <row r="451" spans="1:8" x14ac:dyDescent="0.25">
      <c r="A451" t="s">
        <v>479</v>
      </c>
      <c r="B451">
        <f>_xlfn.XLOOKUP(A451,'Subbu- Mini Project EXcel Clean'!A451:A1450,'Subbu- Mini Project EXcel Clean'!I451:I1450,"Entry Level",0)</f>
        <v>3</v>
      </c>
      <c r="C451" t="str">
        <f>_xlfn.XLOOKUP(A451,'Subbu- Mini Project EXcel Clean'!A451:A1450,'Subbu- Mini Project EXcel Clean'!J451:J1450," ",0)</f>
        <v>Consistent</v>
      </c>
      <c r="D451">
        <f>_xlfn.XLOOKUP(A451,'Subbu- Mini Project EXcel Clean'!A451:A1450,'Subbu- Mini Project EXcel Clean'!N451:N1450,"entry Level",0)</f>
        <v>7</v>
      </c>
      <c r="E451">
        <f>_xlfn.XLOOKUP(A451,'Subbu- Mini Project EXcel Clean'!A451:A1450,'Subbu- Mini Project EXcel Clean'!M451:M1450," ",0)</f>
        <v>72.2</v>
      </c>
      <c r="F451">
        <f>_xlfn.XLOOKUP(A451,'Subbu- Mini Project EXcel Clean'!A451:A1450,'Subbu- Mini Project EXcel Clean'!P451:P1450," ",0)</f>
        <v>2</v>
      </c>
      <c r="G451" t="str">
        <f>_xlfn.XLOOKUP(A451,'Subbu- Mini Project EXcel Clean'!A451:A1450,'Subbu- Mini Project EXcel Clean'!Q451:Q1450," ",0)</f>
        <v>Low</v>
      </c>
      <c r="H451">
        <f>VLOOKUP(A451,'Subbu- Mini Project EXcel Clean'!A450:R1450,15,FALSE)</f>
        <v>4.7</v>
      </c>
    </row>
    <row r="452" spans="1:8" x14ac:dyDescent="0.25">
      <c r="A452" t="s">
        <v>480</v>
      </c>
      <c r="B452">
        <f>_xlfn.XLOOKUP(A452,'Subbu- Mini Project EXcel Clean'!A452:A1451,'Subbu- Mini Project EXcel Clean'!I452:I1451,"Entry Level",0)</f>
        <v>5</v>
      </c>
      <c r="C452" t="str">
        <f>_xlfn.XLOOKUP(A452,'Subbu- Mini Project EXcel Clean'!A452:A1451,'Subbu- Mini Project EXcel Clean'!J452:J1451," ",0)</f>
        <v>Good</v>
      </c>
      <c r="D452">
        <f>_xlfn.XLOOKUP(A452,'Subbu- Mini Project EXcel Clean'!A452:A1451,'Subbu- Mini Project EXcel Clean'!N452:N1451,"entry Level",0)</f>
        <v>7.3</v>
      </c>
      <c r="E452">
        <f>_xlfn.XLOOKUP(A452,'Subbu- Mini Project EXcel Clean'!A452:A1451,'Subbu- Mini Project EXcel Clean'!M452:M1451," ",0)</f>
        <v>88.6</v>
      </c>
      <c r="F452">
        <f>_xlfn.XLOOKUP(A452,'Subbu- Mini Project EXcel Clean'!A452:A1451,'Subbu- Mini Project EXcel Clean'!P452:P1451," ",0)</f>
        <v>1</v>
      </c>
      <c r="G452" t="str">
        <f>_xlfn.XLOOKUP(A452,'Subbu- Mini Project EXcel Clean'!A452:A1451,'Subbu- Mini Project EXcel Clean'!Q452:Q1451," ",0)</f>
        <v>Low</v>
      </c>
      <c r="H452">
        <f>VLOOKUP(A452,'Subbu- Mini Project EXcel Clean'!A451:R1451,15,FALSE)</f>
        <v>1.4</v>
      </c>
    </row>
    <row r="453" spans="1:8" x14ac:dyDescent="0.25">
      <c r="A453" t="s">
        <v>481</v>
      </c>
      <c r="B453">
        <f>_xlfn.XLOOKUP(A453,'Subbu- Mini Project EXcel Clean'!A453:A1452,'Subbu- Mini Project EXcel Clean'!I453:I1452,"Entry Level",0)</f>
        <v>3</v>
      </c>
      <c r="C453" t="str">
        <f>_xlfn.XLOOKUP(A453,'Subbu- Mini Project EXcel Clean'!A453:A1452,'Subbu- Mini Project EXcel Clean'!J453:J1452," ",0)</f>
        <v>Consistent</v>
      </c>
      <c r="D453">
        <f>_xlfn.XLOOKUP(A453,'Subbu- Mini Project EXcel Clean'!A453:A1452,'Subbu- Mini Project EXcel Clean'!N453:N1452,"entry Level",0)</f>
        <v>6.8</v>
      </c>
      <c r="E453">
        <f>_xlfn.XLOOKUP(A453,'Subbu- Mini Project EXcel Clean'!A453:A1452,'Subbu- Mini Project EXcel Clean'!M453:M1452," ",0)</f>
        <v>87</v>
      </c>
      <c r="F453">
        <f>_xlfn.XLOOKUP(A453,'Subbu- Mini Project EXcel Clean'!A453:A1452,'Subbu- Mini Project EXcel Clean'!P453:P1452," ",0)</f>
        <v>5</v>
      </c>
      <c r="G453" t="str">
        <f>_xlfn.XLOOKUP(A453,'Subbu- Mini Project EXcel Clean'!A453:A1452,'Subbu- Mini Project EXcel Clean'!Q453:Q1452," ",0)</f>
        <v>Moderate</v>
      </c>
      <c r="H453">
        <f>VLOOKUP(A453,'Subbu- Mini Project EXcel Clean'!A452:R1452,15,FALSE)</f>
        <v>4.3</v>
      </c>
    </row>
    <row r="454" spans="1:8" x14ac:dyDescent="0.25">
      <c r="A454" t="s">
        <v>482</v>
      </c>
      <c r="B454">
        <f>_xlfn.XLOOKUP(A454,'Subbu- Mini Project EXcel Clean'!A454:A1453,'Subbu- Mini Project EXcel Clean'!I454:I1453,"Entry Level",0)</f>
        <v>3</v>
      </c>
      <c r="C454" t="str">
        <f>_xlfn.XLOOKUP(A454,'Subbu- Mini Project EXcel Clean'!A454:A1453,'Subbu- Mini Project EXcel Clean'!J454:J1453," ",0)</f>
        <v>Consistent</v>
      </c>
      <c r="D454">
        <f>_xlfn.XLOOKUP(A454,'Subbu- Mini Project EXcel Clean'!A454:A1453,'Subbu- Mini Project EXcel Clean'!N454:N1453,"entry Level",0)</f>
        <v>6.8</v>
      </c>
      <c r="E454">
        <f>_xlfn.XLOOKUP(A454,'Subbu- Mini Project EXcel Clean'!A454:A1453,'Subbu- Mini Project EXcel Clean'!M454:M1453," ",0)</f>
        <v>80.900000000000006</v>
      </c>
      <c r="F454">
        <f>_xlfn.XLOOKUP(A454,'Subbu- Mini Project EXcel Clean'!A454:A1453,'Subbu- Mini Project EXcel Clean'!P454:P1453," ",0)</f>
        <v>4</v>
      </c>
      <c r="G454" t="str">
        <f>_xlfn.XLOOKUP(A454,'Subbu- Mini Project EXcel Clean'!A454:A1453,'Subbu- Mini Project EXcel Clean'!Q454:Q1453," ",0)</f>
        <v>Moderate</v>
      </c>
      <c r="H454">
        <f>VLOOKUP(A454,'Subbu- Mini Project EXcel Clean'!A453:R1453,15,FALSE)</f>
        <v>5.5</v>
      </c>
    </row>
    <row r="455" spans="1:8" x14ac:dyDescent="0.25">
      <c r="A455" t="s">
        <v>483</v>
      </c>
      <c r="B455">
        <f>_xlfn.XLOOKUP(A455,'Subbu- Mini Project EXcel Clean'!A455:A1454,'Subbu- Mini Project EXcel Clean'!I455:I1454,"Entry Level",0)</f>
        <v>5</v>
      </c>
      <c r="C455" t="str">
        <f>_xlfn.XLOOKUP(A455,'Subbu- Mini Project EXcel Clean'!A455:A1454,'Subbu- Mini Project EXcel Clean'!J455:J1454," ",0)</f>
        <v>Good</v>
      </c>
      <c r="D455">
        <f>_xlfn.XLOOKUP(A455,'Subbu- Mini Project EXcel Clean'!A455:A1454,'Subbu- Mini Project EXcel Clean'!N455:N1454,"entry Level",0)</f>
        <v>8.1999999999999993</v>
      </c>
      <c r="E455">
        <f>_xlfn.XLOOKUP(A455,'Subbu- Mini Project EXcel Clean'!A455:A1454,'Subbu- Mini Project EXcel Clean'!M455:M1454," ",0)</f>
        <v>98.4</v>
      </c>
      <c r="F455">
        <f>_xlfn.XLOOKUP(A455,'Subbu- Mini Project EXcel Clean'!A455:A1454,'Subbu- Mini Project EXcel Clean'!P455:P1454," ",0)</f>
        <v>1</v>
      </c>
      <c r="G455" t="str">
        <f>_xlfn.XLOOKUP(A455,'Subbu- Mini Project EXcel Clean'!A455:A1454,'Subbu- Mini Project EXcel Clean'!Q455:Q1454," ",0)</f>
        <v>Low</v>
      </c>
      <c r="H455">
        <f>VLOOKUP(A455,'Subbu- Mini Project EXcel Clean'!A454:R1454,15,FALSE)</f>
        <v>1.3</v>
      </c>
    </row>
    <row r="456" spans="1:8" x14ac:dyDescent="0.25">
      <c r="A456" t="s">
        <v>484</v>
      </c>
      <c r="B456">
        <f>_xlfn.XLOOKUP(A456,'Subbu- Mini Project EXcel Clean'!A456:A1455,'Subbu- Mini Project EXcel Clean'!I456:I1455,"Entry Level",0)</f>
        <v>4</v>
      </c>
      <c r="C456" t="str">
        <f>_xlfn.XLOOKUP(A456,'Subbu- Mini Project EXcel Clean'!A456:A1455,'Subbu- Mini Project EXcel Clean'!J456:J1455," ",0)</f>
        <v>Excellent</v>
      </c>
      <c r="D456">
        <f>_xlfn.XLOOKUP(A456,'Subbu- Mini Project EXcel Clean'!A456:A1455,'Subbu- Mini Project EXcel Clean'!N456:N1455,"entry Level",0)</f>
        <v>7.5</v>
      </c>
      <c r="E456">
        <f>_xlfn.XLOOKUP(A456,'Subbu- Mini Project EXcel Clean'!A456:A1455,'Subbu- Mini Project EXcel Clean'!M456:M1455," ",0)</f>
        <v>88.4</v>
      </c>
      <c r="F456">
        <f>_xlfn.XLOOKUP(A456,'Subbu- Mini Project EXcel Clean'!A456:A1455,'Subbu- Mini Project EXcel Clean'!P456:P1455," ",0)</f>
        <v>2</v>
      </c>
      <c r="G456" t="str">
        <f>_xlfn.XLOOKUP(A456,'Subbu- Mini Project EXcel Clean'!A456:A1455,'Subbu- Mini Project EXcel Clean'!Q456:Q1455," ",0)</f>
        <v>Low</v>
      </c>
      <c r="H456">
        <f>VLOOKUP(A456,'Subbu- Mini Project EXcel Clean'!A455:R1455,15,FALSE)</f>
        <v>1.7</v>
      </c>
    </row>
    <row r="457" spans="1:8" x14ac:dyDescent="0.25">
      <c r="A457" t="s">
        <v>485</v>
      </c>
      <c r="B457">
        <f>_xlfn.XLOOKUP(A457,'Subbu- Mini Project EXcel Clean'!A457:A1456,'Subbu- Mini Project EXcel Clean'!I457:I1456,"Entry Level",0)</f>
        <v>3</v>
      </c>
      <c r="C457" t="str">
        <f>_xlfn.XLOOKUP(A457,'Subbu- Mini Project EXcel Clean'!A457:A1456,'Subbu- Mini Project EXcel Clean'!J457:J1456," ",0)</f>
        <v>Excellent</v>
      </c>
      <c r="D457">
        <f>_xlfn.XLOOKUP(A457,'Subbu- Mini Project EXcel Clean'!A457:A1456,'Subbu- Mini Project EXcel Clean'!N457:N1456,"entry Level",0)</f>
        <v>6.5</v>
      </c>
      <c r="E457">
        <f>_xlfn.XLOOKUP(A457,'Subbu- Mini Project EXcel Clean'!A457:A1456,'Subbu- Mini Project EXcel Clean'!M457:M1456," ",0)</f>
        <v>79.599999999999994</v>
      </c>
      <c r="F457">
        <f>_xlfn.XLOOKUP(A457,'Subbu- Mini Project EXcel Clean'!A457:A1456,'Subbu- Mini Project EXcel Clean'!P457:P1456," ",0)</f>
        <v>4</v>
      </c>
      <c r="G457" t="str">
        <f>_xlfn.XLOOKUP(A457,'Subbu- Mini Project EXcel Clean'!A457:A1456,'Subbu- Mini Project EXcel Clean'!Q457:Q1456," ",0)</f>
        <v>Moderate</v>
      </c>
      <c r="H457">
        <f>VLOOKUP(A457,'Subbu- Mini Project EXcel Clean'!A456:R1456,15,FALSE)</f>
        <v>4.5999999999999996</v>
      </c>
    </row>
    <row r="458" spans="1:8" x14ac:dyDescent="0.25">
      <c r="A458" t="s">
        <v>486</v>
      </c>
      <c r="B458">
        <f>_xlfn.XLOOKUP(A458,'Subbu- Mini Project EXcel Clean'!A458:A1457,'Subbu- Mini Project EXcel Clean'!I458:I1457,"Entry Level",0)</f>
        <v>4</v>
      </c>
      <c r="C458" t="str">
        <f>_xlfn.XLOOKUP(A458,'Subbu- Mini Project EXcel Clean'!A458:A1457,'Subbu- Mini Project EXcel Clean'!J458:J1457," ",0)</f>
        <v>Good</v>
      </c>
      <c r="D458">
        <f>_xlfn.XLOOKUP(A458,'Subbu- Mini Project EXcel Clean'!A458:A1457,'Subbu- Mini Project EXcel Clean'!N458:N1457,"entry Level",0)</f>
        <v>7.1</v>
      </c>
      <c r="E458">
        <f>_xlfn.XLOOKUP(A458,'Subbu- Mini Project EXcel Clean'!A458:A1457,'Subbu- Mini Project EXcel Clean'!M458:M1457," ",0)</f>
        <v>91</v>
      </c>
      <c r="F458">
        <f>_xlfn.XLOOKUP(A458,'Subbu- Mini Project EXcel Clean'!A458:A1457,'Subbu- Mini Project EXcel Clean'!P458:P1457," ",0)</f>
        <v>3</v>
      </c>
      <c r="G458" t="str">
        <f>_xlfn.XLOOKUP(A458,'Subbu- Mini Project EXcel Clean'!A458:A1457,'Subbu- Mini Project EXcel Clean'!Q458:Q1457," ",0)</f>
        <v>Moderate</v>
      </c>
      <c r="H458">
        <f>VLOOKUP(A458,'Subbu- Mini Project EXcel Clean'!A457:R1457,15,FALSE)</f>
        <v>3.2</v>
      </c>
    </row>
    <row r="459" spans="1:8" x14ac:dyDescent="0.25">
      <c r="A459" t="s">
        <v>487</v>
      </c>
      <c r="B459">
        <f>_xlfn.XLOOKUP(A459,'Subbu- Mini Project EXcel Clean'!A459:A1458,'Subbu- Mini Project EXcel Clean'!I459:I1458,"Entry Level",0)</f>
        <v>5</v>
      </c>
      <c r="C459" t="str">
        <f>_xlfn.XLOOKUP(A459,'Subbu- Mini Project EXcel Clean'!A459:A1458,'Subbu- Mini Project EXcel Clean'!J459:J1458," ",0)</f>
        <v>Good</v>
      </c>
      <c r="D459">
        <f>_xlfn.XLOOKUP(A459,'Subbu- Mini Project EXcel Clean'!A459:A1458,'Subbu- Mini Project EXcel Clean'!N459:N1458,"entry Level",0)</f>
        <v>6.5</v>
      </c>
      <c r="E459">
        <f>_xlfn.XLOOKUP(A459,'Subbu- Mini Project EXcel Clean'!A459:A1458,'Subbu- Mini Project EXcel Clean'!M459:M1458," ",0)</f>
        <v>86.6</v>
      </c>
      <c r="F459">
        <f>_xlfn.XLOOKUP(A459,'Subbu- Mini Project EXcel Clean'!A459:A1458,'Subbu- Mini Project EXcel Clean'!P459:P1458," ",0)</f>
        <v>4</v>
      </c>
      <c r="G459" t="str">
        <f>_xlfn.XLOOKUP(A459,'Subbu- Mini Project EXcel Clean'!A459:A1458,'Subbu- Mini Project EXcel Clean'!Q459:Q1458," ",0)</f>
        <v>Moderate</v>
      </c>
      <c r="H459">
        <f>VLOOKUP(A459,'Subbu- Mini Project EXcel Clean'!A458:R1458,15,FALSE)</f>
        <v>3</v>
      </c>
    </row>
    <row r="460" spans="1:8" x14ac:dyDescent="0.25">
      <c r="A460" t="s">
        <v>488</v>
      </c>
      <c r="B460">
        <f>_xlfn.XLOOKUP(A460,'Subbu- Mini Project EXcel Clean'!A460:A1459,'Subbu- Mini Project EXcel Clean'!I460:I1459,"Entry Level",0)</f>
        <v>3</v>
      </c>
      <c r="C460" t="str">
        <f>_xlfn.XLOOKUP(A460,'Subbu- Mini Project EXcel Clean'!A460:A1459,'Subbu- Mini Project EXcel Clean'!J460:J1459," ",0)</f>
        <v>Consistent</v>
      </c>
      <c r="D460">
        <f>_xlfn.XLOOKUP(A460,'Subbu- Mini Project EXcel Clean'!A460:A1459,'Subbu- Mini Project EXcel Clean'!N460:N1459,"entry Level",0)</f>
        <v>7.4</v>
      </c>
      <c r="E460">
        <f>_xlfn.XLOOKUP(A460,'Subbu- Mini Project EXcel Clean'!A460:A1459,'Subbu- Mini Project EXcel Clean'!M460:M1459," ",0)</f>
        <v>89.7</v>
      </c>
      <c r="F460">
        <f>_xlfn.XLOOKUP(A460,'Subbu- Mini Project EXcel Clean'!A460:A1459,'Subbu- Mini Project EXcel Clean'!P460:P1459," ",0)</f>
        <v>4</v>
      </c>
      <c r="G460" t="str">
        <f>_xlfn.XLOOKUP(A460,'Subbu- Mini Project EXcel Clean'!A460:A1459,'Subbu- Mini Project EXcel Clean'!Q460:Q1459," ",0)</f>
        <v>Moderate</v>
      </c>
      <c r="H460">
        <f>VLOOKUP(A460,'Subbu- Mini Project EXcel Clean'!A459:R1459,15,FALSE)</f>
        <v>1.7</v>
      </c>
    </row>
    <row r="461" spans="1:8" x14ac:dyDescent="0.25">
      <c r="A461" t="s">
        <v>489</v>
      </c>
      <c r="B461">
        <f>_xlfn.XLOOKUP(A461,'Subbu- Mini Project EXcel Clean'!A461:A1460,'Subbu- Mini Project EXcel Clean'!I461:I1460,"Entry Level",0)</f>
        <v>3</v>
      </c>
      <c r="C461" t="str">
        <f>_xlfn.XLOOKUP(A461,'Subbu- Mini Project EXcel Clean'!A461:A1460,'Subbu- Mini Project EXcel Clean'!J461:J1460," ",0)</f>
        <v>Consistent</v>
      </c>
      <c r="D461">
        <f>_xlfn.XLOOKUP(A461,'Subbu- Mini Project EXcel Clean'!A461:A1460,'Subbu- Mini Project EXcel Clean'!N461:N1460,"entry Level",0)</f>
        <v>7.3</v>
      </c>
      <c r="E461">
        <f>_xlfn.XLOOKUP(A461,'Subbu- Mini Project EXcel Clean'!A461:A1460,'Subbu- Mini Project EXcel Clean'!M461:M1460," ",0)</f>
        <v>72.8</v>
      </c>
      <c r="F461">
        <f>_xlfn.XLOOKUP(A461,'Subbu- Mini Project EXcel Clean'!A461:A1460,'Subbu- Mini Project EXcel Clean'!P461:P1460," ",0)</f>
        <v>1</v>
      </c>
      <c r="G461" t="str">
        <f>_xlfn.XLOOKUP(A461,'Subbu- Mini Project EXcel Clean'!A461:A1460,'Subbu- Mini Project EXcel Clean'!Q461:Q1460," ",0)</f>
        <v>Low</v>
      </c>
      <c r="H461">
        <f>VLOOKUP(A461,'Subbu- Mini Project EXcel Clean'!A460:R1460,15,FALSE)</f>
        <v>3.5</v>
      </c>
    </row>
    <row r="462" spans="1:8" x14ac:dyDescent="0.25">
      <c r="A462" t="s">
        <v>490</v>
      </c>
      <c r="B462">
        <f>_xlfn.XLOOKUP(A462,'Subbu- Mini Project EXcel Clean'!A462:A1461,'Subbu- Mini Project EXcel Clean'!I462:I1461,"Entry Level",0)</f>
        <v>3</v>
      </c>
      <c r="C462" t="str">
        <f>_xlfn.XLOOKUP(A462,'Subbu- Mini Project EXcel Clean'!A462:A1461,'Subbu- Mini Project EXcel Clean'!J462:J1461," ",0)</f>
        <v>Consistent</v>
      </c>
      <c r="D462">
        <f>_xlfn.XLOOKUP(A462,'Subbu- Mini Project EXcel Clean'!A462:A1461,'Subbu- Mini Project EXcel Clean'!N462:N1461,"entry Level",0)</f>
        <v>7.8</v>
      </c>
      <c r="E462">
        <f>_xlfn.XLOOKUP(A462,'Subbu- Mini Project EXcel Clean'!A462:A1461,'Subbu- Mini Project EXcel Clean'!M462:M1461," ",0)</f>
        <v>70.3</v>
      </c>
      <c r="F462">
        <f>_xlfn.XLOOKUP(A462,'Subbu- Mini Project EXcel Clean'!A462:A1461,'Subbu- Mini Project EXcel Clean'!P462:P1461," ",0)</f>
        <v>4</v>
      </c>
      <c r="G462" t="str">
        <f>_xlfn.XLOOKUP(A462,'Subbu- Mini Project EXcel Clean'!A462:A1461,'Subbu- Mini Project EXcel Clean'!Q462:Q1461," ",0)</f>
        <v>Moderate</v>
      </c>
      <c r="H462">
        <f>VLOOKUP(A462,'Subbu- Mini Project EXcel Clean'!A461:R1461,15,FALSE)</f>
        <v>1.6</v>
      </c>
    </row>
    <row r="463" spans="1:8" x14ac:dyDescent="0.25">
      <c r="A463" t="s">
        <v>491</v>
      </c>
      <c r="B463">
        <f>_xlfn.XLOOKUP(A463,'Subbu- Mini Project EXcel Clean'!A463:A1462,'Subbu- Mini Project EXcel Clean'!I463:I1462,"Entry Level",0)</f>
        <v>5</v>
      </c>
      <c r="C463" t="str">
        <f>_xlfn.XLOOKUP(A463,'Subbu- Mini Project EXcel Clean'!A463:A1462,'Subbu- Mini Project EXcel Clean'!J463:J1462," ",0)</f>
        <v>Good</v>
      </c>
      <c r="D463">
        <f>_xlfn.XLOOKUP(A463,'Subbu- Mini Project EXcel Clean'!A463:A1462,'Subbu- Mini Project EXcel Clean'!N463:N1462,"entry Level",0)</f>
        <v>6.8</v>
      </c>
      <c r="E463">
        <f>_xlfn.XLOOKUP(A463,'Subbu- Mini Project EXcel Clean'!A463:A1462,'Subbu- Mini Project EXcel Clean'!M463:M1462," ",0)</f>
        <v>96.5</v>
      </c>
      <c r="F463">
        <f>_xlfn.XLOOKUP(A463,'Subbu- Mini Project EXcel Clean'!A463:A1462,'Subbu- Mini Project EXcel Clean'!P463:P1462," ",0)</f>
        <v>1</v>
      </c>
      <c r="G463" t="str">
        <f>_xlfn.XLOOKUP(A463,'Subbu- Mini Project EXcel Clean'!A463:A1462,'Subbu- Mini Project EXcel Clean'!Q463:Q1462," ",0)</f>
        <v>Low</v>
      </c>
      <c r="H463">
        <f>VLOOKUP(A463,'Subbu- Mini Project EXcel Clean'!A462:R1462,15,FALSE)</f>
        <v>3.4</v>
      </c>
    </row>
    <row r="464" spans="1:8" x14ac:dyDescent="0.25">
      <c r="A464" t="s">
        <v>492</v>
      </c>
      <c r="B464">
        <f>_xlfn.XLOOKUP(A464,'Subbu- Mini Project EXcel Clean'!A464:A1463,'Subbu- Mini Project EXcel Clean'!I464:I1463,"Entry Level",0)</f>
        <v>4</v>
      </c>
      <c r="C464" t="str">
        <f>_xlfn.XLOOKUP(A464,'Subbu- Mini Project EXcel Clean'!A464:A1463,'Subbu- Mini Project EXcel Clean'!J464:J1463," ",0)</f>
        <v>Excellent</v>
      </c>
      <c r="D464">
        <f>_xlfn.XLOOKUP(A464,'Subbu- Mini Project EXcel Clean'!A464:A1463,'Subbu- Mini Project EXcel Clean'!N464:N1463,"entry Level",0)</f>
        <v>6.7</v>
      </c>
      <c r="E464">
        <f>_xlfn.XLOOKUP(A464,'Subbu- Mini Project EXcel Clean'!A464:A1463,'Subbu- Mini Project EXcel Clean'!M464:M1463," ",0)</f>
        <v>94.3</v>
      </c>
      <c r="F464">
        <f>_xlfn.XLOOKUP(A464,'Subbu- Mini Project EXcel Clean'!A464:A1463,'Subbu- Mini Project EXcel Clean'!P464:P1463," ",0)</f>
        <v>6</v>
      </c>
      <c r="G464" t="str">
        <f>_xlfn.XLOOKUP(A464,'Subbu- Mini Project EXcel Clean'!A464:A1463,'Subbu- Mini Project EXcel Clean'!Q464:Q1463," ",0)</f>
        <v>High</v>
      </c>
      <c r="H464">
        <f>VLOOKUP(A464,'Subbu- Mini Project EXcel Clean'!A463:R1463,15,FALSE)</f>
        <v>4.8</v>
      </c>
    </row>
    <row r="465" spans="1:8" x14ac:dyDescent="0.25">
      <c r="A465" t="s">
        <v>493</v>
      </c>
      <c r="B465">
        <f>_xlfn.XLOOKUP(A465,'Subbu- Mini Project EXcel Clean'!A465:A1464,'Subbu- Mini Project EXcel Clean'!I465:I1464,"Entry Level",0)</f>
        <v>1</v>
      </c>
      <c r="C465" t="str">
        <f>_xlfn.XLOOKUP(A465,'Subbu- Mini Project EXcel Clean'!A465:A1464,'Subbu- Mini Project EXcel Clean'!J465:J1464," ",0)</f>
        <v>Consistent</v>
      </c>
      <c r="D465">
        <f>_xlfn.XLOOKUP(A465,'Subbu- Mini Project EXcel Clean'!A465:A1464,'Subbu- Mini Project EXcel Clean'!N465:N1464,"entry Level",0)</f>
        <v>6.9</v>
      </c>
      <c r="E465">
        <f>_xlfn.XLOOKUP(A465,'Subbu- Mini Project EXcel Clean'!A465:A1464,'Subbu- Mini Project EXcel Clean'!M465:M1464," ",0)</f>
        <v>63.4</v>
      </c>
      <c r="F465">
        <f>_xlfn.XLOOKUP(A465,'Subbu- Mini Project EXcel Clean'!A465:A1464,'Subbu- Mini Project EXcel Clean'!P465:P1464," ",0)</f>
        <v>3</v>
      </c>
      <c r="G465" t="str">
        <f>_xlfn.XLOOKUP(A465,'Subbu- Mini Project EXcel Clean'!A465:A1464,'Subbu- Mini Project EXcel Clean'!Q465:Q1464," ",0)</f>
        <v>Low</v>
      </c>
      <c r="H465">
        <f>VLOOKUP(A465,'Subbu- Mini Project EXcel Clean'!A464:R1464,15,FALSE)</f>
        <v>2.2999999999999998</v>
      </c>
    </row>
    <row r="466" spans="1:8" x14ac:dyDescent="0.25">
      <c r="A466" t="s">
        <v>494</v>
      </c>
      <c r="B466">
        <f>_xlfn.XLOOKUP(A466,'Subbu- Mini Project EXcel Clean'!A466:A1465,'Subbu- Mini Project EXcel Clean'!I466:I1465,"Entry Level",0)</f>
        <v>5</v>
      </c>
      <c r="C466" t="str">
        <f>_xlfn.XLOOKUP(A466,'Subbu- Mini Project EXcel Clean'!A466:A1465,'Subbu- Mini Project EXcel Clean'!J466:J1465," ",0)</f>
        <v>Good</v>
      </c>
      <c r="D466">
        <f>_xlfn.XLOOKUP(A466,'Subbu- Mini Project EXcel Clean'!A466:A1465,'Subbu- Mini Project EXcel Clean'!N466:N1465,"entry Level",0)</f>
        <v>7.3</v>
      </c>
      <c r="E466">
        <f>_xlfn.XLOOKUP(A466,'Subbu- Mini Project EXcel Clean'!A466:A1465,'Subbu- Mini Project EXcel Clean'!M466:M1465," ",0)</f>
        <v>88.3</v>
      </c>
      <c r="F466">
        <f>_xlfn.XLOOKUP(A466,'Subbu- Mini Project EXcel Clean'!A466:A1465,'Subbu- Mini Project EXcel Clean'!P466:P1465," ",0)</f>
        <v>7</v>
      </c>
      <c r="G466" t="str">
        <f>_xlfn.XLOOKUP(A466,'Subbu- Mini Project EXcel Clean'!A466:A1465,'Subbu- Mini Project EXcel Clean'!Q466:Q1465," ",0)</f>
        <v>High</v>
      </c>
      <c r="H466">
        <f>VLOOKUP(A466,'Subbu- Mini Project EXcel Clean'!A465:R1465,15,FALSE)</f>
        <v>3.4</v>
      </c>
    </row>
    <row r="467" spans="1:8" x14ac:dyDescent="0.25">
      <c r="A467" t="s">
        <v>495</v>
      </c>
      <c r="B467">
        <f>_xlfn.XLOOKUP(A467,'Subbu- Mini Project EXcel Clean'!A467:A1466,'Subbu- Mini Project EXcel Clean'!I467:I1466,"Entry Level",0)</f>
        <v>3</v>
      </c>
      <c r="C467" t="str">
        <f>_xlfn.XLOOKUP(A467,'Subbu- Mini Project EXcel Clean'!A467:A1466,'Subbu- Mini Project EXcel Clean'!J467:J1466," ",0)</f>
        <v>Consistent</v>
      </c>
      <c r="D467">
        <f>_xlfn.XLOOKUP(A467,'Subbu- Mini Project EXcel Clean'!A467:A1466,'Subbu- Mini Project EXcel Clean'!N467:N1466,"entry Level",0)</f>
        <v>6.2</v>
      </c>
      <c r="E467">
        <f>_xlfn.XLOOKUP(A467,'Subbu- Mini Project EXcel Clean'!A467:A1466,'Subbu- Mini Project EXcel Clean'!M467:M1466," ",0)</f>
        <v>85.5</v>
      </c>
      <c r="F467">
        <f>_xlfn.XLOOKUP(A467,'Subbu- Mini Project EXcel Clean'!A467:A1466,'Subbu- Mini Project EXcel Clean'!P467:P1466," ",0)</f>
        <v>1</v>
      </c>
      <c r="G467" t="str">
        <f>_xlfn.XLOOKUP(A467,'Subbu- Mini Project EXcel Clean'!A467:A1466,'Subbu- Mini Project EXcel Clean'!Q467:Q1466," ",0)</f>
        <v>Low</v>
      </c>
      <c r="H467">
        <f>VLOOKUP(A467,'Subbu- Mini Project EXcel Clean'!A466:R1466,15,FALSE)</f>
        <v>6</v>
      </c>
    </row>
    <row r="468" spans="1:8" x14ac:dyDescent="0.25">
      <c r="A468" t="s">
        <v>496</v>
      </c>
      <c r="B468">
        <f>_xlfn.XLOOKUP(A468,'Subbu- Mini Project EXcel Clean'!A468:A1467,'Subbu- Mini Project EXcel Clean'!I468:I1467,"Entry Level",0)</f>
        <v>1</v>
      </c>
      <c r="C468" t="str">
        <f>_xlfn.XLOOKUP(A468,'Subbu- Mini Project EXcel Clean'!A468:A1467,'Subbu- Mini Project EXcel Clean'!J468:J1467," ",0)</f>
        <v>Consistent</v>
      </c>
      <c r="D468">
        <f>_xlfn.XLOOKUP(A468,'Subbu- Mini Project EXcel Clean'!A468:A1467,'Subbu- Mini Project EXcel Clean'!N468:N1467,"entry Level",0)</f>
        <v>6.5</v>
      </c>
      <c r="E468">
        <f>_xlfn.XLOOKUP(A468,'Subbu- Mini Project EXcel Clean'!A468:A1467,'Subbu- Mini Project EXcel Clean'!M468:M1467," ",0)</f>
        <v>66.400000000000006</v>
      </c>
      <c r="F468">
        <f>_xlfn.XLOOKUP(A468,'Subbu- Mini Project EXcel Clean'!A468:A1467,'Subbu- Mini Project EXcel Clean'!P468:P1467," ",0)</f>
        <v>4</v>
      </c>
      <c r="G468" t="str">
        <f>_xlfn.XLOOKUP(A468,'Subbu- Mini Project EXcel Clean'!A468:A1467,'Subbu- Mini Project EXcel Clean'!Q468:Q1467," ",0)</f>
        <v>Moderate</v>
      </c>
      <c r="H468">
        <f>VLOOKUP(A468,'Subbu- Mini Project EXcel Clean'!A467:R1467,15,FALSE)</f>
        <v>4.4000000000000004</v>
      </c>
    </row>
    <row r="469" spans="1:8" x14ac:dyDescent="0.25">
      <c r="A469" t="s">
        <v>497</v>
      </c>
      <c r="B469">
        <f>_xlfn.XLOOKUP(A469,'Subbu- Mini Project EXcel Clean'!A469:A1468,'Subbu- Mini Project EXcel Clean'!I469:I1468,"Entry Level",0)</f>
        <v>3</v>
      </c>
      <c r="C469" t="str">
        <f>_xlfn.XLOOKUP(A469,'Subbu- Mini Project EXcel Clean'!A469:A1468,'Subbu- Mini Project EXcel Clean'!J469:J1468," ",0)</f>
        <v>Excellent</v>
      </c>
      <c r="D469">
        <f>_xlfn.XLOOKUP(A469,'Subbu- Mini Project EXcel Clean'!A469:A1468,'Subbu- Mini Project EXcel Clean'!N469:N1468,"entry Level",0)</f>
        <v>6.3</v>
      </c>
      <c r="E469">
        <f>_xlfn.XLOOKUP(A469,'Subbu- Mini Project EXcel Clean'!A469:A1468,'Subbu- Mini Project EXcel Clean'!M469:M1468," ",0)</f>
        <v>84.7</v>
      </c>
      <c r="F469">
        <f>_xlfn.XLOOKUP(A469,'Subbu- Mini Project EXcel Clean'!A469:A1468,'Subbu- Mini Project EXcel Clean'!P469:P1468," ",0)</f>
        <v>3</v>
      </c>
      <c r="G469" t="str">
        <f>_xlfn.XLOOKUP(A469,'Subbu- Mini Project EXcel Clean'!A469:A1468,'Subbu- Mini Project EXcel Clean'!Q469:Q1468," ",0)</f>
        <v>Low</v>
      </c>
      <c r="H469">
        <f>VLOOKUP(A469,'Subbu- Mini Project EXcel Clean'!A468:R1468,15,FALSE)</f>
        <v>5.2</v>
      </c>
    </row>
    <row r="470" spans="1:8" x14ac:dyDescent="0.25">
      <c r="A470" t="s">
        <v>498</v>
      </c>
      <c r="B470">
        <f>_xlfn.XLOOKUP(A470,'Subbu- Mini Project EXcel Clean'!A470:A1469,'Subbu- Mini Project EXcel Clean'!I470:I1469,"Entry Level",0)</f>
        <v>3</v>
      </c>
      <c r="C470" t="str">
        <f>_xlfn.XLOOKUP(A470,'Subbu- Mini Project EXcel Clean'!A470:A1469,'Subbu- Mini Project EXcel Clean'!J470:J1469," ",0)</f>
        <v>Consistent</v>
      </c>
      <c r="D470">
        <f>_xlfn.XLOOKUP(A470,'Subbu- Mini Project EXcel Clean'!A470:A1469,'Subbu- Mini Project EXcel Clean'!N470:N1469,"entry Level",0)</f>
        <v>7</v>
      </c>
      <c r="E470">
        <f>_xlfn.XLOOKUP(A470,'Subbu- Mini Project EXcel Clean'!A470:A1469,'Subbu- Mini Project EXcel Clean'!M470:M1469," ",0)</f>
        <v>80.3</v>
      </c>
      <c r="F470">
        <f>_xlfn.XLOOKUP(A470,'Subbu- Mini Project EXcel Clean'!A470:A1469,'Subbu- Mini Project EXcel Clean'!P470:P1469," ",0)</f>
        <v>6</v>
      </c>
      <c r="G470" t="str">
        <f>_xlfn.XLOOKUP(A470,'Subbu- Mini Project EXcel Clean'!A470:A1469,'Subbu- Mini Project EXcel Clean'!Q470:Q1469," ",0)</f>
        <v>Moderate</v>
      </c>
      <c r="H470">
        <f>VLOOKUP(A470,'Subbu- Mini Project EXcel Clean'!A469:R1469,15,FALSE)</f>
        <v>3.1</v>
      </c>
    </row>
    <row r="471" spans="1:8" x14ac:dyDescent="0.25">
      <c r="A471" t="s">
        <v>499</v>
      </c>
      <c r="B471">
        <f>_xlfn.XLOOKUP(A471,'Subbu- Mini Project EXcel Clean'!A471:A1470,'Subbu- Mini Project EXcel Clean'!I471:I1470,"Entry Level",0)</f>
        <v>5</v>
      </c>
      <c r="C471" t="str">
        <f>_xlfn.XLOOKUP(A471,'Subbu- Mini Project EXcel Clean'!A471:A1470,'Subbu- Mini Project EXcel Clean'!J471:J1470," ",0)</f>
        <v>Good</v>
      </c>
      <c r="D471">
        <f>_xlfn.XLOOKUP(A471,'Subbu- Mini Project EXcel Clean'!A471:A1470,'Subbu- Mini Project EXcel Clean'!N471:N1470,"entry Level",0)</f>
        <v>6.3</v>
      </c>
      <c r="E471">
        <f>_xlfn.XLOOKUP(A471,'Subbu- Mini Project EXcel Clean'!A471:A1470,'Subbu- Mini Project EXcel Clean'!M471:M1470," ",0)</f>
        <v>107.1</v>
      </c>
      <c r="F471">
        <f>_xlfn.XLOOKUP(A471,'Subbu- Mini Project EXcel Clean'!A471:A1470,'Subbu- Mini Project EXcel Clean'!P471:P1470," ",0)</f>
        <v>5</v>
      </c>
      <c r="G471" t="str">
        <f>_xlfn.XLOOKUP(A471,'Subbu- Mini Project EXcel Clean'!A471:A1470,'Subbu- Mini Project EXcel Clean'!Q471:Q1470," ",0)</f>
        <v>Moderate</v>
      </c>
      <c r="H471">
        <f>VLOOKUP(A471,'Subbu- Mini Project EXcel Clean'!A470:R1470,15,FALSE)</f>
        <v>4.8</v>
      </c>
    </row>
    <row r="472" spans="1:8" x14ac:dyDescent="0.25">
      <c r="A472" t="s">
        <v>500</v>
      </c>
      <c r="B472">
        <f>_xlfn.XLOOKUP(A472,'Subbu- Mini Project EXcel Clean'!A472:A1471,'Subbu- Mini Project EXcel Clean'!I472:I1471,"Entry Level",0)</f>
        <v>2</v>
      </c>
      <c r="C472" t="str">
        <f>_xlfn.XLOOKUP(A472,'Subbu- Mini Project EXcel Clean'!A472:A1471,'Subbu- Mini Project EXcel Clean'!J472:J1471," ",0)</f>
        <v>Consistent</v>
      </c>
      <c r="D472">
        <f>_xlfn.XLOOKUP(A472,'Subbu- Mini Project EXcel Clean'!A472:A1471,'Subbu- Mini Project EXcel Clean'!N472:N1471,"entry Level",0)</f>
        <v>8</v>
      </c>
      <c r="E472">
        <f>_xlfn.XLOOKUP(A472,'Subbu- Mini Project EXcel Clean'!A472:A1471,'Subbu- Mini Project EXcel Clean'!M472:M1471," ",0)</f>
        <v>79.099999999999994</v>
      </c>
      <c r="F472">
        <f>_xlfn.XLOOKUP(A472,'Subbu- Mini Project EXcel Clean'!A472:A1471,'Subbu- Mini Project EXcel Clean'!P472:P1471," ",0)</f>
        <v>5</v>
      </c>
      <c r="G472" t="str">
        <f>_xlfn.XLOOKUP(A472,'Subbu- Mini Project EXcel Clean'!A472:A1471,'Subbu- Mini Project EXcel Clean'!Q472:Q1471," ",0)</f>
        <v>Moderate</v>
      </c>
      <c r="H472">
        <f>VLOOKUP(A472,'Subbu- Mini Project EXcel Clean'!A471:R1471,15,FALSE)</f>
        <v>1.2</v>
      </c>
    </row>
    <row r="473" spans="1:8" x14ac:dyDescent="0.25">
      <c r="A473" t="s">
        <v>501</v>
      </c>
      <c r="B473">
        <f>_xlfn.XLOOKUP(A473,'Subbu- Mini Project EXcel Clean'!A473:A1472,'Subbu- Mini Project EXcel Clean'!I473:I1472,"Entry Level",0)</f>
        <v>4</v>
      </c>
      <c r="C473" t="str">
        <f>_xlfn.XLOOKUP(A473,'Subbu- Mini Project EXcel Clean'!A473:A1472,'Subbu- Mini Project EXcel Clean'!J473:J1472," ",0)</f>
        <v>Good</v>
      </c>
      <c r="D473">
        <f>_xlfn.XLOOKUP(A473,'Subbu- Mini Project EXcel Clean'!A473:A1472,'Subbu- Mini Project EXcel Clean'!N473:N1472,"entry Level",0)</f>
        <v>7.3</v>
      </c>
      <c r="E473">
        <f>_xlfn.XLOOKUP(A473,'Subbu- Mini Project EXcel Clean'!A473:A1472,'Subbu- Mini Project EXcel Clean'!M473:M1472," ",0)</f>
        <v>89.6</v>
      </c>
      <c r="F473">
        <f>_xlfn.XLOOKUP(A473,'Subbu- Mini Project EXcel Clean'!A473:A1472,'Subbu- Mini Project EXcel Clean'!P473:P1472," ",0)</f>
        <v>5</v>
      </c>
      <c r="G473" t="str">
        <f>_xlfn.XLOOKUP(A473,'Subbu- Mini Project EXcel Clean'!A473:A1472,'Subbu- Mini Project EXcel Clean'!Q473:Q1472," ",0)</f>
        <v>Moderate</v>
      </c>
      <c r="H473">
        <f>VLOOKUP(A473,'Subbu- Mini Project EXcel Clean'!A472:R1472,15,FALSE)</f>
        <v>1.6</v>
      </c>
    </row>
    <row r="474" spans="1:8" x14ac:dyDescent="0.25">
      <c r="A474" t="s">
        <v>502</v>
      </c>
      <c r="B474">
        <f>_xlfn.XLOOKUP(A474,'Subbu- Mini Project EXcel Clean'!A474:A1473,'Subbu- Mini Project EXcel Clean'!I474:I1473,"Entry Level",0)</f>
        <v>3</v>
      </c>
      <c r="C474" t="str">
        <f>_xlfn.XLOOKUP(A474,'Subbu- Mini Project EXcel Clean'!A474:A1473,'Subbu- Mini Project EXcel Clean'!J474:J1473," ",0)</f>
        <v>Excellent</v>
      </c>
      <c r="D474">
        <f>_xlfn.XLOOKUP(A474,'Subbu- Mini Project EXcel Clean'!A474:A1473,'Subbu- Mini Project EXcel Clean'!N474:N1473,"entry Level",0)</f>
        <v>8.1999999999999993</v>
      </c>
      <c r="E474">
        <f>_xlfn.XLOOKUP(A474,'Subbu- Mini Project EXcel Clean'!A474:A1473,'Subbu- Mini Project EXcel Clean'!M474:M1473," ",0)</f>
        <v>90.4</v>
      </c>
      <c r="F474">
        <f>_xlfn.XLOOKUP(A474,'Subbu- Mini Project EXcel Clean'!A474:A1473,'Subbu- Mini Project EXcel Clean'!P474:P1473," ",0)</f>
        <v>2</v>
      </c>
      <c r="G474" t="str">
        <f>_xlfn.XLOOKUP(A474,'Subbu- Mini Project EXcel Clean'!A474:A1473,'Subbu- Mini Project EXcel Clean'!Q474:Q1473," ",0)</f>
        <v>Low</v>
      </c>
      <c r="H474">
        <f>VLOOKUP(A474,'Subbu- Mini Project EXcel Clean'!A473:R1473,15,FALSE)</f>
        <v>2</v>
      </c>
    </row>
    <row r="475" spans="1:8" x14ac:dyDescent="0.25">
      <c r="A475" t="s">
        <v>503</v>
      </c>
      <c r="B475">
        <f>_xlfn.XLOOKUP(A475,'Subbu- Mini Project EXcel Clean'!A475:A1474,'Subbu- Mini Project EXcel Clean'!I475:I1474,"Entry Level",0)</f>
        <v>1</v>
      </c>
      <c r="C475" t="str">
        <f>_xlfn.XLOOKUP(A475,'Subbu- Mini Project EXcel Clean'!A475:A1474,'Subbu- Mini Project EXcel Clean'!J475:J1474," ",0)</f>
        <v>Consistent</v>
      </c>
      <c r="D475">
        <f>_xlfn.XLOOKUP(A475,'Subbu- Mini Project EXcel Clean'!A475:A1474,'Subbu- Mini Project EXcel Clean'!N475:N1474,"entry Level",0)</f>
        <v>7.8</v>
      </c>
      <c r="E475">
        <f>_xlfn.XLOOKUP(A475,'Subbu- Mini Project EXcel Clean'!A475:A1474,'Subbu- Mini Project EXcel Clean'!M475:M1474," ",0)</f>
        <v>64.099999999999994</v>
      </c>
      <c r="F475">
        <f>_xlfn.XLOOKUP(A475,'Subbu- Mini Project EXcel Clean'!A475:A1474,'Subbu- Mini Project EXcel Clean'!P475:P1474," ",0)</f>
        <v>2</v>
      </c>
      <c r="G475" t="str">
        <f>_xlfn.XLOOKUP(A475,'Subbu- Mini Project EXcel Clean'!A475:A1474,'Subbu- Mini Project EXcel Clean'!Q475:Q1474," ",0)</f>
        <v>Low</v>
      </c>
      <c r="H475">
        <f>VLOOKUP(A475,'Subbu- Mini Project EXcel Clean'!A474:R1474,15,FALSE)</f>
        <v>3</v>
      </c>
    </row>
    <row r="476" spans="1:8" x14ac:dyDescent="0.25">
      <c r="A476" t="s">
        <v>504</v>
      </c>
      <c r="B476">
        <f>_xlfn.XLOOKUP(A476,'Subbu- Mini Project EXcel Clean'!A476:A1475,'Subbu- Mini Project EXcel Clean'!I476:I1475,"Entry Level",0)</f>
        <v>5</v>
      </c>
      <c r="C476" t="str">
        <f>_xlfn.XLOOKUP(A476,'Subbu- Mini Project EXcel Clean'!A476:A1475,'Subbu- Mini Project EXcel Clean'!J476:J1475," ",0)</f>
        <v>Good</v>
      </c>
      <c r="D476">
        <f>_xlfn.XLOOKUP(A476,'Subbu- Mini Project EXcel Clean'!A476:A1475,'Subbu- Mini Project EXcel Clean'!N476:N1475,"entry Level",0)</f>
        <v>6</v>
      </c>
      <c r="E476">
        <f>_xlfn.XLOOKUP(A476,'Subbu- Mini Project EXcel Clean'!A476:A1475,'Subbu- Mini Project EXcel Clean'!M476:M1475," ",0)</f>
        <v>101.4</v>
      </c>
      <c r="F476">
        <f>_xlfn.XLOOKUP(A476,'Subbu- Mini Project EXcel Clean'!A476:A1475,'Subbu- Mini Project EXcel Clean'!P476:P1475," ",0)</f>
        <v>3</v>
      </c>
      <c r="G476" t="str">
        <f>_xlfn.XLOOKUP(A476,'Subbu- Mini Project EXcel Clean'!A476:A1475,'Subbu- Mini Project EXcel Clean'!Q476:Q1475," ",0)</f>
        <v>Moderate</v>
      </c>
      <c r="H476">
        <f>VLOOKUP(A476,'Subbu- Mini Project EXcel Clean'!A475:R1475,15,FALSE)</f>
        <v>5.2</v>
      </c>
    </row>
    <row r="477" spans="1:8" x14ac:dyDescent="0.25">
      <c r="A477" t="s">
        <v>505</v>
      </c>
      <c r="B477">
        <f>_xlfn.XLOOKUP(A477,'Subbu- Mini Project EXcel Clean'!A477:A1476,'Subbu- Mini Project EXcel Clean'!I477:I1476,"Entry Level",0)</f>
        <v>3</v>
      </c>
      <c r="C477" t="str">
        <f>_xlfn.XLOOKUP(A477,'Subbu- Mini Project EXcel Clean'!A477:A1476,'Subbu- Mini Project EXcel Clean'!J477:J1476," ",0)</f>
        <v>Excellent</v>
      </c>
      <c r="D477">
        <f>_xlfn.XLOOKUP(A477,'Subbu- Mini Project EXcel Clean'!A477:A1476,'Subbu- Mini Project EXcel Clean'!N477:N1476,"entry Level",0)</f>
        <v>7.2</v>
      </c>
      <c r="E477">
        <f>_xlfn.XLOOKUP(A477,'Subbu- Mini Project EXcel Clean'!A477:A1476,'Subbu- Mini Project EXcel Clean'!M477:M1476," ",0)</f>
        <v>72</v>
      </c>
      <c r="F477">
        <f>_xlfn.XLOOKUP(A477,'Subbu- Mini Project EXcel Clean'!A477:A1476,'Subbu- Mini Project EXcel Clean'!P477:P1476," ",0)</f>
        <v>2</v>
      </c>
      <c r="G477" t="str">
        <f>_xlfn.XLOOKUP(A477,'Subbu- Mini Project EXcel Clean'!A477:A1476,'Subbu- Mini Project EXcel Clean'!Q477:Q1476," ",0)</f>
        <v>Low</v>
      </c>
      <c r="H477">
        <f>VLOOKUP(A477,'Subbu- Mini Project EXcel Clean'!A476:R1476,15,FALSE)</f>
        <v>2.7</v>
      </c>
    </row>
    <row r="478" spans="1:8" x14ac:dyDescent="0.25">
      <c r="A478" t="s">
        <v>506</v>
      </c>
      <c r="B478">
        <f>_xlfn.XLOOKUP(A478,'Subbu- Mini Project EXcel Clean'!A478:A1477,'Subbu- Mini Project EXcel Clean'!I478:I1477,"Entry Level",0)</f>
        <v>2</v>
      </c>
      <c r="C478" t="str">
        <f>_xlfn.XLOOKUP(A478,'Subbu- Mini Project EXcel Clean'!A478:A1477,'Subbu- Mini Project EXcel Clean'!J478:J1477," ",0)</f>
        <v>Consistent</v>
      </c>
      <c r="D478">
        <f>_xlfn.XLOOKUP(A478,'Subbu- Mini Project EXcel Clean'!A478:A1477,'Subbu- Mini Project EXcel Clean'!N478:N1477,"entry Level",0)</f>
        <v>6.4</v>
      </c>
      <c r="E478">
        <f>_xlfn.XLOOKUP(A478,'Subbu- Mini Project EXcel Clean'!A478:A1477,'Subbu- Mini Project EXcel Clean'!M478:M1477," ",0)</f>
        <v>70.8</v>
      </c>
      <c r="F478">
        <f>_xlfn.XLOOKUP(A478,'Subbu- Mini Project EXcel Clean'!A478:A1477,'Subbu- Mini Project EXcel Clean'!P478:P1477," ",0)</f>
        <v>4</v>
      </c>
      <c r="G478" t="str">
        <f>_xlfn.XLOOKUP(A478,'Subbu- Mini Project EXcel Clean'!A478:A1477,'Subbu- Mini Project EXcel Clean'!Q478:Q1477," ",0)</f>
        <v>Moderate</v>
      </c>
      <c r="H478">
        <f>VLOOKUP(A478,'Subbu- Mini Project EXcel Clean'!A477:R1477,15,FALSE)</f>
        <v>4.3</v>
      </c>
    </row>
    <row r="479" spans="1:8" x14ac:dyDescent="0.25">
      <c r="A479" t="s">
        <v>507</v>
      </c>
      <c r="B479">
        <f>_xlfn.XLOOKUP(A479,'Subbu- Mini Project EXcel Clean'!A479:A1478,'Subbu- Mini Project EXcel Clean'!I479:I1478,"Entry Level",0)</f>
        <v>3</v>
      </c>
      <c r="C479" t="str">
        <f>_xlfn.XLOOKUP(A479,'Subbu- Mini Project EXcel Clean'!A479:A1478,'Subbu- Mini Project EXcel Clean'!J479:J1478," ",0)</f>
        <v>Consistent</v>
      </c>
      <c r="D479">
        <f>_xlfn.XLOOKUP(A479,'Subbu- Mini Project EXcel Clean'!A479:A1478,'Subbu- Mini Project EXcel Clean'!N479:N1478,"entry Level",0)</f>
        <v>6.5</v>
      </c>
      <c r="E479">
        <f>_xlfn.XLOOKUP(A479,'Subbu- Mini Project EXcel Clean'!A479:A1478,'Subbu- Mini Project EXcel Clean'!M479:M1478," ",0)</f>
        <v>74.7</v>
      </c>
      <c r="F479">
        <f>_xlfn.XLOOKUP(A479,'Subbu- Mini Project EXcel Clean'!A479:A1478,'Subbu- Mini Project EXcel Clean'!P479:P1478," ",0)</f>
        <v>6</v>
      </c>
      <c r="G479" t="str">
        <f>_xlfn.XLOOKUP(A479,'Subbu- Mini Project EXcel Clean'!A479:A1478,'Subbu- Mini Project EXcel Clean'!Q479:Q1478," ",0)</f>
        <v>Moderate</v>
      </c>
      <c r="H479">
        <f>VLOOKUP(A479,'Subbu- Mini Project EXcel Clean'!A478:R1478,15,FALSE)</f>
        <v>4.5</v>
      </c>
    </row>
    <row r="480" spans="1:8" x14ac:dyDescent="0.25">
      <c r="A480" t="s">
        <v>508</v>
      </c>
      <c r="B480">
        <f>_xlfn.XLOOKUP(A480,'Subbu- Mini Project EXcel Clean'!A480:A1479,'Subbu- Mini Project EXcel Clean'!I480:I1479,"Entry Level",0)</f>
        <v>4</v>
      </c>
      <c r="C480" t="str">
        <f>_xlfn.XLOOKUP(A480,'Subbu- Mini Project EXcel Clean'!A480:A1479,'Subbu- Mini Project EXcel Clean'!J480:J1479," ",0)</f>
        <v>Good</v>
      </c>
      <c r="D480">
        <f>_xlfn.XLOOKUP(A480,'Subbu- Mini Project EXcel Clean'!A480:A1479,'Subbu- Mini Project EXcel Clean'!N480:N1479,"entry Level",0)</f>
        <v>7.8</v>
      </c>
      <c r="E480">
        <f>_xlfn.XLOOKUP(A480,'Subbu- Mini Project EXcel Clean'!A480:A1479,'Subbu- Mini Project EXcel Clean'!M480:M1479," ",0)</f>
        <v>98.5</v>
      </c>
      <c r="F480">
        <f>_xlfn.XLOOKUP(A480,'Subbu- Mini Project EXcel Clean'!A480:A1479,'Subbu- Mini Project EXcel Clean'!P480:P1479," ",0)</f>
        <v>6</v>
      </c>
      <c r="G480" t="str">
        <f>_xlfn.XLOOKUP(A480,'Subbu- Mini Project EXcel Clean'!A480:A1479,'Subbu- Mini Project EXcel Clean'!Q480:Q1479," ",0)</f>
        <v>Moderate</v>
      </c>
      <c r="H480">
        <f>VLOOKUP(A480,'Subbu- Mini Project EXcel Clean'!A479:R1479,15,FALSE)</f>
        <v>3.9</v>
      </c>
    </row>
    <row r="481" spans="1:8" x14ac:dyDescent="0.25">
      <c r="A481" t="s">
        <v>509</v>
      </c>
      <c r="B481">
        <f>_xlfn.XLOOKUP(A481,'Subbu- Mini Project EXcel Clean'!A481:A1480,'Subbu- Mini Project EXcel Clean'!I481:I1480,"Entry Level",0)</f>
        <v>2</v>
      </c>
      <c r="C481" t="str">
        <f>_xlfn.XLOOKUP(A481,'Subbu- Mini Project EXcel Clean'!A481:A1480,'Subbu- Mini Project EXcel Clean'!J481:J1480," ",0)</f>
        <v>Consistent</v>
      </c>
      <c r="D481">
        <f>_xlfn.XLOOKUP(A481,'Subbu- Mini Project EXcel Clean'!A481:A1480,'Subbu- Mini Project EXcel Clean'!N481:N1480,"entry Level",0)</f>
        <v>7</v>
      </c>
      <c r="E481">
        <f>_xlfn.XLOOKUP(A481,'Subbu- Mini Project EXcel Clean'!A481:A1480,'Subbu- Mini Project EXcel Clean'!M481:M1480," ",0)</f>
        <v>77.599999999999994</v>
      </c>
      <c r="F481">
        <f>_xlfn.XLOOKUP(A481,'Subbu- Mini Project EXcel Clean'!A481:A1480,'Subbu- Mini Project EXcel Clean'!P481:P1480," ",0)</f>
        <v>1</v>
      </c>
      <c r="G481" t="str">
        <f>_xlfn.XLOOKUP(A481,'Subbu- Mini Project EXcel Clean'!A481:A1480,'Subbu- Mini Project EXcel Clean'!Q481:Q1480," ",0)</f>
        <v>Low</v>
      </c>
      <c r="H481">
        <f>VLOOKUP(A481,'Subbu- Mini Project EXcel Clean'!A480:R1480,15,FALSE)</f>
        <v>2.8</v>
      </c>
    </row>
    <row r="482" spans="1:8" x14ac:dyDescent="0.25">
      <c r="A482" t="s">
        <v>510</v>
      </c>
      <c r="B482">
        <f>_xlfn.XLOOKUP(A482,'Subbu- Mini Project EXcel Clean'!A482:A1481,'Subbu- Mini Project EXcel Clean'!I482:I1481,"Entry Level",0)</f>
        <v>2</v>
      </c>
      <c r="C482" t="str">
        <f>_xlfn.XLOOKUP(A482,'Subbu- Mini Project EXcel Clean'!A482:A1481,'Subbu- Mini Project EXcel Clean'!J482:J1481," ",0)</f>
        <v>Consistent</v>
      </c>
      <c r="D482">
        <f>_xlfn.XLOOKUP(A482,'Subbu- Mini Project EXcel Clean'!A482:A1481,'Subbu- Mini Project EXcel Clean'!N482:N1481,"entry Level",0)</f>
        <v>7</v>
      </c>
      <c r="E482">
        <f>_xlfn.XLOOKUP(A482,'Subbu- Mini Project EXcel Clean'!A482:A1481,'Subbu- Mini Project EXcel Clean'!M482:M1481," ",0)</f>
        <v>57.3</v>
      </c>
      <c r="F482">
        <f>_xlfn.XLOOKUP(A482,'Subbu- Mini Project EXcel Clean'!A482:A1481,'Subbu- Mini Project EXcel Clean'!P482:P1481," ",0)</f>
        <v>3</v>
      </c>
      <c r="G482" t="str">
        <f>_xlfn.XLOOKUP(A482,'Subbu- Mini Project EXcel Clean'!A482:A1481,'Subbu- Mini Project EXcel Clean'!Q482:Q1481," ",0)</f>
        <v>Low</v>
      </c>
      <c r="H482">
        <f>VLOOKUP(A482,'Subbu- Mini Project EXcel Clean'!A481:R1481,15,FALSE)</f>
        <v>3.9</v>
      </c>
    </row>
    <row r="483" spans="1:8" x14ac:dyDescent="0.25">
      <c r="A483" t="s">
        <v>511</v>
      </c>
      <c r="B483">
        <f>_xlfn.XLOOKUP(A483,'Subbu- Mini Project EXcel Clean'!A483:A1482,'Subbu- Mini Project EXcel Clean'!I483:I1482,"Entry Level",0)</f>
        <v>2</v>
      </c>
      <c r="C483" t="str">
        <f>_xlfn.XLOOKUP(A483,'Subbu- Mini Project EXcel Clean'!A483:A1482,'Subbu- Mini Project EXcel Clean'!J483:J1482," ",0)</f>
        <v>Consistent</v>
      </c>
      <c r="D483">
        <f>_xlfn.XLOOKUP(A483,'Subbu- Mini Project EXcel Clean'!A483:A1482,'Subbu- Mini Project EXcel Clean'!N483:N1482,"entry Level",0)</f>
        <v>7.5</v>
      </c>
      <c r="E483">
        <f>_xlfn.XLOOKUP(A483,'Subbu- Mini Project EXcel Clean'!A483:A1482,'Subbu- Mini Project EXcel Clean'!M483:M1482," ",0)</f>
        <v>65.099999999999994</v>
      </c>
      <c r="F483">
        <f>_xlfn.XLOOKUP(A483,'Subbu- Mini Project EXcel Clean'!A483:A1482,'Subbu- Mini Project EXcel Clean'!P483:P1482," ",0)</f>
        <v>5</v>
      </c>
      <c r="G483" t="str">
        <f>_xlfn.XLOOKUP(A483,'Subbu- Mini Project EXcel Clean'!A483:A1482,'Subbu- Mini Project EXcel Clean'!Q483:Q1482," ",0)</f>
        <v>Moderate</v>
      </c>
      <c r="H483">
        <f>VLOOKUP(A483,'Subbu- Mini Project EXcel Clean'!A482:R1482,15,FALSE)</f>
        <v>2.7</v>
      </c>
    </row>
    <row r="484" spans="1:8" x14ac:dyDescent="0.25">
      <c r="A484" t="s">
        <v>512</v>
      </c>
      <c r="B484">
        <f>_xlfn.XLOOKUP(A484,'Subbu- Mini Project EXcel Clean'!A484:A1483,'Subbu- Mini Project EXcel Clean'!I484:I1483,"Entry Level",0)</f>
        <v>2</v>
      </c>
      <c r="C484" t="str">
        <f>_xlfn.XLOOKUP(A484,'Subbu- Mini Project EXcel Clean'!A484:A1483,'Subbu- Mini Project EXcel Clean'!J484:J1483," ",0)</f>
        <v>Consistent</v>
      </c>
      <c r="D484">
        <f>_xlfn.XLOOKUP(A484,'Subbu- Mini Project EXcel Clean'!A484:A1483,'Subbu- Mini Project EXcel Clean'!N484:N1483,"entry Level",0)</f>
        <v>7.1</v>
      </c>
      <c r="E484">
        <f>_xlfn.XLOOKUP(A484,'Subbu- Mini Project EXcel Clean'!A484:A1483,'Subbu- Mini Project EXcel Clean'!M484:M1483," ",0)</f>
        <v>77.5</v>
      </c>
      <c r="F484">
        <f>_xlfn.XLOOKUP(A484,'Subbu- Mini Project EXcel Clean'!A484:A1483,'Subbu- Mini Project EXcel Clean'!P484:P1483," ",0)</f>
        <v>3</v>
      </c>
      <c r="G484" t="str">
        <f>_xlfn.XLOOKUP(A484,'Subbu- Mini Project EXcel Clean'!A484:A1483,'Subbu- Mini Project EXcel Clean'!Q484:Q1483," ",0)</f>
        <v>Moderate</v>
      </c>
      <c r="H484">
        <f>VLOOKUP(A484,'Subbu- Mini Project EXcel Clean'!A483:R1483,15,FALSE)</f>
        <v>1.4</v>
      </c>
    </row>
    <row r="485" spans="1:8" x14ac:dyDescent="0.25">
      <c r="A485" t="s">
        <v>513</v>
      </c>
      <c r="B485">
        <f>_xlfn.XLOOKUP(A485,'Subbu- Mini Project EXcel Clean'!A485:A1484,'Subbu- Mini Project EXcel Clean'!I485:I1484,"Entry Level",0)</f>
        <v>4</v>
      </c>
      <c r="C485" t="str">
        <f>_xlfn.XLOOKUP(A485,'Subbu- Mini Project EXcel Clean'!A485:A1484,'Subbu- Mini Project EXcel Clean'!J485:J1484," ",0)</f>
        <v>Good</v>
      </c>
      <c r="D485">
        <f>_xlfn.XLOOKUP(A485,'Subbu- Mini Project EXcel Clean'!A485:A1484,'Subbu- Mini Project EXcel Clean'!N485:N1484,"entry Level",0)</f>
        <v>5.8</v>
      </c>
      <c r="E485">
        <f>_xlfn.XLOOKUP(A485,'Subbu- Mini Project EXcel Clean'!A485:A1484,'Subbu- Mini Project EXcel Clean'!M485:M1484," ",0)</f>
        <v>90.3</v>
      </c>
      <c r="F485">
        <f>_xlfn.XLOOKUP(A485,'Subbu- Mini Project EXcel Clean'!A485:A1484,'Subbu- Mini Project EXcel Clean'!P485:P1484," ",0)</f>
        <v>1</v>
      </c>
      <c r="G485" t="str">
        <f>_xlfn.XLOOKUP(A485,'Subbu- Mini Project EXcel Clean'!A485:A1484,'Subbu- Mini Project EXcel Clean'!Q485:Q1484," ",0)</f>
        <v>Low</v>
      </c>
      <c r="H485">
        <f>VLOOKUP(A485,'Subbu- Mini Project EXcel Clean'!A484:R1484,15,FALSE)</f>
        <v>6</v>
      </c>
    </row>
    <row r="486" spans="1:8" x14ac:dyDescent="0.25">
      <c r="A486" t="s">
        <v>514</v>
      </c>
      <c r="B486">
        <f>_xlfn.XLOOKUP(A486,'Subbu- Mini Project EXcel Clean'!A486:A1485,'Subbu- Mini Project EXcel Clean'!I486:I1485,"Entry Level",0)</f>
        <v>3</v>
      </c>
      <c r="C486" t="str">
        <f>_xlfn.XLOOKUP(A486,'Subbu- Mini Project EXcel Clean'!A486:A1485,'Subbu- Mini Project EXcel Clean'!J486:J1485," ",0)</f>
        <v>Consistent</v>
      </c>
      <c r="D486">
        <f>_xlfn.XLOOKUP(A486,'Subbu- Mini Project EXcel Clean'!A486:A1485,'Subbu- Mini Project EXcel Clean'!N486:N1485,"entry Level",0)</f>
        <v>6.9</v>
      </c>
      <c r="E486">
        <f>_xlfn.XLOOKUP(A486,'Subbu- Mini Project EXcel Clean'!A486:A1485,'Subbu- Mini Project EXcel Clean'!M486:M1485," ",0)</f>
        <v>82.5</v>
      </c>
      <c r="F486">
        <f>_xlfn.XLOOKUP(A486,'Subbu- Mini Project EXcel Clean'!A486:A1485,'Subbu- Mini Project EXcel Clean'!P486:P1485," ",0)</f>
        <v>3</v>
      </c>
      <c r="G486" t="str">
        <f>_xlfn.XLOOKUP(A486,'Subbu- Mini Project EXcel Clean'!A486:A1485,'Subbu- Mini Project EXcel Clean'!Q486:Q1485," ",0)</f>
        <v>Moderate</v>
      </c>
      <c r="H486">
        <f>VLOOKUP(A486,'Subbu- Mini Project EXcel Clean'!A485:R1485,15,FALSE)</f>
        <v>1.6</v>
      </c>
    </row>
    <row r="487" spans="1:8" x14ac:dyDescent="0.25">
      <c r="A487" t="s">
        <v>515</v>
      </c>
      <c r="B487">
        <f>_xlfn.XLOOKUP(A487,'Subbu- Mini Project EXcel Clean'!A487:A1486,'Subbu- Mini Project EXcel Clean'!I487:I1486,"Entry Level",0)</f>
        <v>2</v>
      </c>
      <c r="C487" t="str">
        <f>_xlfn.XLOOKUP(A487,'Subbu- Mini Project EXcel Clean'!A487:A1486,'Subbu- Mini Project EXcel Clean'!J487:J1486," ",0)</f>
        <v>Consistent</v>
      </c>
      <c r="D487">
        <f>_xlfn.XLOOKUP(A487,'Subbu- Mini Project EXcel Clean'!A487:A1486,'Subbu- Mini Project EXcel Clean'!N487:N1486,"entry Level",0)</f>
        <v>7.1</v>
      </c>
      <c r="E487">
        <f>_xlfn.XLOOKUP(A487,'Subbu- Mini Project EXcel Clean'!A487:A1486,'Subbu- Mini Project EXcel Clean'!M487:M1486," ",0)</f>
        <v>70.900000000000006</v>
      </c>
      <c r="F487">
        <f>_xlfn.XLOOKUP(A487,'Subbu- Mini Project EXcel Clean'!A487:A1486,'Subbu- Mini Project EXcel Clean'!P487:P1486," ",0)</f>
        <v>1</v>
      </c>
      <c r="G487" t="str">
        <f>_xlfn.XLOOKUP(A487,'Subbu- Mini Project EXcel Clean'!A487:A1486,'Subbu- Mini Project EXcel Clean'!Q487:Q1486," ",0)</f>
        <v>Low</v>
      </c>
      <c r="H487">
        <f>VLOOKUP(A487,'Subbu- Mini Project EXcel Clean'!A486:R1486,15,FALSE)</f>
        <v>1.4</v>
      </c>
    </row>
    <row r="488" spans="1:8" x14ac:dyDescent="0.25">
      <c r="A488" t="s">
        <v>516</v>
      </c>
      <c r="B488">
        <f>_xlfn.XLOOKUP(A488,'Subbu- Mini Project EXcel Clean'!A488:A1487,'Subbu- Mini Project EXcel Clean'!I488:I1487,"Entry Level",0)</f>
        <v>2</v>
      </c>
      <c r="C488" t="str">
        <f>_xlfn.XLOOKUP(A488,'Subbu- Mini Project EXcel Clean'!A488:A1487,'Subbu- Mini Project EXcel Clean'!J488:J1487," ",0)</f>
        <v>Consistent</v>
      </c>
      <c r="D488">
        <f>_xlfn.XLOOKUP(A488,'Subbu- Mini Project EXcel Clean'!A488:A1487,'Subbu- Mini Project EXcel Clean'!N488:N1487,"entry Level",0)</f>
        <v>5</v>
      </c>
      <c r="E488">
        <f>_xlfn.XLOOKUP(A488,'Subbu- Mini Project EXcel Clean'!A488:A1487,'Subbu- Mini Project EXcel Clean'!M488:M1487," ",0)</f>
        <v>68.400000000000006</v>
      </c>
      <c r="F488">
        <f>_xlfn.XLOOKUP(A488,'Subbu- Mini Project EXcel Clean'!A488:A1487,'Subbu- Mini Project EXcel Clean'!P488:P1487," ",0)</f>
        <v>3</v>
      </c>
      <c r="G488" t="str">
        <f>_xlfn.XLOOKUP(A488,'Subbu- Mini Project EXcel Clean'!A488:A1487,'Subbu- Mini Project EXcel Clean'!Q488:Q1487," ",0)</f>
        <v>Moderate</v>
      </c>
      <c r="H488">
        <f>VLOOKUP(A488,'Subbu- Mini Project EXcel Clean'!A487:R1487,15,FALSE)</f>
        <v>5.4</v>
      </c>
    </row>
    <row r="489" spans="1:8" x14ac:dyDescent="0.25">
      <c r="A489" t="s">
        <v>517</v>
      </c>
      <c r="B489">
        <f>_xlfn.XLOOKUP(A489,'Subbu- Mini Project EXcel Clean'!A489:A1488,'Subbu- Mini Project EXcel Clean'!I489:I1488,"Entry Level",0)</f>
        <v>2</v>
      </c>
      <c r="C489" t="str">
        <f>_xlfn.XLOOKUP(A489,'Subbu- Mini Project EXcel Clean'!A489:A1488,'Subbu- Mini Project EXcel Clean'!J489:J1488," ",0)</f>
        <v>Consistent</v>
      </c>
      <c r="D489">
        <f>_xlfn.XLOOKUP(A489,'Subbu- Mini Project EXcel Clean'!A489:A1488,'Subbu- Mini Project EXcel Clean'!N489:N1488,"entry Level",0)</f>
        <v>7.5</v>
      </c>
      <c r="E489">
        <f>_xlfn.XLOOKUP(A489,'Subbu- Mini Project EXcel Clean'!A489:A1488,'Subbu- Mini Project EXcel Clean'!M489:M1488," ",0)</f>
        <v>72</v>
      </c>
      <c r="F489">
        <f>_xlfn.XLOOKUP(A489,'Subbu- Mini Project EXcel Clean'!A489:A1488,'Subbu- Mini Project EXcel Clean'!P489:P1488," ",0)</f>
        <v>4</v>
      </c>
      <c r="G489" t="str">
        <f>_xlfn.XLOOKUP(A489,'Subbu- Mini Project EXcel Clean'!A489:A1488,'Subbu- Mini Project EXcel Clean'!Q489:Q1488," ",0)</f>
        <v>Moderate</v>
      </c>
      <c r="H489">
        <f>VLOOKUP(A489,'Subbu- Mini Project EXcel Clean'!A488:R1488,15,FALSE)</f>
        <v>2.5</v>
      </c>
    </row>
    <row r="490" spans="1:8" x14ac:dyDescent="0.25">
      <c r="A490" t="s">
        <v>518</v>
      </c>
      <c r="B490">
        <f>_xlfn.XLOOKUP(A490,'Subbu- Mini Project EXcel Clean'!A490:A1489,'Subbu- Mini Project EXcel Clean'!I490:I1489,"Entry Level",0)</f>
        <v>5</v>
      </c>
      <c r="C490" t="str">
        <f>_xlfn.XLOOKUP(A490,'Subbu- Mini Project EXcel Clean'!A490:A1489,'Subbu- Mini Project EXcel Clean'!J490:J1489," ",0)</f>
        <v>Good</v>
      </c>
      <c r="D490">
        <f>_xlfn.XLOOKUP(A490,'Subbu- Mini Project EXcel Clean'!A490:A1489,'Subbu- Mini Project EXcel Clean'!N490:N1489,"entry Level",0)</f>
        <v>7.8</v>
      </c>
      <c r="E490">
        <f>_xlfn.XLOOKUP(A490,'Subbu- Mini Project EXcel Clean'!A490:A1489,'Subbu- Mini Project EXcel Clean'!M490:M1489," ",0)</f>
        <v>91.5</v>
      </c>
      <c r="F490">
        <f>_xlfn.XLOOKUP(A490,'Subbu- Mini Project EXcel Clean'!A490:A1489,'Subbu- Mini Project EXcel Clean'!P490:P1489," ",0)</f>
        <v>1</v>
      </c>
      <c r="G490" t="str">
        <f>_xlfn.XLOOKUP(A490,'Subbu- Mini Project EXcel Clean'!A490:A1489,'Subbu- Mini Project EXcel Clean'!Q490:Q1489," ",0)</f>
        <v>Low</v>
      </c>
      <c r="H490">
        <f>VLOOKUP(A490,'Subbu- Mini Project EXcel Clean'!A489:R1489,15,FALSE)</f>
        <v>4.3</v>
      </c>
    </row>
    <row r="491" spans="1:8" x14ac:dyDescent="0.25">
      <c r="A491" t="s">
        <v>519</v>
      </c>
      <c r="B491">
        <f>_xlfn.XLOOKUP(A491,'Subbu- Mini Project EXcel Clean'!A491:A1490,'Subbu- Mini Project EXcel Clean'!I491:I1490,"Entry Level",0)</f>
        <v>2</v>
      </c>
      <c r="C491" t="str">
        <f>_xlfn.XLOOKUP(A491,'Subbu- Mini Project EXcel Clean'!A491:A1490,'Subbu- Mini Project EXcel Clean'!J491:J1490," ",0)</f>
        <v>Consistent</v>
      </c>
      <c r="D491">
        <f>_xlfn.XLOOKUP(A491,'Subbu- Mini Project EXcel Clean'!A491:A1490,'Subbu- Mini Project EXcel Clean'!N491:N1490,"entry Level",0)</f>
        <v>7.3</v>
      </c>
      <c r="E491">
        <f>_xlfn.XLOOKUP(A491,'Subbu- Mini Project EXcel Clean'!A491:A1490,'Subbu- Mini Project EXcel Clean'!M491:M1490," ",0)</f>
        <v>68.099999999999994</v>
      </c>
      <c r="F491">
        <f>_xlfn.XLOOKUP(A491,'Subbu- Mini Project EXcel Clean'!A491:A1490,'Subbu- Mini Project EXcel Clean'!P491:P1490," ",0)</f>
        <v>1</v>
      </c>
      <c r="G491" t="str">
        <f>_xlfn.XLOOKUP(A491,'Subbu- Mini Project EXcel Clean'!A491:A1490,'Subbu- Mini Project EXcel Clean'!Q491:Q1490," ",0)</f>
        <v>Low</v>
      </c>
      <c r="H491">
        <f>VLOOKUP(A491,'Subbu- Mini Project EXcel Clean'!A490:R1490,15,FALSE)</f>
        <v>2.6</v>
      </c>
    </row>
    <row r="492" spans="1:8" x14ac:dyDescent="0.25">
      <c r="A492" t="s">
        <v>520</v>
      </c>
      <c r="B492">
        <f>_xlfn.XLOOKUP(A492,'Subbu- Mini Project EXcel Clean'!A492:A1491,'Subbu- Mini Project EXcel Clean'!I492:I1491,"Entry Level",0)</f>
        <v>5</v>
      </c>
      <c r="C492" t="str">
        <f>_xlfn.XLOOKUP(A492,'Subbu- Mini Project EXcel Clean'!A492:A1491,'Subbu- Mini Project EXcel Clean'!J492:J1491," ",0)</f>
        <v>Good</v>
      </c>
      <c r="D492">
        <f>_xlfn.XLOOKUP(A492,'Subbu- Mini Project EXcel Clean'!A492:A1491,'Subbu- Mini Project EXcel Clean'!N492:N1491,"entry Level",0)</f>
        <v>6.4</v>
      </c>
      <c r="E492">
        <f>_xlfn.XLOOKUP(A492,'Subbu- Mini Project EXcel Clean'!A492:A1491,'Subbu- Mini Project EXcel Clean'!M492:M1491," ",0)</f>
        <v>103.1</v>
      </c>
      <c r="F492">
        <f>_xlfn.XLOOKUP(A492,'Subbu- Mini Project EXcel Clean'!A492:A1491,'Subbu- Mini Project EXcel Clean'!P492:P1491," ",0)</f>
        <v>5</v>
      </c>
      <c r="G492" t="str">
        <f>_xlfn.XLOOKUP(A492,'Subbu- Mini Project EXcel Clean'!A492:A1491,'Subbu- Mini Project EXcel Clean'!Q492:Q1491," ",0)</f>
        <v>Moderate</v>
      </c>
      <c r="H492">
        <f>VLOOKUP(A492,'Subbu- Mini Project EXcel Clean'!A491:R1491,15,FALSE)</f>
        <v>3</v>
      </c>
    </row>
    <row r="493" spans="1:8" x14ac:dyDescent="0.25">
      <c r="A493" t="s">
        <v>521</v>
      </c>
      <c r="B493">
        <f>_xlfn.XLOOKUP(A493,'Subbu- Mini Project EXcel Clean'!A493:A1492,'Subbu- Mini Project EXcel Clean'!I493:I1492,"Entry Level",0)</f>
        <v>3</v>
      </c>
      <c r="C493" t="str">
        <f>_xlfn.XLOOKUP(A493,'Subbu- Mini Project EXcel Clean'!A493:A1492,'Subbu- Mini Project EXcel Clean'!J493:J1492," ",0)</f>
        <v>Consistent</v>
      </c>
      <c r="D493">
        <f>_xlfn.XLOOKUP(A493,'Subbu- Mini Project EXcel Clean'!A493:A1492,'Subbu- Mini Project EXcel Clean'!N493:N1492,"entry Level",0)</f>
        <v>7</v>
      </c>
      <c r="E493">
        <f>_xlfn.XLOOKUP(A493,'Subbu- Mini Project EXcel Clean'!A493:A1492,'Subbu- Mini Project EXcel Clean'!M493:M1492," ",0)</f>
        <v>79.5</v>
      </c>
      <c r="F493">
        <f>_xlfn.XLOOKUP(A493,'Subbu- Mini Project EXcel Clean'!A493:A1492,'Subbu- Mini Project EXcel Clean'!P493:P1492," ",0)</f>
        <v>1</v>
      </c>
      <c r="G493" t="str">
        <f>_xlfn.XLOOKUP(A493,'Subbu- Mini Project EXcel Clean'!A493:A1492,'Subbu- Mini Project EXcel Clean'!Q493:Q1492," ",0)</f>
        <v>Low</v>
      </c>
      <c r="H493">
        <f>VLOOKUP(A493,'Subbu- Mini Project EXcel Clean'!A492:R1492,15,FALSE)</f>
        <v>2.2999999999999998</v>
      </c>
    </row>
    <row r="494" spans="1:8" x14ac:dyDescent="0.25">
      <c r="A494" t="s">
        <v>522</v>
      </c>
      <c r="B494">
        <f>_xlfn.XLOOKUP(A494,'Subbu- Mini Project EXcel Clean'!A494:A1493,'Subbu- Mini Project EXcel Clean'!I494:I1493,"Entry Level",0)</f>
        <v>2</v>
      </c>
      <c r="C494" t="str">
        <f>_xlfn.XLOOKUP(A494,'Subbu- Mini Project EXcel Clean'!A494:A1493,'Subbu- Mini Project EXcel Clean'!J494:J1493," ",0)</f>
        <v>Consistent</v>
      </c>
      <c r="D494">
        <f>_xlfn.XLOOKUP(A494,'Subbu- Mini Project EXcel Clean'!A494:A1493,'Subbu- Mini Project EXcel Clean'!N494:N1493,"entry Level",0)</f>
        <v>7</v>
      </c>
      <c r="E494">
        <f>_xlfn.XLOOKUP(A494,'Subbu- Mini Project EXcel Clean'!A494:A1493,'Subbu- Mini Project EXcel Clean'!M494:M1493," ",0)</f>
        <v>66.5</v>
      </c>
      <c r="F494">
        <f>_xlfn.XLOOKUP(A494,'Subbu- Mini Project EXcel Clean'!A494:A1493,'Subbu- Mini Project EXcel Clean'!P494:P1493," ",0)</f>
        <v>2</v>
      </c>
      <c r="G494" t="str">
        <f>_xlfn.XLOOKUP(A494,'Subbu- Mini Project EXcel Clean'!A494:A1493,'Subbu- Mini Project EXcel Clean'!Q494:Q1493," ",0)</f>
        <v>Low</v>
      </c>
      <c r="H494">
        <f>VLOOKUP(A494,'Subbu- Mini Project EXcel Clean'!A493:R1493,15,FALSE)</f>
        <v>2.7</v>
      </c>
    </row>
    <row r="495" spans="1:8" x14ac:dyDescent="0.25">
      <c r="A495" t="s">
        <v>523</v>
      </c>
      <c r="B495">
        <f>_xlfn.XLOOKUP(A495,'Subbu- Mini Project EXcel Clean'!A495:A1494,'Subbu- Mini Project EXcel Clean'!I495:I1494,"Entry Level",0)</f>
        <v>5</v>
      </c>
      <c r="C495" t="str">
        <f>_xlfn.XLOOKUP(A495,'Subbu- Mini Project EXcel Clean'!A495:A1494,'Subbu- Mini Project EXcel Clean'!J495:J1494," ",0)</f>
        <v>Good</v>
      </c>
      <c r="D495">
        <f>_xlfn.XLOOKUP(A495,'Subbu- Mini Project EXcel Clean'!A495:A1494,'Subbu- Mini Project EXcel Clean'!N495:N1494,"entry Level",0)</f>
        <v>6.6</v>
      </c>
      <c r="E495">
        <f>_xlfn.XLOOKUP(A495,'Subbu- Mini Project EXcel Clean'!A495:A1494,'Subbu- Mini Project EXcel Clean'!M495:M1494," ",0)</f>
        <v>93.5</v>
      </c>
      <c r="F495">
        <f>_xlfn.XLOOKUP(A495,'Subbu- Mini Project EXcel Clean'!A495:A1494,'Subbu- Mini Project EXcel Clean'!P495:P1494," ",0)</f>
        <v>3</v>
      </c>
      <c r="G495" t="str">
        <f>_xlfn.XLOOKUP(A495,'Subbu- Mini Project EXcel Clean'!A495:A1494,'Subbu- Mini Project EXcel Clean'!Q495:Q1494," ",0)</f>
        <v>Moderate</v>
      </c>
      <c r="H495">
        <f>VLOOKUP(A495,'Subbu- Mini Project EXcel Clean'!A494:R1494,15,FALSE)</f>
        <v>3.1</v>
      </c>
    </row>
    <row r="496" spans="1:8" x14ac:dyDescent="0.25">
      <c r="A496" t="s">
        <v>524</v>
      </c>
      <c r="B496">
        <f>_xlfn.XLOOKUP(A496,'Subbu- Mini Project EXcel Clean'!A496:A1495,'Subbu- Mini Project EXcel Clean'!I496:I1495,"Entry Level",0)</f>
        <v>3</v>
      </c>
      <c r="C496" t="str">
        <f>_xlfn.XLOOKUP(A496,'Subbu- Mini Project EXcel Clean'!A496:A1495,'Subbu- Mini Project EXcel Clean'!J496:J1495," ",0)</f>
        <v>Consistent</v>
      </c>
      <c r="D496">
        <f>_xlfn.XLOOKUP(A496,'Subbu- Mini Project EXcel Clean'!A496:A1495,'Subbu- Mini Project EXcel Clean'!N496:N1495,"entry Level",0)</f>
        <v>7</v>
      </c>
      <c r="E496">
        <f>_xlfn.XLOOKUP(A496,'Subbu- Mini Project EXcel Clean'!A496:A1495,'Subbu- Mini Project EXcel Clean'!M496:M1495," ",0)</f>
        <v>76.900000000000006</v>
      </c>
      <c r="F496">
        <f>_xlfn.XLOOKUP(A496,'Subbu- Mini Project EXcel Clean'!A496:A1495,'Subbu- Mini Project EXcel Clean'!P496:P1495," ",0)</f>
        <v>3</v>
      </c>
      <c r="G496" t="str">
        <f>_xlfn.XLOOKUP(A496,'Subbu- Mini Project EXcel Clean'!A496:A1495,'Subbu- Mini Project EXcel Clean'!Q496:Q1495," ",0)</f>
        <v>Moderate</v>
      </c>
      <c r="H496">
        <f>VLOOKUP(A496,'Subbu- Mini Project EXcel Clean'!A495:R1495,15,FALSE)</f>
        <v>4.5999999999999996</v>
      </c>
    </row>
    <row r="497" spans="1:8" x14ac:dyDescent="0.25">
      <c r="A497" t="s">
        <v>525</v>
      </c>
      <c r="B497">
        <f>_xlfn.XLOOKUP(A497,'Subbu- Mini Project EXcel Clean'!A497:A1496,'Subbu- Mini Project EXcel Clean'!I497:I1496,"Entry Level",0)</f>
        <v>4</v>
      </c>
      <c r="C497" t="str">
        <f>_xlfn.XLOOKUP(A497,'Subbu- Mini Project EXcel Clean'!A497:A1496,'Subbu- Mini Project EXcel Clean'!J497:J1496," ",0)</f>
        <v>Excellent</v>
      </c>
      <c r="D497">
        <f>_xlfn.XLOOKUP(A497,'Subbu- Mini Project EXcel Clean'!A497:A1496,'Subbu- Mini Project EXcel Clean'!N497:N1496,"entry Level",0)</f>
        <v>7.3</v>
      </c>
      <c r="E497">
        <f>_xlfn.XLOOKUP(A497,'Subbu- Mini Project EXcel Clean'!A497:A1496,'Subbu- Mini Project EXcel Clean'!M497:M1496," ",0)</f>
        <v>93.6</v>
      </c>
      <c r="F497">
        <f>_xlfn.XLOOKUP(A497,'Subbu- Mini Project EXcel Clean'!A497:A1496,'Subbu- Mini Project EXcel Clean'!P497:P1496," ",0)</f>
        <v>5</v>
      </c>
      <c r="G497" t="str">
        <f>_xlfn.XLOOKUP(A497,'Subbu- Mini Project EXcel Clean'!A497:A1496,'Subbu- Mini Project EXcel Clean'!Q497:Q1496," ",0)</f>
        <v>Moderate</v>
      </c>
      <c r="H497">
        <f>VLOOKUP(A497,'Subbu- Mini Project EXcel Clean'!A496:R1496,15,FALSE)</f>
        <v>3.6</v>
      </c>
    </row>
    <row r="498" spans="1:8" x14ac:dyDescent="0.25">
      <c r="A498" t="s">
        <v>526</v>
      </c>
      <c r="B498">
        <f>_xlfn.XLOOKUP(A498,'Subbu- Mini Project EXcel Clean'!A498:A1497,'Subbu- Mini Project EXcel Clean'!I498:I1497,"Entry Level",0)</f>
        <v>5</v>
      </c>
      <c r="C498" t="str">
        <f>_xlfn.XLOOKUP(A498,'Subbu- Mini Project EXcel Clean'!A498:A1497,'Subbu- Mini Project EXcel Clean'!J498:J1497," ",0)</f>
        <v>Good</v>
      </c>
      <c r="D498">
        <f>_xlfn.XLOOKUP(A498,'Subbu- Mini Project EXcel Clean'!A498:A1497,'Subbu- Mini Project EXcel Clean'!N498:N1497,"entry Level",0)</f>
        <v>5.7</v>
      </c>
      <c r="E498">
        <f>_xlfn.XLOOKUP(A498,'Subbu- Mini Project EXcel Clean'!A498:A1497,'Subbu- Mini Project EXcel Clean'!M498:M1497," ",0)</f>
        <v>97.7</v>
      </c>
      <c r="F498">
        <f>_xlfn.XLOOKUP(A498,'Subbu- Mini Project EXcel Clean'!A498:A1497,'Subbu- Mini Project EXcel Clean'!P498:P1497," ",0)</f>
        <v>6</v>
      </c>
      <c r="G498" t="str">
        <f>_xlfn.XLOOKUP(A498,'Subbu- Mini Project EXcel Clean'!A498:A1497,'Subbu- Mini Project EXcel Clean'!Q498:Q1497," ",0)</f>
        <v>Moderate</v>
      </c>
      <c r="H498">
        <f>VLOOKUP(A498,'Subbu- Mini Project EXcel Clean'!A497:R1497,15,FALSE)</f>
        <v>5.7</v>
      </c>
    </row>
    <row r="499" spans="1:8" x14ac:dyDescent="0.25">
      <c r="A499" t="s">
        <v>527</v>
      </c>
      <c r="B499">
        <f>_xlfn.XLOOKUP(A499,'Subbu- Mini Project EXcel Clean'!A499:A1498,'Subbu- Mini Project EXcel Clean'!I499:I1498,"Entry Level",0)</f>
        <v>1</v>
      </c>
      <c r="C499" t="str">
        <f>_xlfn.XLOOKUP(A499,'Subbu- Mini Project EXcel Clean'!A499:A1498,'Subbu- Mini Project EXcel Clean'!J499:J1498," ",0)</f>
        <v>Consistent</v>
      </c>
      <c r="D499">
        <f>_xlfn.XLOOKUP(A499,'Subbu- Mini Project EXcel Clean'!A499:A1498,'Subbu- Mini Project EXcel Clean'!N499:N1498,"entry Level",0)</f>
        <v>8</v>
      </c>
      <c r="E499">
        <f>_xlfn.XLOOKUP(A499,'Subbu- Mini Project EXcel Clean'!A499:A1498,'Subbu- Mini Project EXcel Clean'!M499:M1498," ",0)</f>
        <v>55.3</v>
      </c>
      <c r="F499">
        <f>_xlfn.XLOOKUP(A499,'Subbu- Mini Project EXcel Clean'!A499:A1498,'Subbu- Mini Project EXcel Clean'!P499:P1498," ",0)</f>
        <v>1</v>
      </c>
      <c r="G499" t="str">
        <f>_xlfn.XLOOKUP(A499,'Subbu- Mini Project EXcel Clean'!A499:A1498,'Subbu- Mini Project EXcel Clean'!Q499:Q1498," ",0)</f>
        <v>Low</v>
      </c>
      <c r="H499">
        <f>VLOOKUP(A499,'Subbu- Mini Project EXcel Clean'!A498:R1498,15,FALSE)</f>
        <v>1.2</v>
      </c>
    </row>
    <row r="500" spans="1:8" x14ac:dyDescent="0.25">
      <c r="A500" t="s">
        <v>528</v>
      </c>
      <c r="B500">
        <f>_xlfn.XLOOKUP(A500,'Subbu- Mini Project EXcel Clean'!A500:A1499,'Subbu- Mini Project EXcel Clean'!I500:I1499,"Entry Level",0)</f>
        <v>1</v>
      </c>
      <c r="C500" t="str">
        <f>_xlfn.XLOOKUP(A500,'Subbu- Mini Project EXcel Clean'!A500:A1499,'Subbu- Mini Project EXcel Clean'!J500:J1499," ",0)</f>
        <v>Consistent</v>
      </c>
      <c r="D500">
        <f>_xlfn.XLOOKUP(A500,'Subbu- Mini Project EXcel Clean'!A500:A1499,'Subbu- Mini Project EXcel Clean'!N500:N1499,"entry Level",0)</f>
        <v>7.7</v>
      </c>
      <c r="E500">
        <f>_xlfn.XLOOKUP(A500,'Subbu- Mini Project EXcel Clean'!A500:A1499,'Subbu- Mini Project EXcel Clean'!M500:M1499," ",0)</f>
        <v>67.599999999999994</v>
      </c>
      <c r="F500">
        <f>_xlfn.XLOOKUP(A500,'Subbu- Mini Project EXcel Clean'!A500:A1499,'Subbu- Mini Project EXcel Clean'!P500:P1499," ",0)</f>
        <v>5</v>
      </c>
      <c r="G500" t="str">
        <f>_xlfn.XLOOKUP(A500,'Subbu- Mini Project EXcel Clean'!A500:A1499,'Subbu- Mini Project EXcel Clean'!Q500:Q1499," ",0)</f>
        <v>Moderate</v>
      </c>
      <c r="H500">
        <f>VLOOKUP(A500,'Subbu- Mini Project EXcel Clean'!A499:R1499,15,FALSE)</f>
        <v>3.5</v>
      </c>
    </row>
    <row r="501" spans="1:8" x14ac:dyDescent="0.25">
      <c r="A501" t="s">
        <v>529</v>
      </c>
      <c r="B501">
        <f>_xlfn.XLOOKUP(A501,'Subbu- Mini Project EXcel Clean'!A501:A1500,'Subbu- Mini Project EXcel Clean'!I501:I1500,"Entry Level",0)</f>
        <v>4</v>
      </c>
      <c r="C501" t="str">
        <f>_xlfn.XLOOKUP(A501,'Subbu- Mini Project EXcel Clean'!A501:A1500,'Subbu- Mini Project EXcel Clean'!J501:J1500," ",0)</f>
        <v>Excellent</v>
      </c>
      <c r="D501">
        <f>_xlfn.XLOOKUP(A501,'Subbu- Mini Project EXcel Clean'!A501:A1500,'Subbu- Mini Project EXcel Clean'!N501:N1500,"entry Level",0)</f>
        <v>7.8</v>
      </c>
      <c r="E501">
        <f>_xlfn.XLOOKUP(A501,'Subbu- Mini Project EXcel Clean'!A501:A1500,'Subbu- Mini Project EXcel Clean'!M501:M1500," ",0)</f>
        <v>87.8</v>
      </c>
      <c r="F501">
        <f>_xlfn.XLOOKUP(A501,'Subbu- Mini Project EXcel Clean'!A501:A1500,'Subbu- Mini Project EXcel Clean'!P501:P1500," ",0)</f>
        <v>2</v>
      </c>
      <c r="G501" t="str">
        <f>_xlfn.XLOOKUP(A501,'Subbu- Mini Project EXcel Clean'!A501:A1500,'Subbu- Mini Project EXcel Clean'!Q501:Q1500," ",0)</f>
        <v>Low</v>
      </c>
      <c r="H501">
        <f>VLOOKUP(A501,'Subbu- Mini Project EXcel Clean'!A500:R1500,15,FALSE)</f>
        <v>3.9</v>
      </c>
    </row>
    <row r="502" spans="1:8" x14ac:dyDescent="0.25">
      <c r="A502" t="s">
        <v>530</v>
      </c>
      <c r="B502">
        <f>_xlfn.XLOOKUP(A502,'Subbu- Mini Project EXcel Clean'!A502:A1501,'Subbu- Mini Project EXcel Clean'!I502:I1501,"Entry Level",0)</f>
        <v>2</v>
      </c>
      <c r="C502" t="str">
        <f>_xlfn.XLOOKUP(A502,'Subbu- Mini Project EXcel Clean'!A502:A1501,'Subbu- Mini Project EXcel Clean'!J502:J1501," ",0)</f>
        <v>Consistent</v>
      </c>
      <c r="D502">
        <f>_xlfn.XLOOKUP(A502,'Subbu- Mini Project EXcel Clean'!A502:A1501,'Subbu- Mini Project EXcel Clean'!N502:N1501,"entry Level",0)</f>
        <v>7.8</v>
      </c>
      <c r="E502">
        <f>_xlfn.XLOOKUP(A502,'Subbu- Mini Project EXcel Clean'!A502:A1501,'Subbu- Mini Project EXcel Clean'!M502:M1501," ",0)</f>
        <v>71.400000000000006</v>
      </c>
      <c r="F502">
        <f>_xlfn.XLOOKUP(A502,'Subbu- Mini Project EXcel Clean'!A502:A1501,'Subbu- Mini Project EXcel Clean'!P502:P1501," ",0)</f>
        <v>1</v>
      </c>
      <c r="G502" t="str">
        <f>_xlfn.XLOOKUP(A502,'Subbu- Mini Project EXcel Clean'!A502:A1501,'Subbu- Mini Project EXcel Clean'!Q502:Q1501," ",0)</f>
        <v>Low</v>
      </c>
      <c r="H502">
        <f>VLOOKUP(A502,'Subbu- Mini Project EXcel Clean'!A501:R1501,15,FALSE)</f>
        <v>5.6</v>
      </c>
    </row>
    <row r="503" spans="1:8" x14ac:dyDescent="0.25">
      <c r="A503" t="s">
        <v>531</v>
      </c>
      <c r="B503">
        <f>_xlfn.XLOOKUP(A503,'Subbu- Mini Project EXcel Clean'!A503:A1502,'Subbu- Mini Project EXcel Clean'!I503:I1502,"Entry Level",0)</f>
        <v>2</v>
      </c>
      <c r="C503" t="str">
        <f>_xlfn.XLOOKUP(A503,'Subbu- Mini Project EXcel Clean'!A503:A1502,'Subbu- Mini Project EXcel Clean'!J503:J1502," ",0)</f>
        <v>Consistent</v>
      </c>
      <c r="D503">
        <f>_xlfn.XLOOKUP(A503,'Subbu- Mini Project EXcel Clean'!A503:A1502,'Subbu- Mini Project EXcel Clean'!N503:N1502,"entry Level",0)</f>
        <v>7.2</v>
      </c>
      <c r="E503">
        <f>_xlfn.XLOOKUP(A503,'Subbu- Mini Project EXcel Clean'!A503:A1502,'Subbu- Mini Project EXcel Clean'!M503:M1502," ",0)</f>
        <v>75.400000000000006</v>
      </c>
      <c r="F503">
        <f>_xlfn.XLOOKUP(A503,'Subbu- Mini Project EXcel Clean'!A503:A1502,'Subbu- Mini Project EXcel Clean'!P503:P1502," ",0)</f>
        <v>5</v>
      </c>
      <c r="G503" t="str">
        <f>_xlfn.XLOOKUP(A503,'Subbu- Mini Project EXcel Clean'!A503:A1502,'Subbu- Mini Project EXcel Clean'!Q503:Q1502," ",0)</f>
        <v>Moderate</v>
      </c>
      <c r="H503">
        <f>VLOOKUP(A503,'Subbu- Mini Project EXcel Clean'!A502:R1502,15,FALSE)</f>
        <v>1.2</v>
      </c>
    </row>
    <row r="504" spans="1:8" x14ac:dyDescent="0.25">
      <c r="A504" t="s">
        <v>532</v>
      </c>
      <c r="B504">
        <f>_xlfn.XLOOKUP(A504,'Subbu- Mini Project EXcel Clean'!A504:A1503,'Subbu- Mini Project EXcel Clean'!I504:I1503,"Entry Level",0)</f>
        <v>1</v>
      </c>
      <c r="C504" t="str">
        <f>_xlfn.XLOOKUP(A504,'Subbu- Mini Project EXcel Clean'!A504:A1503,'Subbu- Mini Project EXcel Clean'!J504:J1503," ",0)</f>
        <v>Consistent</v>
      </c>
      <c r="D504">
        <f>_xlfn.XLOOKUP(A504,'Subbu- Mini Project EXcel Clean'!A504:A1503,'Subbu- Mini Project EXcel Clean'!N504:N1503,"entry Level",0)</f>
        <v>8.3000000000000007</v>
      </c>
      <c r="E504">
        <f>_xlfn.XLOOKUP(A504,'Subbu- Mini Project EXcel Clean'!A504:A1503,'Subbu- Mini Project EXcel Clean'!M504:M1503," ",0)</f>
        <v>61.5</v>
      </c>
      <c r="F504">
        <f>_xlfn.XLOOKUP(A504,'Subbu- Mini Project EXcel Clean'!A504:A1503,'Subbu- Mini Project EXcel Clean'!P504:P1503," ",0)</f>
        <v>3</v>
      </c>
      <c r="G504" t="str">
        <f>_xlfn.XLOOKUP(A504,'Subbu- Mini Project EXcel Clean'!A504:A1503,'Subbu- Mini Project EXcel Clean'!Q504:Q1503," ",0)</f>
        <v>Low</v>
      </c>
      <c r="H504">
        <f>VLOOKUP(A504,'Subbu- Mini Project EXcel Clean'!A503:R1503,15,FALSE)</f>
        <v>3.9</v>
      </c>
    </row>
    <row r="505" spans="1:8" x14ac:dyDescent="0.25">
      <c r="A505" t="s">
        <v>533</v>
      </c>
      <c r="B505">
        <f>_xlfn.XLOOKUP(A505,'Subbu- Mini Project EXcel Clean'!A505:A1504,'Subbu- Mini Project EXcel Clean'!I505:I1504,"Entry Level",0)</f>
        <v>1</v>
      </c>
      <c r="C505" t="str">
        <f>_xlfn.XLOOKUP(A505,'Subbu- Mini Project EXcel Clean'!A505:A1504,'Subbu- Mini Project EXcel Clean'!J505:J1504," ",0)</f>
        <v>Consistent</v>
      </c>
      <c r="D505">
        <f>_xlfn.XLOOKUP(A505,'Subbu- Mini Project EXcel Clean'!A505:A1504,'Subbu- Mini Project EXcel Clean'!N505:N1504,"entry Level",0)</f>
        <v>6.2</v>
      </c>
      <c r="E505">
        <f>_xlfn.XLOOKUP(A505,'Subbu- Mini Project EXcel Clean'!A505:A1504,'Subbu- Mini Project EXcel Clean'!M505:M1504," ",0)</f>
        <v>62.3</v>
      </c>
      <c r="F505">
        <f>_xlfn.XLOOKUP(A505,'Subbu- Mini Project EXcel Clean'!A505:A1504,'Subbu- Mini Project EXcel Clean'!P505:P1504," ",0)</f>
        <v>4</v>
      </c>
      <c r="G505" t="str">
        <f>_xlfn.XLOOKUP(A505,'Subbu- Mini Project EXcel Clean'!A505:A1504,'Subbu- Mini Project EXcel Clean'!Q505:Q1504," ",0)</f>
        <v>Moderate</v>
      </c>
      <c r="H505">
        <f>VLOOKUP(A505,'Subbu- Mini Project EXcel Clean'!A504:R1504,15,FALSE)</f>
        <v>5.3</v>
      </c>
    </row>
    <row r="506" spans="1:8" x14ac:dyDescent="0.25">
      <c r="A506" t="s">
        <v>534</v>
      </c>
      <c r="B506">
        <f>_xlfn.XLOOKUP(A506,'Subbu- Mini Project EXcel Clean'!A506:A1505,'Subbu- Mini Project EXcel Clean'!I506:I1505,"Entry Level",0)</f>
        <v>4</v>
      </c>
      <c r="C506" t="str">
        <f>_xlfn.XLOOKUP(A506,'Subbu- Mini Project EXcel Clean'!A506:A1505,'Subbu- Mini Project EXcel Clean'!J506:J1505," ",0)</f>
        <v>Good</v>
      </c>
      <c r="D506">
        <f>_xlfn.XLOOKUP(A506,'Subbu- Mini Project EXcel Clean'!A506:A1505,'Subbu- Mini Project EXcel Clean'!N506:N1505,"entry Level",0)</f>
        <v>7</v>
      </c>
      <c r="E506">
        <f>_xlfn.XLOOKUP(A506,'Subbu- Mini Project EXcel Clean'!A506:A1505,'Subbu- Mini Project EXcel Clean'!M506:M1505," ",0)</f>
        <v>85.1</v>
      </c>
      <c r="F506">
        <f>_xlfn.XLOOKUP(A506,'Subbu- Mini Project EXcel Clean'!A506:A1505,'Subbu- Mini Project EXcel Clean'!P506:P1505," ",0)</f>
        <v>1</v>
      </c>
      <c r="G506" t="str">
        <f>_xlfn.XLOOKUP(A506,'Subbu- Mini Project EXcel Clean'!A506:A1505,'Subbu- Mini Project EXcel Clean'!Q506:Q1505," ",0)</f>
        <v>Low</v>
      </c>
      <c r="H506">
        <f>VLOOKUP(A506,'Subbu- Mini Project EXcel Clean'!A505:R1505,15,FALSE)</f>
        <v>2.2000000000000002</v>
      </c>
    </row>
    <row r="507" spans="1:8" x14ac:dyDescent="0.25">
      <c r="A507" t="s">
        <v>535</v>
      </c>
      <c r="B507">
        <f>_xlfn.XLOOKUP(A507,'Subbu- Mini Project EXcel Clean'!A507:A1506,'Subbu- Mini Project EXcel Clean'!I507:I1506,"Entry Level",0)</f>
        <v>2</v>
      </c>
      <c r="C507" t="str">
        <f>_xlfn.XLOOKUP(A507,'Subbu- Mini Project EXcel Clean'!A507:A1506,'Subbu- Mini Project EXcel Clean'!J507:J1506," ",0)</f>
        <v>Consistent</v>
      </c>
      <c r="D507">
        <f>_xlfn.XLOOKUP(A507,'Subbu- Mini Project EXcel Clean'!A507:A1506,'Subbu- Mini Project EXcel Clean'!N507:N1506,"entry Level",0)</f>
        <v>6.5</v>
      </c>
      <c r="E507">
        <f>_xlfn.XLOOKUP(A507,'Subbu- Mini Project EXcel Clean'!A507:A1506,'Subbu- Mini Project EXcel Clean'!M507:M1506," ",0)</f>
        <v>64.3</v>
      </c>
      <c r="F507">
        <f>_xlfn.XLOOKUP(A507,'Subbu- Mini Project EXcel Clean'!A507:A1506,'Subbu- Mini Project EXcel Clean'!P507:P1506," ",0)</f>
        <v>3</v>
      </c>
      <c r="G507" t="str">
        <f>_xlfn.XLOOKUP(A507,'Subbu- Mini Project EXcel Clean'!A507:A1506,'Subbu- Mini Project EXcel Clean'!Q507:Q1506," ",0)</f>
        <v>Moderate</v>
      </c>
      <c r="H507">
        <f>VLOOKUP(A507,'Subbu- Mini Project EXcel Clean'!A506:R1506,15,FALSE)</f>
        <v>5.4</v>
      </c>
    </row>
    <row r="508" spans="1:8" x14ac:dyDescent="0.25">
      <c r="A508" t="s">
        <v>536</v>
      </c>
      <c r="B508">
        <f>_xlfn.XLOOKUP(A508,'Subbu- Mini Project EXcel Clean'!A508:A1507,'Subbu- Mini Project EXcel Clean'!I508:I1507,"Entry Level",0)</f>
        <v>3</v>
      </c>
      <c r="C508" t="str">
        <f>_xlfn.XLOOKUP(A508,'Subbu- Mini Project EXcel Clean'!A508:A1507,'Subbu- Mini Project EXcel Clean'!J508:J1507," ",0)</f>
        <v>Consistent</v>
      </c>
      <c r="D508">
        <f>_xlfn.XLOOKUP(A508,'Subbu- Mini Project EXcel Clean'!A508:A1507,'Subbu- Mini Project EXcel Clean'!N508:N1507,"entry Level",0)</f>
        <v>7.4</v>
      </c>
      <c r="E508">
        <f>_xlfn.XLOOKUP(A508,'Subbu- Mini Project EXcel Clean'!A508:A1507,'Subbu- Mini Project EXcel Clean'!M508:M1507," ",0)</f>
        <v>81.8</v>
      </c>
      <c r="F508">
        <f>_xlfn.XLOOKUP(A508,'Subbu- Mini Project EXcel Clean'!A508:A1507,'Subbu- Mini Project EXcel Clean'!P508:P1507," ",0)</f>
        <v>3</v>
      </c>
      <c r="G508" t="str">
        <f>_xlfn.XLOOKUP(A508,'Subbu- Mini Project EXcel Clean'!A508:A1507,'Subbu- Mini Project EXcel Clean'!Q508:Q1507," ",0)</f>
        <v>Low</v>
      </c>
      <c r="H508">
        <f>VLOOKUP(A508,'Subbu- Mini Project EXcel Clean'!A507:R1507,15,FALSE)</f>
        <v>1.1000000000000001</v>
      </c>
    </row>
    <row r="509" spans="1:8" x14ac:dyDescent="0.25">
      <c r="A509" t="s">
        <v>537</v>
      </c>
      <c r="B509">
        <f>_xlfn.XLOOKUP(A509,'Subbu- Mini Project EXcel Clean'!A509:A1508,'Subbu- Mini Project EXcel Clean'!I509:I1508,"Entry Level",0)</f>
        <v>3</v>
      </c>
      <c r="C509" t="str">
        <f>_xlfn.XLOOKUP(A509,'Subbu- Mini Project EXcel Clean'!A509:A1508,'Subbu- Mini Project EXcel Clean'!J509:J1508," ",0)</f>
        <v>Excellent</v>
      </c>
      <c r="D509">
        <f>_xlfn.XLOOKUP(A509,'Subbu- Mini Project EXcel Clean'!A509:A1508,'Subbu- Mini Project EXcel Clean'!N509:N1508,"entry Level",0)</f>
        <v>6.8</v>
      </c>
      <c r="E509">
        <f>_xlfn.XLOOKUP(A509,'Subbu- Mini Project EXcel Clean'!A509:A1508,'Subbu- Mini Project EXcel Clean'!M509:M1508," ",0)</f>
        <v>76.5</v>
      </c>
      <c r="F509">
        <f>_xlfn.XLOOKUP(A509,'Subbu- Mini Project EXcel Clean'!A509:A1508,'Subbu- Mini Project EXcel Clean'!P509:P1508," ",0)</f>
        <v>2</v>
      </c>
      <c r="G509" t="str">
        <f>_xlfn.XLOOKUP(A509,'Subbu- Mini Project EXcel Clean'!A509:A1508,'Subbu- Mini Project EXcel Clean'!Q509:Q1508," ",0)</f>
        <v>Low</v>
      </c>
      <c r="H509">
        <f>VLOOKUP(A509,'Subbu- Mini Project EXcel Clean'!A508:R1508,15,FALSE)</f>
        <v>4.7</v>
      </c>
    </row>
    <row r="510" spans="1:8" x14ac:dyDescent="0.25">
      <c r="A510" t="s">
        <v>538</v>
      </c>
      <c r="B510">
        <f>_xlfn.XLOOKUP(A510,'Subbu- Mini Project EXcel Clean'!A510:A1509,'Subbu- Mini Project EXcel Clean'!I510:I1509,"Entry Level",0)</f>
        <v>3</v>
      </c>
      <c r="C510" t="str">
        <f>_xlfn.XLOOKUP(A510,'Subbu- Mini Project EXcel Clean'!A510:A1509,'Subbu- Mini Project EXcel Clean'!J510:J1509," ",0)</f>
        <v>Consistent</v>
      </c>
      <c r="D510">
        <f>_xlfn.XLOOKUP(A510,'Subbu- Mini Project EXcel Clean'!A510:A1509,'Subbu- Mini Project EXcel Clean'!N510:N1509,"entry Level",0)</f>
        <v>5.6</v>
      </c>
      <c r="E510">
        <f>_xlfn.XLOOKUP(A510,'Subbu- Mini Project EXcel Clean'!A510:A1509,'Subbu- Mini Project EXcel Clean'!M510:M1509," ",0)</f>
        <v>78.099999999999994</v>
      </c>
      <c r="F510">
        <f>_xlfn.XLOOKUP(A510,'Subbu- Mini Project EXcel Clean'!A510:A1509,'Subbu- Mini Project EXcel Clean'!P510:P1509," ",0)</f>
        <v>2</v>
      </c>
      <c r="G510" t="str">
        <f>_xlfn.XLOOKUP(A510,'Subbu- Mini Project EXcel Clean'!A510:A1509,'Subbu- Mini Project EXcel Clean'!Q510:Q1509," ",0)</f>
        <v>Low</v>
      </c>
      <c r="H510">
        <f>VLOOKUP(A510,'Subbu- Mini Project EXcel Clean'!A509:R1509,15,FALSE)</f>
        <v>5.7</v>
      </c>
    </row>
    <row r="511" spans="1:8" x14ac:dyDescent="0.25">
      <c r="A511" t="s">
        <v>539</v>
      </c>
      <c r="B511">
        <f>_xlfn.XLOOKUP(A511,'Subbu- Mini Project EXcel Clean'!A511:A1510,'Subbu- Mini Project EXcel Clean'!I511:I1510,"Entry Level",0)</f>
        <v>1</v>
      </c>
      <c r="C511" t="str">
        <f>_xlfn.XLOOKUP(A511,'Subbu- Mini Project EXcel Clean'!A511:A1510,'Subbu- Mini Project EXcel Clean'!J511:J1510," ",0)</f>
        <v>Consistent</v>
      </c>
      <c r="D511">
        <f>_xlfn.XLOOKUP(A511,'Subbu- Mini Project EXcel Clean'!A511:A1510,'Subbu- Mini Project EXcel Clean'!N511:N1510,"entry Level",0)</f>
        <v>6.6</v>
      </c>
      <c r="E511">
        <f>_xlfn.XLOOKUP(A511,'Subbu- Mini Project EXcel Clean'!A511:A1510,'Subbu- Mini Project EXcel Clean'!M511:M1510," ",0)</f>
        <v>61.6</v>
      </c>
      <c r="F511">
        <f>_xlfn.XLOOKUP(A511,'Subbu- Mini Project EXcel Clean'!A511:A1510,'Subbu- Mini Project EXcel Clean'!P511:P1510," ",0)</f>
        <v>1</v>
      </c>
      <c r="G511" t="str">
        <f>_xlfn.XLOOKUP(A511,'Subbu- Mini Project EXcel Clean'!A511:A1510,'Subbu- Mini Project EXcel Clean'!Q511:Q1510," ",0)</f>
        <v>Low</v>
      </c>
      <c r="H511">
        <f>VLOOKUP(A511,'Subbu- Mini Project EXcel Clean'!A510:R1510,15,FALSE)</f>
        <v>4.3</v>
      </c>
    </row>
    <row r="512" spans="1:8" x14ac:dyDescent="0.25">
      <c r="A512" t="s">
        <v>540</v>
      </c>
      <c r="B512">
        <f>_xlfn.XLOOKUP(A512,'Subbu- Mini Project EXcel Clean'!A512:A1511,'Subbu- Mini Project EXcel Clean'!I512:I1511,"Entry Level",0)</f>
        <v>4</v>
      </c>
      <c r="C512" t="str">
        <f>_xlfn.XLOOKUP(A512,'Subbu- Mini Project EXcel Clean'!A512:A1511,'Subbu- Mini Project EXcel Clean'!J512:J1511," ",0)</f>
        <v>Good</v>
      </c>
      <c r="D512">
        <f>_xlfn.XLOOKUP(A512,'Subbu- Mini Project EXcel Clean'!A512:A1511,'Subbu- Mini Project EXcel Clean'!N512:N1511,"entry Level",0)</f>
        <v>7.7</v>
      </c>
      <c r="E512">
        <f>_xlfn.XLOOKUP(A512,'Subbu- Mini Project EXcel Clean'!A512:A1511,'Subbu- Mini Project EXcel Clean'!M512:M1511," ",0)</f>
        <v>91.5</v>
      </c>
      <c r="F512">
        <f>_xlfn.XLOOKUP(A512,'Subbu- Mini Project EXcel Clean'!A512:A1511,'Subbu- Mini Project EXcel Clean'!P512:P1511," ",0)</f>
        <v>4</v>
      </c>
      <c r="G512" t="str">
        <f>_xlfn.XLOOKUP(A512,'Subbu- Mini Project EXcel Clean'!A512:A1511,'Subbu- Mini Project EXcel Clean'!Q512:Q1511," ",0)</f>
        <v>Moderate</v>
      </c>
      <c r="H512">
        <f>VLOOKUP(A512,'Subbu- Mini Project EXcel Clean'!A511:R1511,15,FALSE)</f>
        <v>3.2</v>
      </c>
    </row>
    <row r="513" spans="1:8" x14ac:dyDescent="0.25">
      <c r="A513" t="s">
        <v>541</v>
      </c>
      <c r="B513">
        <f>_xlfn.XLOOKUP(A513,'Subbu- Mini Project EXcel Clean'!A513:A1512,'Subbu- Mini Project EXcel Clean'!I513:I1512,"Entry Level",0)</f>
        <v>1</v>
      </c>
      <c r="C513" t="str">
        <f>_xlfn.XLOOKUP(A513,'Subbu- Mini Project EXcel Clean'!A513:A1512,'Subbu- Mini Project EXcel Clean'!J513:J1512," ",0)</f>
        <v>Average</v>
      </c>
      <c r="D513">
        <f>_xlfn.XLOOKUP(A513,'Subbu- Mini Project EXcel Clean'!A513:A1512,'Subbu- Mini Project EXcel Clean'!N513:N1512,"entry Level",0)</f>
        <v>7.6</v>
      </c>
      <c r="E513">
        <f>_xlfn.XLOOKUP(A513,'Subbu- Mini Project EXcel Clean'!A513:A1512,'Subbu- Mini Project EXcel Clean'!M513:M1512," ",0)</f>
        <v>65.599999999999994</v>
      </c>
      <c r="F513">
        <f>_xlfn.XLOOKUP(A513,'Subbu- Mini Project EXcel Clean'!A513:A1512,'Subbu- Mini Project EXcel Clean'!P513:P1512," ",0)</f>
        <v>1</v>
      </c>
      <c r="G513" t="str">
        <f>_xlfn.XLOOKUP(A513,'Subbu- Mini Project EXcel Clean'!A513:A1512,'Subbu- Mini Project EXcel Clean'!Q513:Q1512," ",0)</f>
        <v>Low</v>
      </c>
      <c r="H513">
        <f>VLOOKUP(A513,'Subbu- Mini Project EXcel Clean'!A512:R1512,15,FALSE)</f>
        <v>1.2</v>
      </c>
    </row>
    <row r="514" spans="1:8" x14ac:dyDescent="0.25">
      <c r="A514" t="s">
        <v>542</v>
      </c>
      <c r="B514">
        <f>_xlfn.XLOOKUP(A514,'Subbu- Mini Project EXcel Clean'!A514:A1513,'Subbu- Mini Project EXcel Clean'!I514:I1513,"Entry Level",0)</f>
        <v>4</v>
      </c>
      <c r="C514" t="str">
        <f>_xlfn.XLOOKUP(A514,'Subbu- Mini Project EXcel Clean'!A514:A1513,'Subbu- Mini Project EXcel Clean'!J514:J1513," ",0)</f>
        <v>Excellent</v>
      </c>
      <c r="D514">
        <f>_xlfn.XLOOKUP(A514,'Subbu- Mini Project EXcel Clean'!A514:A1513,'Subbu- Mini Project EXcel Clean'!N514:N1513,"entry Level",0)</f>
        <v>6.4</v>
      </c>
      <c r="E514">
        <f>_xlfn.XLOOKUP(A514,'Subbu- Mini Project EXcel Clean'!A514:A1513,'Subbu- Mini Project EXcel Clean'!M514:M1513," ",0)</f>
        <v>92.1</v>
      </c>
      <c r="F514">
        <f>_xlfn.XLOOKUP(A514,'Subbu- Mini Project EXcel Clean'!A514:A1513,'Subbu- Mini Project EXcel Clean'!P514:P1513," ",0)</f>
        <v>4</v>
      </c>
      <c r="G514" t="str">
        <f>_xlfn.XLOOKUP(A514,'Subbu- Mini Project EXcel Clean'!A514:A1513,'Subbu- Mini Project EXcel Clean'!Q514:Q1513," ",0)</f>
        <v>Moderate</v>
      </c>
      <c r="H514">
        <f>VLOOKUP(A514,'Subbu- Mini Project EXcel Clean'!A513:R1513,15,FALSE)</f>
        <v>5.6</v>
      </c>
    </row>
    <row r="515" spans="1:8" x14ac:dyDescent="0.25">
      <c r="A515" t="s">
        <v>543</v>
      </c>
      <c r="B515">
        <f>_xlfn.XLOOKUP(A515,'Subbu- Mini Project EXcel Clean'!A515:A1514,'Subbu- Mini Project EXcel Clean'!I515:I1514,"Entry Level",0)</f>
        <v>5</v>
      </c>
      <c r="C515" t="str">
        <f>_xlfn.XLOOKUP(A515,'Subbu- Mini Project EXcel Clean'!A515:A1514,'Subbu- Mini Project EXcel Clean'!J515:J1514," ",0)</f>
        <v>Good</v>
      </c>
      <c r="D515">
        <f>_xlfn.XLOOKUP(A515,'Subbu- Mini Project EXcel Clean'!A515:A1514,'Subbu- Mini Project EXcel Clean'!N515:N1514,"entry Level",0)</f>
        <v>7.2</v>
      </c>
      <c r="E515">
        <f>_xlfn.XLOOKUP(A515,'Subbu- Mini Project EXcel Clean'!A515:A1514,'Subbu- Mini Project EXcel Clean'!M515:M1514," ",0)</f>
        <v>103.1</v>
      </c>
      <c r="F515">
        <f>_xlfn.XLOOKUP(A515,'Subbu- Mini Project EXcel Clean'!A515:A1514,'Subbu- Mini Project EXcel Clean'!P515:P1514," ",0)</f>
        <v>1</v>
      </c>
      <c r="G515" t="str">
        <f>_xlfn.XLOOKUP(A515,'Subbu- Mini Project EXcel Clean'!A515:A1514,'Subbu- Mini Project EXcel Clean'!Q515:Q1514," ",0)</f>
        <v>Low</v>
      </c>
      <c r="H515">
        <f>VLOOKUP(A515,'Subbu- Mini Project EXcel Clean'!A514:R1514,15,FALSE)</f>
        <v>3.4</v>
      </c>
    </row>
    <row r="516" spans="1:8" x14ac:dyDescent="0.25">
      <c r="A516" t="s">
        <v>544</v>
      </c>
      <c r="B516">
        <f>_xlfn.XLOOKUP(A516,'Subbu- Mini Project EXcel Clean'!A516:A1515,'Subbu- Mini Project EXcel Clean'!I516:I1515,"Entry Level",0)</f>
        <v>3</v>
      </c>
      <c r="C516" t="str">
        <f>_xlfn.XLOOKUP(A516,'Subbu- Mini Project EXcel Clean'!A516:A1515,'Subbu- Mini Project EXcel Clean'!J516:J1515," ",0)</f>
        <v>Consistent</v>
      </c>
      <c r="D516">
        <f>_xlfn.XLOOKUP(A516,'Subbu- Mini Project EXcel Clean'!A516:A1515,'Subbu- Mini Project EXcel Clean'!N516:N1515,"entry Level",0)</f>
        <v>8.1999999999999993</v>
      </c>
      <c r="E516">
        <f>_xlfn.XLOOKUP(A516,'Subbu- Mini Project EXcel Clean'!A516:A1515,'Subbu- Mini Project EXcel Clean'!M516:M1515," ",0)</f>
        <v>72.3</v>
      </c>
      <c r="F516">
        <f>_xlfn.XLOOKUP(A516,'Subbu- Mini Project EXcel Clean'!A516:A1515,'Subbu- Mini Project EXcel Clean'!P516:P1515," ",0)</f>
        <v>3</v>
      </c>
      <c r="G516" t="str">
        <f>_xlfn.XLOOKUP(A516,'Subbu- Mini Project EXcel Clean'!A516:A1515,'Subbu- Mini Project EXcel Clean'!Q516:Q1515," ",0)</f>
        <v>Moderate</v>
      </c>
      <c r="H516">
        <f>VLOOKUP(A516,'Subbu- Mini Project EXcel Clean'!A515:R1515,15,FALSE)</f>
        <v>1.1000000000000001</v>
      </c>
    </row>
    <row r="517" spans="1:8" x14ac:dyDescent="0.25">
      <c r="A517" t="s">
        <v>545</v>
      </c>
      <c r="B517">
        <f>_xlfn.XLOOKUP(A517,'Subbu- Mini Project EXcel Clean'!A517:A1516,'Subbu- Mini Project EXcel Clean'!I517:I1516,"Entry Level",0)</f>
        <v>3</v>
      </c>
      <c r="C517" t="str">
        <f>_xlfn.XLOOKUP(A517,'Subbu- Mini Project EXcel Clean'!A517:A1516,'Subbu- Mini Project EXcel Clean'!J517:J1516," ",0)</f>
        <v>Excellent</v>
      </c>
      <c r="D517">
        <f>_xlfn.XLOOKUP(A517,'Subbu- Mini Project EXcel Clean'!A517:A1516,'Subbu- Mini Project EXcel Clean'!N517:N1516,"entry Level",0)</f>
        <v>5.8</v>
      </c>
      <c r="E517">
        <f>_xlfn.XLOOKUP(A517,'Subbu- Mini Project EXcel Clean'!A517:A1516,'Subbu- Mini Project EXcel Clean'!M517:M1516," ",0)</f>
        <v>82.1</v>
      </c>
      <c r="F517">
        <f>_xlfn.XLOOKUP(A517,'Subbu- Mini Project EXcel Clean'!A517:A1516,'Subbu- Mini Project EXcel Clean'!P517:P1516," ",0)</f>
        <v>4</v>
      </c>
      <c r="G517" t="str">
        <f>_xlfn.XLOOKUP(A517,'Subbu- Mini Project EXcel Clean'!A517:A1516,'Subbu- Mini Project EXcel Clean'!Q517:Q1516," ",0)</f>
        <v>Moderate</v>
      </c>
      <c r="H517">
        <f>VLOOKUP(A517,'Subbu- Mini Project EXcel Clean'!A516:R1516,15,FALSE)</f>
        <v>4.4000000000000004</v>
      </c>
    </row>
    <row r="518" spans="1:8" x14ac:dyDescent="0.25">
      <c r="A518" t="s">
        <v>546</v>
      </c>
      <c r="B518">
        <f>_xlfn.XLOOKUP(A518,'Subbu- Mini Project EXcel Clean'!A518:A1517,'Subbu- Mini Project EXcel Clean'!I518:I1517,"Entry Level",0)</f>
        <v>3</v>
      </c>
      <c r="C518" t="str">
        <f>_xlfn.XLOOKUP(A518,'Subbu- Mini Project EXcel Clean'!A518:A1517,'Subbu- Mini Project EXcel Clean'!J518:J1517," ",0)</f>
        <v>Consistent</v>
      </c>
      <c r="D518">
        <f>_xlfn.XLOOKUP(A518,'Subbu- Mini Project EXcel Clean'!A518:A1517,'Subbu- Mini Project EXcel Clean'!N518:N1517,"entry Level",0)</f>
        <v>7.3</v>
      </c>
      <c r="E518">
        <f>_xlfn.XLOOKUP(A518,'Subbu- Mini Project EXcel Clean'!A518:A1517,'Subbu- Mini Project EXcel Clean'!M518:M1517," ",0)</f>
        <v>79.5</v>
      </c>
      <c r="F518">
        <f>_xlfn.XLOOKUP(A518,'Subbu- Mini Project EXcel Clean'!A518:A1517,'Subbu- Mini Project EXcel Clean'!P518:P1517," ",0)</f>
        <v>3</v>
      </c>
      <c r="G518" t="str">
        <f>_xlfn.XLOOKUP(A518,'Subbu- Mini Project EXcel Clean'!A518:A1517,'Subbu- Mini Project EXcel Clean'!Q518:Q1517," ",0)</f>
        <v>Low</v>
      </c>
      <c r="H518">
        <f>VLOOKUP(A518,'Subbu- Mini Project EXcel Clean'!A517:R1517,15,FALSE)</f>
        <v>3.4</v>
      </c>
    </row>
    <row r="519" spans="1:8" x14ac:dyDescent="0.25">
      <c r="A519" t="s">
        <v>547</v>
      </c>
      <c r="B519">
        <f>_xlfn.XLOOKUP(A519,'Subbu- Mini Project EXcel Clean'!A519:A1518,'Subbu- Mini Project EXcel Clean'!I519:I1518,"Entry Level",0)</f>
        <v>3</v>
      </c>
      <c r="C519" t="str">
        <f>_xlfn.XLOOKUP(A519,'Subbu- Mini Project EXcel Clean'!A519:A1518,'Subbu- Mini Project EXcel Clean'!J519:J1518," ",0)</f>
        <v>Consistent</v>
      </c>
      <c r="D519">
        <f>_xlfn.XLOOKUP(A519,'Subbu- Mini Project EXcel Clean'!A519:A1518,'Subbu- Mini Project EXcel Clean'!N519:N1518,"entry Level",0)</f>
        <v>7.4</v>
      </c>
      <c r="E519">
        <f>_xlfn.XLOOKUP(A519,'Subbu- Mini Project EXcel Clean'!A519:A1518,'Subbu- Mini Project EXcel Clean'!M519:M1518," ",0)</f>
        <v>70.2</v>
      </c>
      <c r="F519">
        <f>_xlfn.XLOOKUP(A519,'Subbu- Mini Project EXcel Clean'!A519:A1518,'Subbu- Mini Project EXcel Clean'!P519:P1518," ",0)</f>
        <v>5</v>
      </c>
      <c r="G519" t="str">
        <f>_xlfn.XLOOKUP(A519,'Subbu- Mini Project EXcel Clean'!A519:A1518,'Subbu- Mini Project EXcel Clean'!Q519:Q1518," ",0)</f>
        <v>Moderate</v>
      </c>
      <c r="H519">
        <f>VLOOKUP(A519,'Subbu- Mini Project EXcel Clean'!A518:R1518,15,FALSE)</f>
        <v>1.6</v>
      </c>
    </row>
    <row r="520" spans="1:8" x14ac:dyDescent="0.25">
      <c r="A520" t="s">
        <v>548</v>
      </c>
      <c r="B520">
        <f>_xlfn.XLOOKUP(A520,'Subbu- Mini Project EXcel Clean'!A520:A1519,'Subbu- Mini Project EXcel Clean'!I520:I1519,"Entry Level",0)</f>
        <v>5</v>
      </c>
      <c r="C520" t="str">
        <f>_xlfn.XLOOKUP(A520,'Subbu- Mini Project EXcel Clean'!A520:A1519,'Subbu- Mini Project EXcel Clean'!J520:J1519," ",0)</f>
        <v>Good</v>
      </c>
      <c r="D520">
        <f>_xlfn.XLOOKUP(A520,'Subbu- Mini Project EXcel Clean'!A520:A1519,'Subbu- Mini Project EXcel Clean'!N520:N1519,"entry Level",0)</f>
        <v>7.5</v>
      </c>
      <c r="E520">
        <f>_xlfn.XLOOKUP(A520,'Subbu- Mini Project EXcel Clean'!A520:A1519,'Subbu- Mini Project EXcel Clean'!M520:M1519," ",0)</f>
        <v>100.3</v>
      </c>
      <c r="F520">
        <f>_xlfn.XLOOKUP(A520,'Subbu- Mini Project EXcel Clean'!A520:A1519,'Subbu- Mini Project EXcel Clean'!P520:P1519," ",0)</f>
        <v>4</v>
      </c>
      <c r="G520" t="str">
        <f>_xlfn.XLOOKUP(A520,'Subbu- Mini Project EXcel Clean'!A520:A1519,'Subbu- Mini Project EXcel Clean'!Q520:Q1519," ",0)</f>
        <v>Moderate</v>
      </c>
      <c r="H520">
        <f>VLOOKUP(A520,'Subbu- Mini Project EXcel Clean'!A519:R1519,15,FALSE)</f>
        <v>2.1</v>
      </c>
    </row>
    <row r="521" spans="1:8" x14ac:dyDescent="0.25">
      <c r="A521" t="s">
        <v>549</v>
      </c>
      <c r="B521">
        <f>_xlfn.XLOOKUP(A521,'Subbu- Mini Project EXcel Clean'!A521:A1520,'Subbu- Mini Project EXcel Clean'!I521:I1520,"Entry Level",0)</f>
        <v>5</v>
      </c>
      <c r="C521" t="str">
        <f>_xlfn.XLOOKUP(A521,'Subbu- Mini Project EXcel Clean'!A521:A1520,'Subbu- Mini Project EXcel Clean'!J521:J1520," ",0)</f>
        <v>Good</v>
      </c>
      <c r="D521">
        <f>_xlfn.XLOOKUP(A521,'Subbu- Mini Project EXcel Clean'!A521:A1520,'Subbu- Mini Project EXcel Clean'!N521:N1520,"entry Level",0)</f>
        <v>8.1</v>
      </c>
      <c r="E521">
        <f>_xlfn.XLOOKUP(A521,'Subbu- Mini Project EXcel Clean'!A521:A1520,'Subbu- Mini Project EXcel Clean'!M521:M1520," ",0)</f>
        <v>107.4</v>
      </c>
      <c r="F521">
        <f>_xlfn.XLOOKUP(A521,'Subbu- Mini Project EXcel Clean'!A521:A1520,'Subbu- Mini Project EXcel Clean'!P521:P1520," ",0)</f>
        <v>4</v>
      </c>
      <c r="G521" t="str">
        <f>_xlfn.XLOOKUP(A521,'Subbu- Mini Project EXcel Clean'!A521:A1520,'Subbu- Mini Project EXcel Clean'!Q521:Q1520," ",0)</f>
        <v>Moderate</v>
      </c>
      <c r="H521">
        <f>VLOOKUP(A521,'Subbu- Mini Project EXcel Clean'!A520:R1520,15,FALSE)</f>
        <v>1.3</v>
      </c>
    </row>
    <row r="522" spans="1:8" x14ac:dyDescent="0.25">
      <c r="A522" t="s">
        <v>550</v>
      </c>
      <c r="B522">
        <f>_xlfn.XLOOKUP(A522,'Subbu- Mini Project EXcel Clean'!A522:A1521,'Subbu- Mini Project EXcel Clean'!I522:I1521,"Entry Level",0)</f>
        <v>2</v>
      </c>
      <c r="C522" t="str">
        <f>_xlfn.XLOOKUP(A522,'Subbu- Mini Project EXcel Clean'!A522:A1521,'Subbu- Mini Project EXcel Clean'!J522:J1521," ",0)</f>
        <v>Consistent</v>
      </c>
      <c r="D522">
        <f>_xlfn.XLOOKUP(A522,'Subbu- Mini Project EXcel Clean'!A522:A1521,'Subbu- Mini Project EXcel Clean'!N522:N1521,"entry Level",0)</f>
        <v>6.2</v>
      </c>
      <c r="E522">
        <f>_xlfn.XLOOKUP(A522,'Subbu- Mini Project EXcel Clean'!A522:A1521,'Subbu- Mini Project EXcel Clean'!M522:M1521," ",0)</f>
        <v>73.3</v>
      </c>
      <c r="F522">
        <f>_xlfn.XLOOKUP(A522,'Subbu- Mini Project EXcel Clean'!A522:A1521,'Subbu- Mini Project EXcel Clean'!P522:P1521," ",0)</f>
        <v>6</v>
      </c>
      <c r="G522" t="str">
        <f>_xlfn.XLOOKUP(A522,'Subbu- Mini Project EXcel Clean'!A522:A1521,'Subbu- Mini Project EXcel Clean'!Q522:Q1521," ",0)</f>
        <v>Moderate</v>
      </c>
      <c r="H522">
        <f>VLOOKUP(A522,'Subbu- Mini Project EXcel Clean'!A521:R1521,15,FALSE)</f>
        <v>3.9</v>
      </c>
    </row>
    <row r="523" spans="1:8" x14ac:dyDescent="0.25">
      <c r="A523" t="s">
        <v>551</v>
      </c>
      <c r="B523">
        <f>_xlfn.XLOOKUP(A523,'Subbu- Mini Project EXcel Clean'!A523:A1522,'Subbu- Mini Project EXcel Clean'!I523:I1522,"Entry Level",0)</f>
        <v>4</v>
      </c>
      <c r="C523" t="str">
        <f>_xlfn.XLOOKUP(A523,'Subbu- Mini Project EXcel Clean'!A523:A1522,'Subbu- Mini Project EXcel Clean'!J523:J1522," ",0)</f>
        <v>Excellent</v>
      </c>
      <c r="D523">
        <f>_xlfn.XLOOKUP(A523,'Subbu- Mini Project EXcel Clean'!A523:A1522,'Subbu- Mini Project EXcel Clean'!N523:N1522,"entry Level",0)</f>
        <v>6.3</v>
      </c>
      <c r="E523">
        <f>_xlfn.XLOOKUP(A523,'Subbu- Mini Project EXcel Clean'!A523:A1522,'Subbu- Mini Project EXcel Clean'!M523:M1522," ",0)</f>
        <v>87.1</v>
      </c>
      <c r="F523">
        <f>_xlfn.XLOOKUP(A523,'Subbu- Mini Project EXcel Clean'!A523:A1522,'Subbu- Mini Project EXcel Clean'!P523:P1522," ",0)</f>
        <v>3</v>
      </c>
      <c r="G523" t="str">
        <f>_xlfn.XLOOKUP(A523,'Subbu- Mini Project EXcel Clean'!A523:A1522,'Subbu- Mini Project EXcel Clean'!Q523:Q1522," ",0)</f>
        <v>Low</v>
      </c>
      <c r="H523">
        <f>VLOOKUP(A523,'Subbu- Mini Project EXcel Clean'!A522:R1522,15,FALSE)</f>
        <v>4.0999999999999996</v>
      </c>
    </row>
    <row r="524" spans="1:8" x14ac:dyDescent="0.25">
      <c r="A524" t="s">
        <v>552</v>
      </c>
      <c r="B524">
        <f>_xlfn.XLOOKUP(A524,'Subbu- Mini Project EXcel Clean'!A524:A1523,'Subbu- Mini Project EXcel Clean'!I524:I1523,"Entry Level",0)</f>
        <v>5</v>
      </c>
      <c r="C524" t="str">
        <f>_xlfn.XLOOKUP(A524,'Subbu- Mini Project EXcel Clean'!A524:A1523,'Subbu- Mini Project EXcel Clean'!J524:J1523," ",0)</f>
        <v>Good</v>
      </c>
      <c r="D524">
        <f>_xlfn.XLOOKUP(A524,'Subbu- Mini Project EXcel Clean'!A524:A1523,'Subbu- Mini Project EXcel Clean'!N524:N1523,"entry Level",0)</f>
        <v>6</v>
      </c>
      <c r="E524">
        <f>_xlfn.XLOOKUP(A524,'Subbu- Mini Project EXcel Clean'!A524:A1523,'Subbu- Mini Project EXcel Clean'!M524:M1523," ",0)</f>
        <v>97.5</v>
      </c>
      <c r="F524">
        <f>_xlfn.XLOOKUP(A524,'Subbu- Mini Project EXcel Clean'!A524:A1523,'Subbu- Mini Project EXcel Clean'!P524:P1523," ",0)</f>
        <v>1</v>
      </c>
      <c r="G524" t="str">
        <f>_xlfn.XLOOKUP(A524,'Subbu- Mini Project EXcel Clean'!A524:A1523,'Subbu- Mini Project EXcel Clean'!Q524:Q1523," ",0)</f>
        <v>Low</v>
      </c>
      <c r="H524">
        <f>VLOOKUP(A524,'Subbu- Mini Project EXcel Clean'!A523:R1523,15,FALSE)</f>
        <v>3.5</v>
      </c>
    </row>
    <row r="525" spans="1:8" x14ac:dyDescent="0.25">
      <c r="A525" t="s">
        <v>553</v>
      </c>
      <c r="B525">
        <f>_xlfn.XLOOKUP(A525,'Subbu- Mini Project EXcel Clean'!A525:A1524,'Subbu- Mini Project EXcel Clean'!I525:I1524,"Entry Level",0)</f>
        <v>5</v>
      </c>
      <c r="C525" t="str">
        <f>_xlfn.XLOOKUP(A525,'Subbu- Mini Project EXcel Clean'!A525:A1524,'Subbu- Mini Project EXcel Clean'!J525:J1524," ",0)</f>
        <v>Good</v>
      </c>
      <c r="D525">
        <f>_xlfn.XLOOKUP(A525,'Subbu- Mini Project EXcel Clean'!A525:A1524,'Subbu- Mini Project EXcel Clean'!N525:N1524,"entry Level",0)</f>
        <v>6.2</v>
      </c>
      <c r="E525">
        <f>_xlfn.XLOOKUP(A525,'Subbu- Mini Project EXcel Clean'!A525:A1524,'Subbu- Mini Project EXcel Clean'!M525:M1524," ",0)</f>
        <v>94.9</v>
      </c>
      <c r="F525">
        <f>_xlfn.XLOOKUP(A525,'Subbu- Mini Project EXcel Clean'!A525:A1524,'Subbu- Mini Project EXcel Clean'!P525:P1524," ",0)</f>
        <v>4</v>
      </c>
      <c r="G525" t="str">
        <f>_xlfn.XLOOKUP(A525,'Subbu- Mini Project EXcel Clean'!A525:A1524,'Subbu- Mini Project EXcel Clean'!Q525:Q1524," ",0)</f>
        <v>Moderate</v>
      </c>
      <c r="H525">
        <f>VLOOKUP(A525,'Subbu- Mini Project EXcel Clean'!A524:R1524,15,FALSE)</f>
        <v>5.0999999999999996</v>
      </c>
    </row>
    <row r="526" spans="1:8" x14ac:dyDescent="0.25">
      <c r="A526" t="s">
        <v>554</v>
      </c>
      <c r="B526">
        <f>_xlfn.XLOOKUP(A526,'Subbu- Mini Project EXcel Clean'!A526:A1525,'Subbu- Mini Project EXcel Clean'!I526:I1525,"Entry Level",0)</f>
        <v>3</v>
      </c>
      <c r="C526" t="str">
        <f>_xlfn.XLOOKUP(A526,'Subbu- Mini Project EXcel Clean'!A526:A1525,'Subbu- Mini Project EXcel Clean'!J526:J1525," ",0)</f>
        <v>Consistent</v>
      </c>
      <c r="D526">
        <f>_xlfn.XLOOKUP(A526,'Subbu- Mini Project EXcel Clean'!A526:A1525,'Subbu- Mini Project EXcel Clean'!N526:N1525,"entry Level",0)</f>
        <v>7.1</v>
      </c>
      <c r="E526">
        <f>_xlfn.XLOOKUP(A526,'Subbu- Mini Project EXcel Clean'!A526:A1525,'Subbu- Mini Project EXcel Clean'!M526:M1525," ",0)</f>
        <v>71.3</v>
      </c>
      <c r="F526">
        <f>_xlfn.XLOOKUP(A526,'Subbu- Mini Project EXcel Clean'!A526:A1525,'Subbu- Mini Project EXcel Clean'!P526:P1525," ",0)</f>
        <v>7</v>
      </c>
      <c r="G526" t="str">
        <f>_xlfn.XLOOKUP(A526,'Subbu- Mini Project EXcel Clean'!A526:A1525,'Subbu- Mini Project EXcel Clean'!Q526:Q1525," ",0)</f>
        <v>High</v>
      </c>
      <c r="H526">
        <f>VLOOKUP(A526,'Subbu- Mini Project EXcel Clean'!A525:R1525,15,FALSE)</f>
        <v>5.3</v>
      </c>
    </row>
    <row r="527" spans="1:8" x14ac:dyDescent="0.25">
      <c r="A527" t="s">
        <v>555</v>
      </c>
      <c r="B527">
        <f>_xlfn.XLOOKUP(A527,'Subbu- Mini Project EXcel Clean'!A527:A1526,'Subbu- Mini Project EXcel Clean'!I527:I1526,"Entry Level",0)</f>
        <v>3</v>
      </c>
      <c r="C527" t="str">
        <f>_xlfn.XLOOKUP(A527,'Subbu- Mini Project EXcel Clean'!A527:A1526,'Subbu- Mini Project EXcel Clean'!J527:J1526," ",0)</f>
        <v>Consistent</v>
      </c>
      <c r="D527">
        <f>_xlfn.XLOOKUP(A527,'Subbu- Mini Project EXcel Clean'!A527:A1526,'Subbu- Mini Project EXcel Clean'!N527:N1526,"entry Level",0)</f>
        <v>6.7</v>
      </c>
      <c r="E527">
        <f>_xlfn.XLOOKUP(A527,'Subbu- Mini Project EXcel Clean'!A527:A1526,'Subbu- Mini Project EXcel Clean'!M527:M1526," ",0)</f>
        <v>74.599999999999994</v>
      </c>
      <c r="F527">
        <f>_xlfn.XLOOKUP(A527,'Subbu- Mini Project EXcel Clean'!A527:A1526,'Subbu- Mini Project EXcel Clean'!P527:P1526," ",0)</f>
        <v>1</v>
      </c>
      <c r="G527" t="str">
        <f>_xlfn.XLOOKUP(A527,'Subbu- Mini Project EXcel Clean'!A527:A1526,'Subbu- Mini Project EXcel Clean'!Q527:Q1526," ",0)</f>
        <v>Low</v>
      </c>
      <c r="H527">
        <f>VLOOKUP(A527,'Subbu- Mini Project EXcel Clean'!A526:R1526,15,FALSE)</f>
        <v>4.0999999999999996</v>
      </c>
    </row>
    <row r="528" spans="1:8" x14ac:dyDescent="0.25">
      <c r="A528" t="s">
        <v>556</v>
      </c>
      <c r="B528">
        <f>_xlfn.XLOOKUP(A528,'Subbu- Mini Project EXcel Clean'!A528:A1527,'Subbu- Mini Project EXcel Clean'!I528:I1527,"Entry Level",0)</f>
        <v>2</v>
      </c>
      <c r="C528" t="str">
        <f>_xlfn.XLOOKUP(A528,'Subbu- Mini Project EXcel Clean'!A528:A1527,'Subbu- Mini Project EXcel Clean'!J528:J1527," ",0)</f>
        <v>Consistent</v>
      </c>
      <c r="D528">
        <f>_xlfn.XLOOKUP(A528,'Subbu- Mini Project EXcel Clean'!A528:A1527,'Subbu- Mini Project EXcel Clean'!N528:N1527,"entry Level",0)</f>
        <v>7</v>
      </c>
      <c r="E528">
        <f>_xlfn.XLOOKUP(A528,'Subbu- Mini Project EXcel Clean'!A528:A1527,'Subbu- Mini Project EXcel Clean'!M528:M1527," ",0)</f>
        <v>64.2</v>
      </c>
      <c r="F528">
        <f>_xlfn.XLOOKUP(A528,'Subbu- Mini Project EXcel Clean'!A528:A1527,'Subbu- Mini Project EXcel Clean'!P528:P1527," ",0)</f>
        <v>4</v>
      </c>
      <c r="G528" t="str">
        <f>_xlfn.XLOOKUP(A528,'Subbu- Mini Project EXcel Clean'!A528:A1527,'Subbu- Mini Project EXcel Clean'!Q528:Q1527," ",0)</f>
        <v>Moderate</v>
      </c>
      <c r="H528">
        <f>VLOOKUP(A528,'Subbu- Mini Project EXcel Clean'!A527:R1527,15,FALSE)</f>
        <v>1.1000000000000001</v>
      </c>
    </row>
    <row r="529" spans="1:8" x14ac:dyDescent="0.25">
      <c r="A529" t="s">
        <v>557</v>
      </c>
      <c r="B529">
        <f>_xlfn.XLOOKUP(A529,'Subbu- Mini Project EXcel Clean'!A529:A1528,'Subbu- Mini Project EXcel Clean'!I529:I1528,"Entry Level",0)</f>
        <v>5</v>
      </c>
      <c r="C529" t="str">
        <f>_xlfn.XLOOKUP(A529,'Subbu- Mini Project EXcel Clean'!A529:A1528,'Subbu- Mini Project EXcel Clean'!J529:J1528," ",0)</f>
        <v>Good</v>
      </c>
      <c r="D529">
        <f>_xlfn.XLOOKUP(A529,'Subbu- Mini Project EXcel Clean'!A529:A1528,'Subbu- Mini Project EXcel Clean'!N529:N1528,"entry Level",0)</f>
        <v>6.4</v>
      </c>
      <c r="E529">
        <f>_xlfn.XLOOKUP(A529,'Subbu- Mini Project EXcel Clean'!A529:A1528,'Subbu- Mini Project EXcel Clean'!M529:M1528," ",0)</f>
        <v>106.9</v>
      </c>
      <c r="F529">
        <f>_xlfn.XLOOKUP(A529,'Subbu- Mini Project EXcel Clean'!A529:A1528,'Subbu- Mini Project EXcel Clean'!P529:P1528," ",0)</f>
        <v>1</v>
      </c>
      <c r="G529" t="str">
        <f>_xlfn.XLOOKUP(A529,'Subbu- Mini Project EXcel Clean'!A529:A1528,'Subbu- Mini Project EXcel Clean'!Q529:Q1528," ",0)</f>
        <v>Low</v>
      </c>
      <c r="H529">
        <f>VLOOKUP(A529,'Subbu- Mini Project EXcel Clean'!A528:R1528,15,FALSE)</f>
        <v>4.5</v>
      </c>
    </row>
    <row r="530" spans="1:8" x14ac:dyDescent="0.25">
      <c r="A530" t="s">
        <v>558</v>
      </c>
      <c r="B530">
        <f>_xlfn.XLOOKUP(A530,'Subbu- Mini Project EXcel Clean'!A530:A1529,'Subbu- Mini Project EXcel Clean'!I530:I1529,"Entry Level",0)</f>
        <v>2</v>
      </c>
      <c r="C530" t="str">
        <f>_xlfn.XLOOKUP(A530,'Subbu- Mini Project EXcel Clean'!A530:A1529,'Subbu- Mini Project EXcel Clean'!J530:J1529," ",0)</f>
        <v>Consistent</v>
      </c>
      <c r="D530">
        <f>_xlfn.XLOOKUP(A530,'Subbu- Mini Project EXcel Clean'!A530:A1529,'Subbu- Mini Project EXcel Clean'!N530:N1529,"entry Level",0)</f>
        <v>6.3</v>
      </c>
      <c r="E530">
        <f>_xlfn.XLOOKUP(A530,'Subbu- Mini Project EXcel Clean'!A530:A1529,'Subbu- Mini Project EXcel Clean'!M530:M1529," ",0)</f>
        <v>65.099999999999994</v>
      </c>
      <c r="F530">
        <f>_xlfn.XLOOKUP(A530,'Subbu- Mini Project EXcel Clean'!A530:A1529,'Subbu- Mini Project EXcel Clean'!P530:P1529," ",0)</f>
        <v>1</v>
      </c>
      <c r="G530" t="str">
        <f>_xlfn.XLOOKUP(A530,'Subbu- Mini Project EXcel Clean'!A530:A1529,'Subbu- Mini Project EXcel Clean'!Q530:Q1529," ",0)</f>
        <v>Low</v>
      </c>
      <c r="H530">
        <f>VLOOKUP(A530,'Subbu- Mini Project EXcel Clean'!A529:R1529,15,FALSE)</f>
        <v>3.1</v>
      </c>
    </row>
    <row r="531" spans="1:8" x14ac:dyDescent="0.25">
      <c r="A531" t="s">
        <v>559</v>
      </c>
      <c r="B531">
        <f>_xlfn.XLOOKUP(A531,'Subbu- Mini Project EXcel Clean'!A531:A1530,'Subbu- Mini Project EXcel Clean'!I531:I1530,"Entry Level",0)</f>
        <v>3</v>
      </c>
      <c r="C531" t="str">
        <f>_xlfn.XLOOKUP(A531,'Subbu- Mini Project EXcel Clean'!A531:A1530,'Subbu- Mini Project EXcel Clean'!J531:J1530," ",0)</f>
        <v>Excellent</v>
      </c>
      <c r="D531">
        <f>_xlfn.XLOOKUP(A531,'Subbu- Mini Project EXcel Clean'!A531:A1530,'Subbu- Mini Project EXcel Clean'!N531:N1530,"entry Level",0)</f>
        <v>6.3</v>
      </c>
      <c r="E531">
        <f>_xlfn.XLOOKUP(A531,'Subbu- Mini Project EXcel Clean'!A531:A1530,'Subbu- Mini Project EXcel Clean'!M531:M1530," ",0)</f>
        <v>81.5</v>
      </c>
      <c r="F531">
        <f>_xlfn.XLOOKUP(A531,'Subbu- Mini Project EXcel Clean'!A531:A1530,'Subbu- Mini Project EXcel Clean'!P531:P1530," ",0)</f>
        <v>6</v>
      </c>
      <c r="G531" t="str">
        <f>_xlfn.XLOOKUP(A531,'Subbu- Mini Project EXcel Clean'!A531:A1530,'Subbu- Mini Project EXcel Clean'!Q531:Q1530," ",0)</f>
        <v>Moderate</v>
      </c>
      <c r="H531">
        <f>VLOOKUP(A531,'Subbu- Mini Project EXcel Clean'!A530:R1530,15,FALSE)</f>
        <v>3.8</v>
      </c>
    </row>
    <row r="532" spans="1:8" x14ac:dyDescent="0.25">
      <c r="A532" t="s">
        <v>560</v>
      </c>
      <c r="B532">
        <f>_xlfn.XLOOKUP(A532,'Subbu- Mini Project EXcel Clean'!A532:A1531,'Subbu- Mini Project EXcel Clean'!I532:I1531,"Entry Level",0)</f>
        <v>2</v>
      </c>
      <c r="C532" t="str">
        <f>_xlfn.XLOOKUP(A532,'Subbu- Mini Project EXcel Clean'!A532:A1531,'Subbu- Mini Project EXcel Clean'!J532:J1531," ",0)</f>
        <v>Consistent</v>
      </c>
      <c r="D532">
        <f>_xlfn.XLOOKUP(A532,'Subbu- Mini Project EXcel Clean'!A532:A1531,'Subbu- Mini Project EXcel Clean'!N532:N1531,"entry Level",0)</f>
        <v>6.9</v>
      </c>
      <c r="E532">
        <f>_xlfn.XLOOKUP(A532,'Subbu- Mini Project EXcel Clean'!A532:A1531,'Subbu- Mini Project EXcel Clean'!M532:M1531," ",0)</f>
        <v>75.7</v>
      </c>
      <c r="F532">
        <f>_xlfn.XLOOKUP(A532,'Subbu- Mini Project EXcel Clean'!A532:A1531,'Subbu- Mini Project EXcel Clean'!P532:P1531," ",0)</f>
        <v>4</v>
      </c>
      <c r="G532" t="str">
        <f>_xlfn.XLOOKUP(A532,'Subbu- Mini Project EXcel Clean'!A532:A1531,'Subbu- Mini Project EXcel Clean'!Q532:Q1531," ",0)</f>
        <v>Moderate</v>
      </c>
      <c r="H532">
        <f>VLOOKUP(A532,'Subbu- Mini Project EXcel Clean'!A531:R1531,15,FALSE)</f>
        <v>4.2</v>
      </c>
    </row>
    <row r="533" spans="1:8" x14ac:dyDescent="0.25">
      <c r="A533" t="s">
        <v>561</v>
      </c>
      <c r="B533">
        <f>_xlfn.XLOOKUP(A533,'Subbu- Mini Project EXcel Clean'!A533:A1532,'Subbu- Mini Project EXcel Clean'!I533:I1532,"Entry Level",0)</f>
        <v>2</v>
      </c>
      <c r="C533" t="str">
        <f>_xlfn.XLOOKUP(A533,'Subbu- Mini Project EXcel Clean'!A533:A1532,'Subbu- Mini Project EXcel Clean'!J533:J1532," ",0)</f>
        <v>Consistent</v>
      </c>
      <c r="D533">
        <f>_xlfn.XLOOKUP(A533,'Subbu- Mini Project EXcel Clean'!A533:A1532,'Subbu- Mini Project EXcel Clean'!N533:N1532,"entry Level",0)</f>
        <v>6.6</v>
      </c>
      <c r="E533">
        <f>_xlfn.XLOOKUP(A533,'Subbu- Mini Project EXcel Clean'!A533:A1532,'Subbu- Mini Project EXcel Clean'!M533:M1532," ",0)</f>
        <v>65.599999999999994</v>
      </c>
      <c r="F533">
        <f>_xlfn.XLOOKUP(A533,'Subbu- Mini Project EXcel Clean'!A533:A1532,'Subbu- Mini Project EXcel Clean'!P533:P1532," ",0)</f>
        <v>2</v>
      </c>
      <c r="G533" t="str">
        <f>_xlfn.XLOOKUP(A533,'Subbu- Mini Project EXcel Clean'!A533:A1532,'Subbu- Mini Project EXcel Clean'!Q533:Q1532," ",0)</f>
        <v>Low</v>
      </c>
      <c r="H533">
        <f>VLOOKUP(A533,'Subbu- Mini Project EXcel Clean'!A532:R1532,15,FALSE)</f>
        <v>2.8</v>
      </c>
    </row>
    <row r="534" spans="1:8" x14ac:dyDescent="0.25">
      <c r="A534" t="s">
        <v>562</v>
      </c>
      <c r="B534">
        <f>_xlfn.XLOOKUP(A534,'Subbu- Mini Project EXcel Clean'!A534:A1533,'Subbu- Mini Project EXcel Clean'!I534:I1533,"Entry Level",0)</f>
        <v>3</v>
      </c>
      <c r="C534" t="str">
        <f>_xlfn.XLOOKUP(A534,'Subbu- Mini Project EXcel Clean'!A534:A1533,'Subbu- Mini Project EXcel Clean'!J534:J1533," ",0)</f>
        <v>Consistent</v>
      </c>
      <c r="D534">
        <f>_xlfn.XLOOKUP(A534,'Subbu- Mini Project EXcel Clean'!A534:A1533,'Subbu- Mini Project EXcel Clean'!N534:N1533,"entry Level",0)</f>
        <v>6.9</v>
      </c>
      <c r="E534">
        <f>_xlfn.XLOOKUP(A534,'Subbu- Mini Project EXcel Clean'!A534:A1533,'Subbu- Mini Project EXcel Clean'!M534:M1533," ",0)</f>
        <v>72.400000000000006</v>
      </c>
      <c r="F534">
        <f>_xlfn.XLOOKUP(A534,'Subbu- Mini Project EXcel Clean'!A534:A1533,'Subbu- Mini Project EXcel Clean'!P534:P1533," ",0)</f>
        <v>6</v>
      </c>
      <c r="G534" t="str">
        <f>_xlfn.XLOOKUP(A534,'Subbu- Mini Project EXcel Clean'!A534:A1533,'Subbu- Mini Project EXcel Clean'!Q534:Q1533," ",0)</f>
        <v>Moderate</v>
      </c>
      <c r="H534">
        <f>VLOOKUP(A534,'Subbu- Mini Project EXcel Clean'!A533:R1533,15,FALSE)</f>
        <v>5.6</v>
      </c>
    </row>
    <row r="535" spans="1:8" x14ac:dyDescent="0.25">
      <c r="A535" t="s">
        <v>563</v>
      </c>
      <c r="B535">
        <f>_xlfn.XLOOKUP(A535,'Subbu- Mini Project EXcel Clean'!A535:A1534,'Subbu- Mini Project EXcel Clean'!I535:I1534,"Entry Level",0)</f>
        <v>5</v>
      </c>
      <c r="C535" t="str">
        <f>_xlfn.XLOOKUP(A535,'Subbu- Mini Project EXcel Clean'!A535:A1534,'Subbu- Mini Project EXcel Clean'!J535:J1534," ",0)</f>
        <v>Good</v>
      </c>
      <c r="D535">
        <f>_xlfn.XLOOKUP(A535,'Subbu- Mini Project EXcel Clean'!A535:A1534,'Subbu- Mini Project EXcel Clean'!N535:N1534,"entry Level",0)</f>
        <v>7.5</v>
      </c>
      <c r="E535">
        <f>_xlfn.XLOOKUP(A535,'Subbu- Mini Project EXcel Clean'!A535:A1534,'Subbu- Mini Project EXcel Clean'!M535:M1534," ",0)</f>
        <v>100.3</v>
      </c>
      <c r="F535">
        <f>_xlfn.XLOOKUP(A535,'Subbu- Mini Project EXcel Clean'!A535:A1534,'Subbu- Mini Project EXcel Clean'!P535:P1534," ",0)</f>
        <v>7</v>
      </c>
      <c r="G535" t="str">
        <f>_xlfn.XLOOKUP(A535,'Subbu- Mini Project EXcel Clean'!A535:A1534,'Subbu- Mini Project EXcel Clean'!Q535:Q1534," ",0)</f>
        <v>High</v>
      </c>
      <c r="H535">
        <f>VLOOKUP(A535,'Subbu- Mini Project EXcel Clean'!A534:R1534,15,FALSE)</f>
        <v>1.7</v>
      </c>
    </row>
    <row r="536" spans="1:8" x14ac:dyDescent="0.25">
      <c r="A536" t="s">
        <v>564</v>
      </c>
      <c r="B536">
        <f>_xlfn.XLOOKUP(A536,'Subbu- Mini Project EXcel Clean'!A536:A1535,'Subbu- Mini Project EXcel Clean'!I536:I1535,"Entry Level",0)</f>
        <v>1</v>
      </c>
      <c r="C536" t="str">
        <f>_xlfn.XLOOKUP(A536,'Subbu- Mini Project EXcel Clean'!A536:A1535,'Subbu- Mini Project EXcel Clean'!J536:J1535," ",0)</f>
        <v>Consistent</v>
      </c>
      <c r="D536">
        <f>_xlfn.XLOOKUP(A536,'Subbu- Mini Project EXcel Clean'!A536:A1535,'Subbu- Mini Project EXcel Clean'!N536:N1535,"entry Level",0)</f>
        <v>6.7</v>
      </c>
      <c r="E536">
        <f>_xlfn.XLOOKUP(A536,'Subbu- Mini Project EXcel Clean'!A536:A1535,'Subbu- Mini Project EXcel Clean'!M536:M1535," ",0)</f>
        <v>67.3</v>
      </c>
      <c r="F536">
        <f>_xlfn.XLOOKUP(A536,'Subbu- Mini Project EXcel Clean'!A536:A1535,'Subbu- Mini Project EXcel Clean'!P536:P1535," ",0)</f>
        <v>4</v>
      </c>
      <c r="G536" t="str">
        <f>_xlfn.XLOOKUP(A536,'Subbu- Mini Project EXcel Clean'!A536:A1535,'Subbu- Mini Project EXcel Clean'!Q536:Q1535," ",0)</f>
        <v>Moderate</v>
      </c>
      <c r="H536">
        <f>VLOOKUP(A536,'Subbu- Mini Project EXcel Clean'!A535:R1535,15,FALSE)</f>
        <v>4.4000000000000004</v>
      </c>
    </row>
    <row r="537" spans="1:8" x14ac:dyDescent="0.25">
      <c r="A537" t="s">
        <v>565</v>
      </c>
      <c r="B537">
        <f>_xlfn.XLOOKUP(A537,'Subbu- Mini Project EXcel Clean'!A537:A1536,'Subbu- Mini Project EXcel Clean'!I537:I1536,"Entry Level",0)</f>
        <v>3</v>
      </c>
      <c r="C537" t="str">
        <f>_xlfn.XLOOKUP(A537,'Subbu- Mini Project EXcel Clean'!A537:A1536,'Subbu- Mini Project EXcel Clean'!J537:J1536," ",0)</f>
        <v>Excellent</v>
      </c>
      <c r="D537">
        <f>_xlfn.XLOOKUP(A537,'Subbu- Mini Project EXcel Clean'!A537:A1536,'Subbu- Mini Project EXcel Clean'!N537:N1536,"entry Level",0)</f>
        <v>7.6</v>
      </c>
      <c r="E537">
        <f>_xlfn.XLOOKUP(A537,'Subbu- Mini Project EXcel Clean'!A537:A1536,'Subbu- Mini Project EXcel Clean'!M537:M1536," ",0)</f>
        <v>85.7</v>
      </c>
      <c r="F537">
        <f>_xlfn.XLOOKUP(A537,'Subbu- Mini Project EXcel Clean'!A537:A1536,'Subbu- Mini Project EXcel Clean'!P537:P1536," ",0)</f>
        <v>4</v>
      </c>
      <c r="G537" t="str">
        <f>_xlfn.XLOOKUP(A537,'Subbu- Mini Project EXcel Clean'!A537:A1536,'Subbu- Mini Project EXcel Clean'!Q537:Q1536," ",0)</f>
        <v>Moderate</v>
      </c>
      <c r="H537">
        <f>VLOOKUP(A537,'Subbu- Mini Project EXcel Clean'!A536:R1536,15,FALSE)</f>
        <v>1</v>
      </c>
    </row>
    <row r="538" spans="1:8" x14ac:dyDescent="0.25">
      <c r="A538" t="s">
        <v>566</v>
      </c>
      <c r="B538">
        <f>_xlfn.XLOOKUP(A538,'Subbu- Mini Project EXcel Clean'!A538:A1537,'Subbu- Mini Project EXcel Clean'!I538:I1537,"Entry Level",0)</f>
        <v>1</v>
      </c>
      <c r="C538" t="str">
        <f>_xlfn.XLOOKUP(A538,'Subbu- Mini Project EXcel Clean'!A538:A1537,'Subbu- Mini Project EXcel Clean'!J538:J1537," ",0)</f>
        <v>Consistent</v>
      </c>
      <c r="D538">
        <f>_xlfn.XLOOKUP(A538,'Subbu- Mini Project EXcel Clean'!A538:A1537,'Subbu- Mini Project EXcel Clean'!N538:N1537,"entry Level",0)</f>
        <v>6.7</v>
      </c>
      <c r="E538">
        <f>_xlfn.XLOOKUP(A538,'Subbu- Mini Project EXcel Clean'!A538:A1537,'Subbu- Mini Project EXcel Clean'!M538:M1537," ",0)</f>
        <v>64.5</v>
      </c>
      <c r="F538">
        <f>_xlfn.XLOOKUP(A538,'Subbu- Mini Project EXcel Clean'!A538:A1537,'Subbu- Mini Project EXcel Clean'!P538:P1537," ",0)</f>
        <v>2</v>
      </c>
      <c r="G538" t="str">
        <f>_xlfn.XLOOKUP(A538,'Subbu- Mini Project EXcel Clean'!A538:A1537,'Subbu- Mini Project EXcel Clean'!Q538:Q1537," ",0)</f>
        <v>Low</v>
      </c>
      <c r="H538">
        <f>VLOOKUP(A538,'Subbu- Mini Project EXcel Clean'!A537:R1537,15,FALSE)</f>
        <v>5.6</v>
      </c>
    </row>
    <row r="539" spans="1:8" x14ac:dyDescent="0.25">
      <c r="A539" t="s">
        <v>567</v>
      </c>
      <c r="B539">
        <f>_xlfn.XLOOKUP(A539,'Subbu- Mini Project EXcel Clean'!A539:A1538,'Subbu- Mini Project EXcel Clean'!I539:I1538,"Entry Level",0)</f>
        <v>2</v>
      </c>
      <c r="C539" t="str">
        <f>_xlfn.XLOOKUP(A539,'Subbu- Mini Project EXcel Clean'!A539:A1538,'Subbu- Mini Project EXcel Clean'!J539:J1538," ",0)</f>
        <v>Consistent</v>
      </c>
      <c r="D539">
        <f>_xlfn.XLOOKUP(A539,'Subbu- Mini Project EXcel Clean'!A539:A1538,'Subbu- Mini Project EXcel Clean'!N539:N1538,"entry Level",0)</f>
        <v>7.9</v>
      </c>
      <c r="E539">
        <f>_xlfn.XLOOKUP(A539,'Subbu- Mini Project EXcel Clean'!A539:A1538,'Subbu- Mini Project EXcel Clean'!M539:M1538," ",0)</f>
        <v>66.599999999999994</v>
      </c>
      <c r="F539">
        <f>_xlfn.XLOOKUP(A539,'Subbu- Mini Project EXcel Clean'!A539:A1538,'Subbu- Mini Project EXcel Clean'!P539:P1538," ",0)</f>
        <v>3</v>
      </c>
      <c r="G539" t="str">
        <f>_xlfn.XLOOKUP(A539,'Subbu- Mini Project EXcel Clean'!A539:A1538,'Subbu- Mini Project EXcel Clean'!Q539:Q1538," ",0)</f>
        <v>Moderate</v>
      </c>
      <c r="H539">
        <f>VLOOKUP(A539,'Subbu- Mini Project EXcel Clean'!A538:R1538,15,FALSE)</f>
        <v>1.6</v>
      </c>
    </row>
    <row r="540" spans="1:8" x14ac:dyDescent="0.25">
      <c r="A540" t="s">
        <v>568</v>
      </c>
      <c r="B540">
        <f>_xlfn.XLOOKUP(A540,'Subbu- Mini Project EXcel Clean'!A540:A1539,'Subbu- Mini Project EXcel Clean'!I540:I1539,"Entry Level",0)</f>
        <v>3</v>
      </c>
      <c r="C540" t="str">
        <f>_xlfn.XLOOKUP(A540,'Subbu- Mini Project EXcel Clean'!A540:A1539,'Subbu- Mini Project EXcel Clean'!J540:J1539," ",0)</f>
        <v>Consistent</v>
      </c>
      <c r="D540">
        <f>_xlfn.XLOOKUP(A540,'Subbu- Mini Project EXcel Clean'!A540:A1539,'Subbu- Mini Project EXcel Clean'!N540:N1539,"entry Level",0)</f>
        <v>7.7</v>
      </c>
      <c r="E540">
        <f>_xlfn.XLOOKUP(A540,'Subbu- Mini Project EXcel Clean'!A540:A1539,'Subbu- Mini Project EXcel Clean'!M540:M1539," ",0)</f>
        <v>79.599999999999994</v>
      </c>
      <c r="F540">
        <f>_xlfn.XLOOKUP(A540,'Subbu- Mini Project EXcel Clean'!A540:A1539,'Subbu- Mini Project EXcel Clean'!P540:P1539," ",0)</f>
        <v>4</v>
      </c>
      <c r="G540" t="str">
        <f>_xlfn.XLOOKUP(A540,'Subbu- Mini Project EXcel Clean'!A540:A1539,'Subbu- Mini Project EXcel Clean'!Q540:Q1539," ",0)</f>
        <v>Moderate</v>
      </c>
      <c r="H540">
        <f>VLOOKUP(A540,'Subbu- Mini Project EXcel Clean'!A539:R1539,15,FALSE)</f>
        <v>1.5</v>
      </c>
    </row>
    <row r="541" spans="1:8" x14ac:dyDescent="0.25">
      <c r="A541" t="s">
        <v>569</v>
      </c>
      <c r="B541">
        <f>_xlfn.XLOOKUP(A541,'Subbu- Mini Project EXcel Clean'!A541:A1540,'Subbu- Mini Project EXcel Clean'!I541:I1540,"Entry Level",0)</f>
        <v>3</v>
      </c>
      <c r="C541" t="str">
        <f>_xlfn.XLOOKUP(A541,'Subbu- Mini Project EXcel Clean'!A541:A1540,'Subbu- Mini Project EXcel Clean'!J541:J1540," ",0)</f>
        <v>Consistent</v>
      </c>
      <c r="D541">
        <f>_xlfn.XLOOKUP(A541,'Subbu- Mini Project EXcel Clean'!A541:A1540,'Subbu- Mini Project EXcel Clean'!N541:N1540,"entry Level",0)</f>
        <v>7.5</v>
      </c>
      <c r="E541">
        <f>_xlfn.XLOOKUP(A541,'Subbu- Mini Project EXcel Clean'!A541:A1540,'Subbu- Mini Project EXcel Clean'!M541:M1540," ",0)</f>
        <v>81.400000000000006</v>
      </c>
      <c r="F541">
        <f>_xlfn.XLOOKUP(A541,'Subbu- Mini Project EXcel Clean'!A541:A1540,'Subbu- Mini Project EXcel Clean'!P541:P1540," ",0)</f>
        <v>1</v>
      </c>
      <c r="G541" t="str">
        <f>_xlfn.XLOOKUP(A541,'Subbu- Mini Project EXcel Clean'!A541:A1540,'Subbu- Mini Project EXcel Clean'!Q541:Q1540," ",0)</f>
        <v>Low</v>
      </c>
      <c r="H541">
        <f>VLOOKUP(A541,'Subbu- Mini Project EXcel Clean'!A540:R1540,15,FALSE)</f>
        <v>2.7</v>
      </c>
    </row>
    <row r="542" spans="1:8" x14ac:dyDescent="0.25">
      <c r="A542" t="s">
        <v>570</v>
      </c>
      <c r="B542">
        <f>_xlfn.XLOOKUP(A542,'Subbu- Mini Project EXcel Clean'!A542:A1541,'Subbu- Mini Project EXcel Clean'!I542:I1541,"Entry Level",0)</f>
        <v>2</v>
      </c>
      <c r="C542" t="str">
        <f>_xlfn.XLOOKUP(A542,'Subbu- Mini Project EXcel Clean'!A542:A1541,'Subbu- Mini Project EXcel Clean'!J542:J1541," ",0)</f>
        <v>Consistent</v>
      </c>
      <c r="D542">
        <f>_xlfn.XLOOKUP(A542,'Subbu- Mini Project EXcel Clean'!A542:A1541,'Subbu- Mini Project EXcel Clean'!N542:N1541,"entry Level",0)</f>
        <v>7</v>
      </c>
      <c r="E542">
        <f>_xlfn.XLOOKUP(A542,'Subbu- Mini Project EXcel Clean'!A542:A1541,'Subbu- Mini Project EXcel Clean'!M542:M1541," ",0)</f>
        <v>65.2</v>
      </c>
      <c r="F542">
        <f>_xlfn.XLOOKUP(A542,'Subbu- Mini Project EXcel Clean'!A542:A1541,'Subbu- Mini Project EXcel Clean'!P542:P1541," ",0)</f>
        <v>2</v>
      </c>
      <c r="G542" t="str">
        <f>_xlfn.XLOOKUP(A542,'Subbu- Mini Project EXcel Clean'!A542:A1541,'Subbu- Mini Project EXcel Clean'!Q542:Q1541," ",0)</f>
        <v>Low</v>
      </c>
      <c r="H542">
        <f>VLOOKUP(A542,'Subbu- Mini Project EXcel Clean'!A541:R1541,15,FALSE)</f>
        <v>2.9</v>
      </c>
    </row>
    <row r="543" spans="1:8" x14ac:dyDescent="0.25">
      <c r="A543" t="s">
        <v>571</v>
      </c>
      <c r="B543">
        <f>_xlfn.XLOOKUP(A543,'Subbu- Mini Project EXcel Clean'!A543:A1542,'Subbu- Mini Project EXcel Clean'!I543:I1542,"Entry Level",0)</f>
        <v>2</v>
      </c>
      <c r="C543" t="str">
        <f>_xlfn.XLOOKUP(A543,'Subbu- Mini Project EXcel Clean'!A543:A1542,'Subbu- Mini Project EXcel Clean'!J543:J1542," ",0)</f>
        <v>Consistent</v>
      </c>
      <c r="D543">
        <f>_xlfn.XLOOKUP(A543,'Subbu- Mini Project EXcel Clean'!A543:A1542,'Subbu- Mini Project EXcel Clean'!N543:N1542,"entry Level",0)</f>
        <v>7.6</v>
      </c>
      <c r="E543">
        <f>_xlfn.XLOOKUP(A543,'Subbu- Mini Project EXcel Clean'!A543:A1542,'Subbu- Mini Project EXcel Clean'!M543:M1542," ",0)</f>
        <v>72.900000000000006</v>
      </c>
      <c r="F543">
        <f>_xlfn.XLOOKUP(A543,'Subbu- Mini Project EXcel Clean'!A543:A1542,'Subbu- Mini Project EXcel Clean'!P543:P1542," ",0)</f>
        <v>4</v>
      </c>
      <c r="G543" t="str">
        <f>_xlfn.XLOOKUP(A543,'Subbu- Mini Project EXcel Clean'!A543:A1542,'Subbu- Mini Project EXcel Clean'!Q543:Q1542," ",0)</f>
        <v>Moderate</v>
      </c>
      <c r="H543">
        <f>VLOOKUP(A543,'Subbu- Mini Project EXcel Clean'!A542:R1542,15,FALSE)</f>
        <v>2.1</v>
      </c>
    </row>
    <row r="544" spans="1:8" x14ac:dyDescent="0.25">
      <c r="A544" t="s">
        <v>572</v>
      </c>
      <c r="B544">
        <f>_xlfn.XLOOKUP(A544,'Subbu- Mini Project EXcel Clean'!A544:A1543,'Subbu- Mini Project EXcel Clean'!I544:I1543,"Entry Level",0)</f>
        <v>1</v>
      </c>
      <c r="C544" t="str">
        <f>_xlfn.XLOOKUP(A544,'Subbu- Mini Project EXcel Clean'!A544:A1543,'Subbu- Mini Project EXcel Clean'!J544:J1543," ",0)</f>
        <v>Consistent</v>
      </c>
      <c r="D544">
        <f>_xlfn.XLOOKUP(A544,'Subbu- Mini Project EXcel Clean'!A544:A1543,'Subbu- Mini Project EXcel Clean'!N544:N1543,"entry Level",0)</f>
        <v>6.7</v>
      </c>
      <c r="E544">
        <f>_xlfn.XLOOKUP(A544,'Subbu- Mini Project EXcel Clean'!A544:A1543,'Subbu- Mini Project EXcel Clean'!M544:M1543," ",0)</f>
        <v>58.1</v>
      </c>
      <c r="F544">
        <f>_xlfn.XLOOKUP(A544,'Subbu- Mini Project EXcel Clean'!A544:A1543,'Subbu- Mini Project EXcel Clean'!P544:P1543," ",0)</f>
        <v>4</v>
      </c>
      <c r="G544" t="str">
        <f>_xlfn.XLOOKUP(A544,'Subbu- Mini Project EXcel Clean'!A544:A1543,'Subbu- Mini Project EXcel Clean'!Q544:Q1543," ",0)</f>
        <v>Moderate</v>
      </c>
      <c r="H544">
        <f>VLOOKUP(A544,'Subbu- Mini Project EXcel Clean'!A543:R1543,15,FALSE)</f>
        <v>3.9</v>
      </c>
    </row>
    <row r="545" spans="1:8" x14ac:dyDescent="0.25">
      <c r="A545" t="s">
        <v>573</v>
      </c>
      <c r="B545">
        <f>_xlfn.XLOOKUP(A545,'Subbu- Mini Project EXcel Clean'!A545:A1544,'Subbu- Mini Project EXcel Clean'!I545:I1544,"Entry Level",0)</f>
        <v>2</v>
      </c>
      <c r="C545" t="str">
        <f>_xlfn.XLOOKUP(A545,'Subbu- Mini Project EXcel Clean'!A545:A1544,'Subbu- Mini Project EXcel Clean'!J545:J1544," ",0)</f>
        <v>Consistent</v>
      </c>
      <c r="D545">
        <f>_xlfn.XLOOKUP(A545,'Subbu- Mini Project EXcel Clean'!A545:A1544,'Subbu- Mini Project EXcel Clean'!N545:N1544,"entry Level",0)</f>
        <v>7</v>
      </c>
      <c r="E545">
        <f>_xlfn.XLOOKUP(A545,'Subbu- Mini Project EXcel Clean'!A545:A1544,'Subbu- Mini Project EXcel Clean'!M545:M1544," ",0)</f>
        <v>72.5</v>
      </c>
      <c r="F545">
        <f>_xlfn.XLOOKUP(A545,'Subbu- Mini Project EXcel Clean'!A545:A1544,'Subbu- Mini Project EXcel Clean'!P545:P1544," ",0)</f>
        <v>6</v>
      </c>
      <c r="G545" t="str">
        <f>_xlfn.XLOOKUP(A545,'Subbu- Mini Project EXcel Clean'!A545:A1544,'Subbu- Mini Project EXcel Clean'!Q545:Q1544," ",0)</f>
        <v>Moderate</v>
      </c>
      <c r="H545">
        <f>VLOOKUP(A545,'Subbu- Mini Project EXcel Clean'!A544:R1544,15,FALSE)</f>
        <v>3.2</v>
      </c>
    </row>
    <row r="546" spans="1:8" x14ac:dyDescent="0.25">
      <c r="A546" t="s">
        <v>574</v>
      </c>
      <c r="B546">
        <f>_xlfn.XLOOKUP(A546,'Subbu- Mini Project EXcel Clean'!A546:A1545,'Subbu- Mini Project EXcel Clean'!I546:I1545,"Entry Level",0)</f>
        <v>5</v>
      </c>
      <c r="C546" t="str">
        <f>_xlfn.XLOOKUP(A546,'Subbu- Mini Project EXcel Clean'!A546:A1545,'Subbu- Mini Project EXcel Clean'!J546:J1545," ",0)</f>
        <v>Good</v>
      </c>
      <c r="D546">
        <f>_xlfn.XLOOKUP(A546,'Subbu- Mini Project EXcel Clean'!A546:A1545,'Subbu- Mini Project EXcel Clean'!N546:N1545,"entry Level",0)</f>
        <v>7.5</v>
      </c>
      <c r="E546">
        <f>_xlfn.XLOOKUP(A546,'Subbu- Mini Project EXcel Clean'!A546:A1545,'Subbu- Mini Project EXcel Clean'!M546:M1545," ",0)</f>
        <v>96.3</v>
      </c>
      <c r="F546">
        <f>_xlfn.XLOOKUP(A546,'Subbu- Mini Project EXcel Clean'!A546:A1545,'Subbu- Mini Project EXcel Clean'!P546:P1545," ",0)</f>
        <v>5</v>
      </c>
      <c r="G546" t="str">
        <f>_xlfn.XLOOKUP(A546,'Subbu- Mini Project EXcel Clean'!A546:A1545,'Subbu- Mini Project EXcel Clean'!Q546:Q1545," ",0)</f>
        <v>Moderate</v>
      </c>
      <c r="H546">
        <f>VLOOKUP(A546,'Subbu- Mini Project EXcel Clean'!A545:R1545,15,FALSE)</f>
        <v>1.2</v>
      </c>
    </row>
    <row r="547" spans="1:8" x14ac:dyDescent="0.25">
      <c r="A547" t="s">
        <v>575</v>
      </c>
      <c r="B547">
        <f>_xlfn.XLOOKUP(A547,'Subbu- Mini Project EXcel Clean'!A547:A1546,'Subbu- Mini Project EXcel Clean'!I547:I1546,"Entry Level",0)</f>
        <v>5</v>
      </c>
      <c r="C547" t="str">
        <f>_xlfn.XLOOKUP(A547,'Subbu- Mini Project EXcel Clean'!A547:A1546,'Subbu- Mini Project EXcel Clean'!J547:J1546," ",0)</f>
        <v>Good</v>
      </c>
      <c r="D547">
        <f>_xlfn.XLOOKUP(A547,'Subbu- Mini Project EXcel Clean'!A547:A1546,'Subbu- Mini Project EXcel Clean'!N547:N1546,"entry Level",0)</f>
        <v>7</v>
      </c>
      <c r="E547">
        <f>_xlfn.XLOOKUP(A547,'Subbu- Mini Project EXcel Clean'!A547:A1546,'Subbu- Mini Project EXcel Clean'!M547:M1546," ",0)</f>
        <v>110.5</v>
      </c>
      <c r="F547">
        <f>_xlfn.XLOOKUP(A547,'Subbu- Mini Project EXcel Clean'!A547:A1546,'Subbu- Mini Project EXcel Clean'!P547:P1546," ",0)</f>
        <v>5</v>
      </c>
      <c r="G547" t="str">
        <f>_xlfn.XLOOKUP(A547,'Subbu- Mini Project EXcel Clean'!A547:A1546,'Subbu- Mini Project EXcel Clean'!Q547:Q1546," ",0)</f>
        <v>Moderate</v>
      </c>
      <c r="H547">
        <f>VLOOKUP(A547,'Subbu- Mini Project EXcel Clean'!A546:R1546,15,FALSE)</f>
        <v>2.6</v>
      </c>
    </row>
    <row r="548" spans="1:8" x14ac:dyDescent="0.25">
      <c r="A548" t="s">
        <v>576</v>
      </c>
      <c r="B548">
        <f>_xlfn.XLOOKUP(A548,'Subbu- Mini Project EXcel Clean'!A548:A1547,'Subbu- Mini Project EXcel Clean'!I548:I1547,"Entry Level",0)</f>
        <v>2</v>
      </c>
      <c r="C548" t="str">
        <f>_xlfn.XLOOKUP(A548,'Subbu- Mini Project EXcel Clean'!A548:A1547,'Subbu- Mini Project EXcel Clean'!J548:J1547," ",0)</f>
        <v>Consistent</v>
      </c>
      <c r="D548">
        <f>_xlfn.XLOOKUP(A548,'Subbu- Mini Project EXcel Clean'!A548:A1547,'Subbu- Mini Project EXcel Clean'!N548:N1547,"entry Level",0)</f>
        <v>6.1</v>
      </c>
      <c r="E548">
        <f>_xlfn.XLOOKUP(A548,'Subbu- Mini Project EXcel Clean'!A548:A1547,'Subbu- Mini Project EXcel Clean'!M548:M1547," ",0)</f>
        <v>73.2</v>
      </c>
      <c r="F548">
        <f>_xlfn.XLOOKUP(A548,'Subbu- Mini Project EXcel Clean'!A548:A1547,'Subbu- Mini Project EXcel Clean'!P548:P1547," ",0)</f>
        <v>5</v>
      </c>
      <c r="G548" t="str">
        <f>_xlfn.XLOOKUP(A548,'Subbu- Mini Project EXcel Clean'!A548:A1547,'Subbu- Mini Project EXcel Clean'!Q548:Q1547," ",0)</f>
        <v>Moderate</v>
      </c>
      <c r="H548">
        <f>VLOOKUP(A548,'Subbu- Mini Project EXcel Clean'!A547:R1547,15,FALSE)</f>
        <v>5.0999999999999996</v>
      </c>
    </row>
    <row r="549" spans="1:8" x14ac:dyDescent="0.25">
      <c r="A549" t="s">
        <v>577</v>
      </c>
      <c r="B549">
        <f>_xlfn.XLOOKUP(A549,'Subbu- Mini Project EXcel Clean'!A549:A1548,'Subbu- Mini Project EXcel Clean'!I549:I1548,"Entry Level",0)</f>
        <v>3</v>
      </c>
      <c r="C549" t="str">
        <f>_xlfn.XLOOKUP(A549,'Subbu- Mini Project EXcel Clean'!A549:A1548,'Subbu- Mini Project EXcel Clean'!J549:J1548," ",0)</f>
        <v>Excellent</v>
      </c>
      <c r="D549">
        <f>_xlfn.XLOOKUP(A549,'Subbu- Mini Project EXcel Clean'!A549:A1548,'Subbu- Mini Project EXcel Clean'!N549:N1548,"entry Level",0)</f>
        <v>6.9</v>
      </c>
      <c r="E549">
        <f>_xlfn.XLOOKUP(A549,'Subbu- Mini Project EXcel Clean'!A549:A1548,'Subbu- Mini Project EXcel Clean'!M549:M1548," ",0)</f>
        <v>75.8</v>
      </c>
      <c r="F549">
        <f>_xlfn.XLOOKUP(A549,'Subbu- Mini Project EXcel Clean'!A549:A1548,'Subbu- Mini Project EXcel Clean'!P549:P1548," ",0)</f>
        <v>4</v>
      </c>
      <c r="G549" t="str">
        <f>_xlfn.XLOOKUP(A549,'Subbu- Mini Project EXcel Clean'!A549:A1548,'Subbu- Mini Project EXcel Clean'!Q549:Q1548," ",0)</f>
        <v>Moderate</v>
      </c>
      <c r="H549">
        <f>VLOOKUP(A549,'Subbu- Mini Project EXcel Clean'!A548:R1548,15,FALSE)</f>
        <v>4.4000000000000004</v>
      </c>
    </row>
    <row r="550" spans="1:8" x14ac:dyDescent="0.25">
      <c r="A550" t="s">
        <v>578</v>
      </c>
      <c r="B550">
        <f>_xlfn.XLOOKUP(A550,'Subbu- Mini Project EXcel Clean'!A550:A1549,'Subbu- Mini Project EXcel Clean'!I550:I1549,"Entry Level",0)</f>
        <v>5</v>
      </c>
      <c r="C550" t="str">
        <f>_xlfn.XLOOKUP(A550,'Subbu- Mini Project EXcel Clean'!A550:A1549,'Subbu- Mini Project EXcel Clean'!J550:J1549," ",0)</f>
        <v>Good</v>
      </c>
      <c r="D550">
        <f>_xlfn.XLOOKUP(A550,'Subbu- Mini Project EXcel Clean'!A550:A1549,'Subbu- Mini Project EXcel Clean'!N550:N1549,"entry Level",0)</f>
        <v>7.3</v>
      </c>
      <c r="E550">
        <f>_xlfn.XLOOKUP(A550,'Subbu- Mini Project EXcel Clean'!A550:A1549,'Subbu- Mini Project EXcel Clean'!M550:M1549," ",0)</f>
        <v>95.7</v>
      </c>
      <c r="F550">
        <f>_xlfn.XLOOKUP(A550,'Subbu- Mini Project EXcel Clean'!A550:A1549,'Subbu- Mini Project EXcel Clean'!P550:P1549," ",0)</f>
        <v>4</v>
      </c>
      <c r="G550" t="str">
        <f>_xlfn.XLOOKUP(A550,'Subbu- Mini Project EXcel Clean'!A550:A1549,'Subbu- Mini Project EXcel Clean'!Q550:Q1549," ",0)</f>
        <v>Moderate</v>
      </c>
      <c r="H550">
        <f>VLOOKUP(A550,'Subbu- Mini Project EXcel Clean'!A549:R1549,15,FALSE)</f>
        <v>4.5999999999999996</v>
      </c>
    </row>
    <row r="551" spans="1:8" x14ac:dyDescent="0.25">
      <c r="A551" t="s">
        <v>579</v>
      </c>
      <c r="B551">
        <f>_xlfn.XLOOKUP(A551,'Subbu- Mini Project EXcel Clean'!A551:A1550,'Subbu- Mini Project EXcel Clean'!I551:I1550,"Entry Level",0)</f>
        <v>1</v>
      </c>
      <c r="C551" t="str">
        <f>_xlfn.XLOOKUP(A551,'Subbu- Mini Project EXcel Clean'!A551:A1550,'Subbu- Mini Project EXcel Clean'!J551:J1550," ",0)</f>
        <v>Average</v>
      </c>
      <c r="D551">
        <f>_xlfn.XLOOKUP(A551,'Subbu- Mini Project EXcel Clean'!A551:A1550,'Subbu- Mini Project EXcel Clean'!N551:N1550,"entry Level",0)</f>
        <v>7.2</v>
      </c>
      <c r="E551">
        <f>_xlfn.XLOOKUP(A551,'Subbu- Mini Project EXcel Clean'!A551:A1550,'Subbu- Mini Project EXcel Clean'!M551:M1550," ",0)</f>
        <v>62.8</v>
      </c>
      <c r="F551">
        <f>_xlfn.XLOOKUP(A551,'Subbu- Mini Project EXcel Clean'!A551:A1550,'Subbu- Mini Project EXcel Clean'!P551:P1550," ",0)</f>
        <v>5</v>
      </c>
      <c r="G551" t="str">
        <f>_xlfn.XLOOKUP(A551,'Subbu- Mini Project EXcel Clean'!A551:A1550,'Subbu- Mini Project EXcel Clean'!Q551:Q1550," ",0)</f>
        <v>Moderate</v>
      </c>
      <c r="H551">
        <f>VLOOKUP(A551,'Subbu- Mini Project EXcel Clean'!A550:R1550,15,FALSE)</f>
        <v>4.5</v>
      </c>
    </row>
    <row r="552" spans="1:8" x14ac:dyDescent="0.25">
      <c r="A552" t="s">
        <v>580</v>
      </c>
      <c r="B552">
        <f>_xlfn.XLOOKUP(A552,'Subbu- Mini Project EXcel Clean'!A552:A1551,'Subbu- Mini Project EXcel Clean'!I552:I1551,"Entry Level",0)</f>
        <v>4</v>
      </c>
      <c r="C552" t="str">
        <f>_xlfn.XLOOKUP(A552,'Subbu- Mini Project EXcel Clean'!A552:A1551,'Subbu- Mini Project EXcel Clean'!J552:J1551," ",0)</f>
        <v>Good</v>
      </c>
      <c r="D552">
        <f>_xlfn.XLOOKUP(A552,'Subbu- Mini Project EXcel Clean'!A552:A1551,'Subbu- Mini Project EXcel Clean'!N552:N1551,"entry Level",0)</f>
        <v>6.6</v>
      </c>
      <c r="E552">
        <f>_xlfn.XLOOKUP(A552,'Subbu- Mini Project EXcel Clean'!A552:A1551,'Subbu- Mini Project EXcel Clean'!M552:M1551," ",0)</f>
        <v>100.8</v>
      </c>
      <c r="F552">
        <f>_xlfn.XLOOKUP(A552,'Subbu- Mini Project EXcel Clean'!A552:A1551,'Subbu- Mini Project EXcel Clean'!P552:P1551," ",0)</f>
        <v>4</v>
      </c>
      <c r="G552" t="str">
        <f>_xlfn.XLOOKUP(A552,'Subbu- Mini Project EXcel Clean'!A552:A1551,'Subbu- Mini Project EXcel Clean'!Q552:Q1551," ",0)</f>
        <v>Moderate</v>
      </c>
      <c r="H552">
        <f>VLOOKUP(A552,'Subbu- Mini Project EXcel Clean'!A551:R1551,15,FALSE)</f>
        <v>2.6</v>
      </c>
    </row>
    <row r="553" spans="1:8" x14ac:dyDescent="0.25">
      <c r="A553" t="s">
        <v>581</v>
      </c>
      <c r="B553">
        <f>_xlfn.XLOOKUP(A553,'Subbu- Mini Project EXcel Clean'!A553:A1552,'Subbu- Mini Project EXcel Clean'!I553:I1552,"Entry Level",0)</f>
        <v>5</v>
      </c>
      <c r="C553" t="str">
        <f>_xlfn.XLOOKUP(A553,'Subbu- Mini Project EXcel Clean'!A553:A1552,'Subbu- Mini Project EXcel Clean'!J553:J1552," ",0)</f>
        <v>Good</v>
      </c>
      <c r="D553">
        <f>_xlfn.XLOOKUP(A553,'Subbu- Mini Project EXcel Clean'!A553:A1552,'Subbu- Mini Project EXcel Clean'!N553:N1552,"entry Level",0)</f>
        <v>8.1999999999999993</v>
      </c>
      <c r="E553">
        <f>_xlfn.XLOOKUP(A553,'Subbu- Mini Project EXcel Clean'!A553:A1552,'Subbu- Mini Project EXcel Clean'!M553:M1552," ",0)</f>
        <v>95</v>
      </c>
      <c r="F553">
        <f>_xlfn.XLOOKUP(A553,'Subbu- Mini Project EXcel Clean'!A553:A1552,'Subbu- Mini Project EXcel Clean'!P553:P1552," ",0)</f>
        <v>3</v>
      </c>
      <c r="G553" t="str">
        <f>_xlfn.XLOOKUP(A553,'Subbu- Mini Project EXcel Clean'!A553:A1552,'Subbu- Mini Project EXcel Clean'!Q553:Q1552," ",0)</f>
        <v>Moderate</v>
      </c>
      <c r="H553">
        <f>VLOOKUP(A553,'Subbu- Mini Project EXcel Clean'!A552:R1552,15,FALSE)</f>
        <v>1.5</v>
      </c>
    </row>
    <row r="554" spans="1:8" x14ac:dyDescent="0.25">
      <c r="A554" t="s">
        <v>582</v>
      </c>
      <c r="B554">
        <f>_xlfn.XLOOKUP(A554,'Subbu- Mini Project EXcel Clean'!A554:A1553,'Subbu- Mini Project EXcel Clean'!I554:I1553,"Entry Level",0)</f>
        <v>1</v>
      </c>
      <c r="C554" t="str">
        <f>_xlfn.XLOOKUP(A554,'Subbu- Mini Project EXcel Clean'!A554:A1553,'Subbu- Mini Project EXcel Clean'!J554:J1553," ",0)</f>
        <v>Consistent</v>
      </c>
      <c r="D554">
        <f>_xlfn.XLOOKUP(A554,'Subbu- Mini Project EXcel Clean'!A554:A1553,'Subbu- Mini Project EXcel Clean'!N554:N1553,"entry Level",0)</f>
        <v>7.1</v>
      </c>
      <c r="E554">
        <f>_xlfn.XLOOKUP(A554,'Subbu- Mini Project EXcel Clean'!A554:A1553,'Subbu- Mini Project EXcel Clean'!M554:M1553," ",0)</f>
        <v>55.7</v>
      </c>
      <c r="F554">
        <f>_xlfn.XLOOKUP(A554,'Subbu- Mini Project EXcel Clean'!A554:A1553,'Subbu- Mini Project EXcel Clean'!P554:P1553," ",0)</f>
        <v>1</v>
      </c>
      <c r="G554" t="str">
        <f>_xlfn.XLOOKUP(A554,'Subbu- Mini Project EXcel Clean'!A554:A1553,'Subbu- Mini Project EXcel Clean'!Q554:Q1553," ",0)</f>
        <v>Low</v>
      </c>
      <c r="H554">
        <f>VLOOKUP(A554,'Subbu- Mini Project EXcel Clean'!A553:R1553,15,FALSE)</f>
        <v>2.4</v>
      </c>
    </row>
    <row r="555" spans="1:8" x14ac:dyDescent="0.25">
      <c r="A555" t="s">
        <v>583</v>
      </c>
      <c r="B555">
        <f>_xlfn.XLOOKUP(A555,'Subbu- Mini Project EXcel Clean'!A555:A1554,'Subbu- Mini Project EXcel Clean'!I555:I1554,"Entry Level",0)</f>
        <v>2</v>
      </c>
      <c r="C555" t="str">
        <f>_xlfn.XLOOKUP(A555,'Subbu- Mini Project EXcel Clean'!A555:A1554,'Subbu- Mini Project EXcel Clean'!J555:J1554," ",0)</f>
        <v>Consistent</v>
      </c>
      <c r="D555">
        <f>_xlfn.XLOOKUP(A555,'Subbu- Mini Project EXcel Clean'!A555:A1554,'Subbu- Mini Project EXcel Clean'!N555:N1554,"entry Level",0)</f>
        <v>6.8</v>
      </c>
      <c r="E555">
        <f>_xlfn.XLOOKUP(A555,'Subbu- Mini Project EXcel Clean'!A555:A1554,'Subbu- Mini Project EXcel Clean'!M555:M1554," ",0)</f>
        <v>70.5</v>
      </c>
      <c r="F555">
        <f>_xlfn.XLOOKUP(A555,'Subbu- Mini Project EXcel Clean'!A555:A1554,'Subbu- Mini Project EXcel Clean'!P555:P1554," ",0)</f>
        <v>1</v>
      </c>
      <c r="G555" t="str">
        <f>_xlfn.XLOOKUP(A555,'Subbu- Mini Project EXcel Clean'!A555:A1554,'Subbu- Mini Project EXcel Clean'!Q555:Q1554," ",0)</f>
        <v>Low</v>
      </c>
      <c r="H555">
        <f>VLOOKUP(A555,'Subbu- Mini Project EXcel Clean'!A554:R1554,15,FALSE)</f>
        <v>5.2</v>
      </c>
    </row>
    <row r="556" spans="1:8" x14ac:dyDescent="0.25">
      <c r="A556" t="s">
        <v>584</v>
      </c>
      <c r="B556">
        <f>_xlfn.XLOOKUP(A556,'Subbu- Mini Project EXcel Clean'!A556:A1555,'Subbu- Mini Project EXcel Clean'!I556:I1555,"Entry Level",0)</f>
        <v>5</v>
      </c>
      <c r="C556" t="str">
        <f>_xlfn.XLOOKUP(A556,'Subbu- Mini Project EXcel Clean'!A556:A1555,'Subbu- Mini Project EXcel Clean'!J556:J1555," ",0)</f>
        <v>Good</v>
      </c>
      <c r="D556">
        <f>_xlfn.XLOOKUP(A556,'Subbu- Mini Project EXcel Clean'!A556:A1555,'Subbu- Mini Project EXcel Clean'!N556:N1555,"entry Level",0)</f>
        <v>5.8</v>
      </c>
      <c r="E556">
        <f>_xlfn.XLOOKUP(A556,'Subbu- Mini Project EXcel Clean'!A556:A1555,'Subbu- Mini Project EXcel Clean'!M556:M1555," ",0)</f>
        <v>91.5</v>
      </c>
      <c r="F556">
        <f>_xlfn.XLOOKUP(A556,'Subbu- Mini Project EXcel Clean'!A556:A1555,'Subbu- Mini Project EXcel Clean'!P556:P1555," ",0)</f>
        <v>3</v>
      </c>
      <c r="G556" t="str">
        <f>_xlfn.XLOOKUP(A556,'Subbu- Mini Project EXcel Clean'!A556:A1555,'Subbu- Mini Project EXcel Clean'!Q556:Q1555," ",0)</f>
        <v>Moderate</v>
      </c>
      <c r="H556">
        <f>VLOOKUP(A556,'Subbu- Mini Project EXcel Clean'!A555:R1555,15,FALSE)</f>
        <v>5.9</v>
      </c>
    </row>
    <row r="557" spans="1:8" x14ac:dyDescent="0.25">
      <c r="A557" t="s">
        <v>585</v>
      </c>
      <c r="B557">
        <f>_xlfn.XLOOKUP(A557,'Subbu- Mini Project EXcel Clean'!A557:A1556,'Subbu- Mini Project EXcel Clean'!I557:I1556,"Entry Level",0)</f>
        <v>3</v>
      </c>
      <c r="C557" t="str">
        <f>_xlfn.XLOOKUP(A557,'Subbu- Mini Project EXcel Clean'!A557:A1556,'Subbu- Mini Project EXcel Clean'!J557:J1556," ",0)</f>
        <v>Excellent</v>
      </c>
      <c r="D557">
        <f>_xlfn.XLOOKUP(A557,'Subbu- Mini Project EXcel Clean'!A557:A1556,'Subbu- Mini Project EXcel Clean'!N557:N1556,"entry Level",0)</f>
        <v>7</v>
      </c>
      <c r="E557">
        <f>_xlfn.XLOOKUP(A557,'Subbu- Mini Project EXcel Clean'!A557:A1556,'Subbu- Mini Project EXcel Clean'!M557:M1556," ",0)</f>
        <v>79.3</v>
      </c>
      <c r="F557">
        <f>_xlfn.XLOOKUP(A557,'Subbu- Mini Project EXcel Clean'!A557:A1556,'Subbu- Mini Project EXcel Clean'!P557:P1556," ",0)</f>
        <v>3</v>
      </c>
      <c r="G557" t="str">
        <f>_xlfn.XLOOKUP(A557,'Subbu- Mini Project EXcel Clean'!A557:A1556,'Subbu- Mini Project EXcel Clean'!Q557:Q1556," ",0)</f>
        <v>Low</v>
      </c>
      <c r="H557">
        <f>VLOOKUP(A557,'Subbu- Mini Project EXcel Clean'!A556:R1556,15,FALSE)</f>
        <v>3.5</v>
      </c>
    </row>
    <row r="558" spans="1:8" x14ac:dyDescent="0.25">
      <c r="A558" t="s">
        <v>586</v>
      </c>
      <c r="B558">
        <f>_xlfn.XLOOKUP(A558,'Subbu- Mini Project EXcel Clean'!A558:A1557,'Subbu- Mini Project EXcel Clean'!I558:I1557,"Entry Level",0)</f>
        <v>1</v>
      </c>
      <c r="C558" t="str">
        <f>_xlfn.XLOOKUP(A558,'Subbu- Mini Project EXcel Clean'!A558:A1557,'Subbu- Mini Project EXcel Clean'!J558:J1557," ",0)</f>
        <v>Consistent</v>
      </c>
      <c r="D558">
        <f>_xlfn.XLOOKUP(A558,'Subbu- Mini Project EXcel Clean'!A558:A1557,'Subbu- Mini Project EXcel Clean'!N558:N1557,"entry Level",0)</f>
        <v>7.8</v>
      </c>
      <c r="E558">
        <f>_xlfn.XLOOKUP(A558,'Subbu- Mini Project EXcel Clean'!A558:A1557,'Subbu- Mini Project EXcel Clean'!M558:M1557," ",0)</f>
        <v>59.3</v>
      </c>
      <c r="F558">
        <f>_xlfn.XLOOKUP(A558,'Subbu- Mini Project EXcel Clean'!A558:A1557,'Subbu- Mini Project EXcel Clean'!P558:P1557," ",0)</f>
        <v>3</v>
      </c>
      <c r="G558" t="str">
        <f>_xlfn.XLOOKUP(A558,'Subbu- Mini Project EXcel Clean'!A558:A1557,'Subbu- Mini Project EXcel Clean'!Q558:Q1557," ",0)</f>
        <v>Low</v>
      </c>
      <c r="H558">
        <f>VLOOKUP(A558,'Subbu- Mini Project EXcel Clean'!A557:R1557,15,FALSE)</f>
        <v>1</v>
      </c>
    </row>
    <row r="559" spans="1:8" x14ac:dyDescent="0.25">
      <c r="A559" t="s">
        <v>587</v>
      </c>
      <c r="B559">
        <f>_xlfn.XLOOKUP(A559,'Subbu- Mini Project EXcel Clean'!A559:A1558,'Subbu- Mini Project EXcel Clean'!I559:I1558,"Entry Level",0)</f>
        <v>2</v>
      </c>
      <c r="C559" t="str">
        <f>_xlfn.XLOOKUP(A559,'Subbu- Mini Project EXcel Clean'!A559:A1558,'Subbu- Mini Project EXcel Clean'!J559:J1558," ",0)</f>
        <v>Consistent</v>
      </c>
      <c r="D559">
        <f>_xlfn.XLOOKUP(A559,'Subbu- Mini Project EXcel Clean'!A559:A1558,'Subbu- Mini Project EXcel Clean'!N559:N1558,"entry Level",0)</f>
        <v>6.7</v>
      </c>
      <c r="E559">
        <f>_xlfn.XLOOKUP(A559,'Subbu- Mini Project EXcel Clean'!A559:A1558,'Subbu- Mini Project EXcel Clean'!M559:M1558," ",0)</f>
        <v>70</v>
      </c>
      <c r="F559">
        <f>_xlfn.XLOOKUP(A559,'Subbu- Mini Project EXcel Clean'!A559:A1558,'Subbu- Mini Project EXcel Clean'!P559:P1558," ",0)</f>
        <v>1</v>
      </c>
      <c r="G559" t="str">
        <f>_xlfn.XLOOKUP(A559,'Subbu- Mini Project EXcel Clean'!A559:A1558,'Subbu- Mini Project EXcel Clean'!Q559:Q1558," ",0)</f>
        <v>Low</v>
      </c>
      <c r="H559">
        <f>VLOOKUP(A559,'Subbu- Mini Project EXcel Clean'!A558:R1558,15,FALSE)</f>
        <v>1.7</v>
      </c>
    </row>
    <row r="560" spans="1:8" x14ac:dyDescent="0.25">
      <c r="A560" t="s">
        <v>588</v>
      </c>
      <c r="B560">
        <f>_xlfn.XLOOKUP(A560,'Subbu- Mini Project EXcel Clean'!A560:A1559,'Subbu- Mini Project EXcel Clean'!I560:I1559,"Entry Level",0)</f>
        <v>3</v>
      </c>
      <c r="C560" t="str">
        <f>_xlfn.XLOOKUP(A560,'Subbu- Mini Project EXcel Clean'!A560:A1559,'Subbu- Mini Project EXcel Clean'!J560:J1559," ",0)</f>
        <v>Consistent</v>
      </c>
      <c r="D560">
        <f>_xlfn.XLOOKUP(A560,'Subbu- Mini Project EXcel Clean'!A560:A1559,'Subbu- Mini Project EXcel Clean'!N560:N1559,"entry Level",0)</f>
        <v>7.5</v>
      </c>
      <c r="E560">
        <f>_xlfn.XLOOKUP(A560,'Subbu- Mini Project EXcel Clean'!A560:A1559,'Subbu- Mini Project EXcel Clean'!M560:M1559," ",0)</f>
        <v>81.400000000000006</v>
      </c>
      <c r="F560">
        <f>_xlfn.XLOOKUP(A560,'Subbu- Mini Project EXcel Clean'!A560:A1559,'Subbu- Mini Project EXcel Clean'!P560:P1559," ",0)</f>
        <v>6</v>
      </c>
      <c r="G560" t="str">
        <f>_xlfn.XLOOKUP(A560,'Subbu- Mini Project EXcel Clean'!A560:A1559,'Subbu- Mini Project EXcel Clean'!Q560:Q1559," ",0)</f>
        <v>Moderate</v>
      </c>
      <c r="H560">
        <f>VLOOKUP(A560,'Subbu- Mini Project EXcel Clean'!A559:R1559,15,FALSE)</f>
        <v>2.6</v>
      </c>
    </row>
    <row r="561" spans="1:8" x14ac:dyDescent="0.25">
      <c r="A561" t="s">
        <v>589</v>
      </c>
      <c r="B561">
        <f>_xlfn.XLOOKUP(A561,'Subbu- Mini Project EXcel Clean'!A561:A1560,'Subbu- Mini Project EXcel Clean'!I561:I1560,"Entry Level",0)</f>
        <v>4</v>
      </c>
      <c r="C561" t="str">
        <f>_xlfn.XLOOKUP(A561,'Subbu- Mini Project EXcel Clean'!A561:A1560,'Subbu- Mini Project EXcel Clean'!J561:J1560," ",0)</f>
        <v>Excellent</v>
      </c>
      <c r="D561">
        <f>_xlfn.XLOOKUP(A561,'Subbu- Mini Project EXcel Clean'!A561:A1560,'Subbu- Mini Project EXcel Clean'!N561:N1560,"entry Level",0)</f>
        <v>7.5</v>
      </c>
      <c r="E561">
        <f>_xlfn.XLOOKUP(A561,'Subbu- Mini Project EXcel Clean'!A561:A1560,'Subbu- Mini Project EXcel Clean'!M561:M1560," ",0)</f>
        <v>84.3</v>
      </c>
      <c r="F561">
        <f>_xlfn.XLOOKUP(A561,'Subbu- Mini Project EXcel Clean'!A561:A1560,'Subbu- Mini Project EXcel Clean'!P561:P1560," ",0)</f>
        <v>1</v>
      </c>
      <c r="G561" t="str">
        <f>_xlfn.XLOOKUP(A561,'Subbu- Mini Project EXcel Clean'!A561:A1560,'Subbu- Mini Project EXcel Clean'!Q561:Q1560," ",0)</f>
        <v>Low</v>
      </c>
      <c r="H561">
        <f>VLOOKUP(A561,'Subbu- Mini Project EXcel Clean'!A560:R1560,15,FALSE)</f>
        <v>3.9</v>
      </c>
    </row>
    <row r="562" spans="1:8" x14ac:dyDescent="0.25">
      <c r="A562" t="s">
        <v>590</v>
      </c>
      <c r="B562">
        <f>_xlfn.XLOOKUP(A562,'Subbu- Mini Project EXcel Clean'!A562:A1561,'Subbu- Mini Project EXcel Clean'!I562:I1561,"Entry Level",0)</f>
        <v>4</v>
      </c>
      <c r="C562" t="str">
        <f>_xlfn.XLOOKUP(A562,'Subbu- Mini Project EXcel Clean'!A562:A1561,'Subbu- Mini Project EXcel Clean'!J562:J1561," ",0)</f>
        <v>Excellent</v>
      </c>
      <c r="D562">
        <f>_xlfn.XLOOKUP(A562,'Subbu- Mini Project EXcel Clean'!A562:A1561,'Subbu- Mini Project EXcel Clean'!N562:N1561,"entry Level",0)</f>
        <v>7.5</v>
      </c>
      <c r="E562">
        <f>_xlfn.XLOOKUP(A562,'Subbu- Mini Project EXcel Clean'!A562:A1561,'Subbu- Mini Project EXcel Clean'!M562:M1561," ",0)</f>
        <v>88</v>
      </c>
      <c r="F562">
        <f>_xlfn.XLOOKUP(A562,'Subbu- Mini Project EXcel Clean'!A562:A1561,'Subbu- Mini Project EXcel Clean'!P562:P1561," ",0)</f>
        <v>2</v>
      </c>
      <c r="G562" t="str">
        <f>_xlfn.XLOOKUP(A562,'Subbu- Mini Project EXcel Clean'!A562:A1561,'Subbu- Mini Project EXcel Clean'!Q562:Q1561," ",0)</f>
        <v>Low</v>
      </c>
      <c r="H562">
        <f>VLOOKUP(A562,'Subbu- Mini Project EXcel Clean'!A561:R1561,15,FALSE)</f>
        <v>1.4</v>
      </c>
    </row>
    <row r="563" spans="1:8" x14ac:dyDescent="0.25">
      <c r="A563" t="s">
        <v>591</v>
      </c>
      <c r="B563">
        <f>_xlfn.XLOOKUP(A563,'Subbu- Mini Project EXcel Clean'!A563:A1562,'Subbu- Mini Project EXcel Clean'!I563:I1562,"Entry Level",0)</f>
        <v>5</v>
      </c>
      <c r="C563" t="str">
        <f>_xlfn.XLOOKUP(A563,'Subbu- Mini Project EXcel Clean'!A563:A1562,'Subbu- Mini Project EXcel Clean'!J563:J1562," ",0)</f>
        <v>Good</v>
      </c>
      <c r="D563">
        <f>_xlfn.XLOOKUP(A563,'Subbu- Mini Project EXcel Clean'!A563:A1562,'Subbu- Mini Project EXcel Clean'!N563:N1562,"entry Level",0)</f>
        <v>7</v>
      </c>
      <c r="E563">
        <f>_xlfn.XLOOKUP(A563,'Subbu- Mini Project EXcel Clean'!A563:A1562,'Subbu- Mini Project EXcel Clean'!M563:M1562," ",0)</f>
        <v>99.7</v>
      </c>
      <c r="F563">
        <f>_xlfn.XLOOKUP(A563,'Subbu- Mini Project EXcel Clean'!A563:A1562,'Subbu- Mini Project EXcel Clean'!P563:P1562," ",0)</f>
        <v>3</v>
      </c>
      <c r="G563" t="str">
        <f>_xlfn.XLOOKUP(A563,'Subbu- Mini Project EXcel Clean'!A563:A1562,'Subbu- Mini Project EXcel Clean'!Q563:Q1562," ",0)</f>
        <v>Low</v>
      </c>
      <c r="H563">
        <f>VLOOKUP(A563,'Subbu- Mini Project EXcel Clean'!A562:R1562,15,FALSE)</f>
        <v>5.7</v>
      </c>
    </row>
    <row r="564" spans="1:8" x14ac:dyDescent="0.25">
      <c r="A564" t="s">
        <v>592</v>
      </c>
      <c r="B564">
        <f>_xlfn.XLOOKUP(A564,'Subbu- Mini Project EXcel Clean'!A564:A1563,'Subbu- Mini Project EXcel Clean'!I564:I1563,"Entry Level",0)</f>
        <v>2</v>
      </c>
      <c r="C564" t="str">
        <f>_xlfn.XLOOKUP(A564,'Subbu- Mini Project EXcel Clean'!A564:A1563,'Subbu- Mini Project EXcel Clean'!J564:J1563," ",0)</f>
        <v>Consistent</v>
      </c>
      <c r="D564">
        <f>_xlfn.XLOOKUP(A564,'Subbu- Mini Project EXcel Clean'!A564:A1563,'Subbu- Mini Project EXcel Clean'!N564:N1563,"entry Level",0)</f>
        <v>7.1</v>
      </c>
      <c r="E564">
        <f>_xlfn.XLOOKUP(A564,'Subbu- Mini Project EXcel Clean'!A564:A1563,'Subbu- Mini Project EXcel Clean'!M564:M1563," ",0)</f>
        <v>72.2</v>
      </c>
      <c r="F564">
        <f>_xlfn.XLOOKUP(A564,'Subbu- Mini Project EXcel Clean'!A564:A1563,'Subbu- Mini Project EXcel Clean'!P564:P1563," ",0)</f>
        <v>5</v>
      </c>
      <c r="G564" t="str">
        <f>_xlfn.XLOOKUP(A564,'Subbu- Mini Project EXcel Clean'!A564:A1563,'Subbu- Mini Project EXcel Clean'!Q564:Q1563," ",0)</f>
        <v>Moderate</v>
      </c>
      <c r="H564">
        <f>VLOOKUP(A564,'Subbu- Mini Project EXcel Clean'!A563:R1563,15,FALSE)</f>
        <v>2.8</v>
      </c>
    </row>
    <row r="565" spans="1:8" x14ac:dyDescent="0.25">
      <c r="A565" t="s">
        <v>593</v>
      </c>
      <c r="B565">
        <f>_xlfn.XLOOKUP(A565,'Subbu- Mini Project EXcel Clean'!A565:A1564,'Subbu- Mini Project EXcel Clean'!I565:I1564,"Entry Level",0)</f>
        <v>3</v>
      </c>
      <c r="C565" t="str">
        <f>_xlfn.XLOOKUP(A565,'Subbu- Mini Project EXcel Clean'!A565:A1564,'Subbu- Mini Project EXcel Clean'!J565:J1564," ",0)</f>
        <v>Excellent</v>
      </c>
      <c r="D565">
        <f>_xlfn.XLOOKUP(A565,'Subbu- Mini Project EXcel Clean'!A565:A1564,'Subbu- Mini Project EXcel Clean'!N565:N1564,"entry Level",0)</f>
        <v>6.8</v>
      </c>
      <c r="E565">
        <f>_xlfn.XLOOKUP(A565,'Subbu- Mini Project EXcel Clean'!A565:A1564,'Subbu- Mini Project EXcel Clean'!M565:M1564," ",0)</f>
        <v>82</v>
      </c>
      <c r="F565">
        <f>_xlfn.XLOOKUP(A565,'Subbu- Mini Project EXcel Clean'!A565:A1564,'Subbu- Mini Project EXcel Clean'!P565:P1564," ",0)</f>
        <v>4</v>
      </c>
      <c r="G565" t="str">
        <f>_xlfn.XLOOKUP(A565,'Subbu- Mini Project EXcel Clean'!A565:A1564,'Subbu- Mini Project EXcel Clean'!Q565:Q1564," ",0)</f>
        <v>Moderate</v>
      </c>
      <c r="H565">
        <f>VLOOKUP(A565,'Subbu- Mini Project EXcel Clean'!A564:R1564,15,FALSE)</f>
        <v>5.6</v>
      </c>
    </row>
    <row r="566" spans="1:8" x14ac:dyDescent="0.25">
      <c r="A566" t="s">
        <v>594</v>
      </c>
      <c r="B566">
        <f>_xlfn.XLOOKUP(A566,'Subbu- Mini Project EXcel Clean'!A566:A1565,'Subbu- Mini Project EXcel Clean'!I566:I1565,"Entry Level",0)</f>
        <v>3</v>
      </c>
      <c r="C566" t="str">
        <f>_xlfn.XLOOKUP(A566,'Subbu- Mini Project EXcel Clean'!A566:A1565,'Subbu- Mini Project EXcel Clean'!J566:J1565," ",0)</f>
        <v>Excellent</v>
      </c>
      <c r="D566">
        <f>_xlfn.XLOOKUP(A566,'Subbu- Mini Project EXcel Clean'!A566:A1565,'Subbu- Mini Project EXcel Clean'!N566:N1565,"entry Level",0)</f>
        <v>5.4</v>
      </c>
      <c r="E566">
        <f>_xlfn.XLOOKUP(A566,'Subbu- Mini Project EXcel Clean'!A566:A1565,'Subbu- Mini Project EXcel Clean'!M566:M1565," ",0)</f>
        <v>83.5</v>
      </c>
      <c r="F566">
        <f>_xlfn.XLOOKUP(A566,'Subbu- Mini Project EXcel Clean'!A566:A1565,'Subbu- Mini Project EXcel Clean'!P566:P1565," ",0)</f>
        <v>2</v>
      </c>
      <c r="G566" t="str">
        <f>_xlfn.XLOOKUP(A566,'Subbu- Mini Project EXcel Clean'!A566:A1565,'Subbu- Mini Project EXcel Clean'!Q566:Q1565," ",0)</f>
        <v>Low</v>
      </c>
      <c r="H566">
        <f>VLOOKUP(A566,'Subbu- Mini Project EXcel Clean'!A565:R1565,15,FALSE)</f>
        <v>4.9000000000000004</v>
      </c>
    </row>
    <row r="567" spans="1:8" x14ac:dyDescent="0.25">
      <c r="A567" t="s">
        <v>595</v>
      </c>
      <c r="B567">
        <f>_xlfn.XLOOKUP(A567,'Subbu- Mini Project EXcel Clean'!A567:A1566,'Subbu- Mini Project EXcel Clean'!I567:I1566,"Entry Level",0)</f>
        <v>3</v>
      </c>
      <c r="C567" t="str">
        <f>_xlfn.XLOOKUP(A567,'Subbu- Mini Project EXcel Clean'!A567:A1566,'Subbu- Mini Project EXcel Clean'!J567:J1566," ",0)</f>
        <v>Consistent</v>
      </c>
      <c r="D567">
        <f>_xlfn.XLOOKUP(A567,'Subbu- Mini Project EXcel Clean'!A567:A1566,'Subbu- Mini Project EXcel Clean'!N567:N1566,"entry Level",0)</f>
        <v>7.8</v>
      </c>
      <c r="E567">
        <f>_xlfn.XLOOKUP(A567,'Subbu- Mini Project EXcel Clean'!A567:A1566,'Subbu- Mini Project EXcel Clean'!M567:M1566," ",0)</f>
        <v>80.400000000000006</v>
      </c>
      <c r="F567">
        <f>_xlfn.XLOOKUP(A567,'Subbu- Mini Project EXcel Clean'!A567:A1566,'Subbu- Mini Project EXcel Clean'!P567:P1566," ",0)</f>
        <v>8</v>
      </c>
      <c r="G567" t="str">
        <f>_xlfn.XLOOKUP(A567,'Subbu- Mini Project EXcel Clean'!A567:A1566,'Subbu- Mini Project EXcel Clean'!Q567:Q1566," ",0)</f>
        <v>High</v>
      </c>
      <c r="H567">
        <f>VLOOKUP(A567,'Subbu- Mini Project EXcel Clean'!A566:R1566,15,FALSE)</f>
        <v>4.8</v>
      </c>
    </row>
    <row r="568" spans="1:8" x14ac:dyDescent="0.25">
      <c r="A568" t="s">
        <v>596</v>
      </c>
      <c r="B568">
        <f>_xlfn.XLOOKUP(A568,'Subbu- Mini Project EXcel Clean'!A568:A1567,'Subbu- Mini Project EXcel Clean'!I568:I1567,"Entry Level",0)</f>
        <v>2</v>
      </c>
      <c r="C568" t="str">
        <f>_xlfn.XLOOKUP(A568,'Subbu- Mini Project EXcel Clean'!A568:A1567,'Subbu- Mini Project EXcel Clean'!J568:J1567," ",0)</f>
        <v>Consistent</v>
      </c>
      <c r="D568">
        <f>_xlfn.XLOOKUP(A568,'Subbu- Mini Project EXcel Clean'!A568:A1567,'Subbu- Mini Project EXcel Clean'!N568:N1567,"entry Level",0)</f>
        <v>7.5</v>
      </c>
      <c r="E568">
        <f>_xlfn.XLOOKUP(A568,'Subbu- Mini Project EXcel Clean'!A568:A1567,'Subbu- Mini Project EXcel Clean'!M568:M1567," ",0)</f>
        <v>68.7</v>
      </c>
      <c r="F568">
        <f>_xlfn.XLOOKUP(A568,'Subbu- Mini Project EXcel Clean'!A568:A1567,'Subbu- Mini Project EXcel Clean'!P568:P1567," ",0)</f>
        <v>4</v>
      </c>
      <c r="G568" t="str">
        <f>_xlfn.XLOOKUP(A568,'Subbu- Mini Project EXcel Clean'!A568:A1567,'Subbu- Mini Project EXcel Clean'!Q568:Q1567," ",0)</f>
        <v>Moderate</v>
      </c>
      <c r="H568">
        <f>VLOOKUP(A568,'Subbu- Mini Project EXcel Clean'!A567:R1567,15,FALSE)</f>
        <v>4</v>
      </c>
    </row>
    <row r="569" spans="1:8" x14ac:dyDescent="0.25">
      <c r="A569" t="s">
        <v>597</v>
      </c>
      <c r="B569">
        <f>_xlfn.XLOOKUP(A569,'Subbu- Mini Project EXcel Clean'!A569:A1568,'Subbu- Mini Project EXcel Clean'!I569:I1568,"Entry Level",0)</f>
        <v>5</v>
      </c>
      <c r="C569" t="str">
        <f>_xlfn.XLOOKUP(A569,'Subbu- Mini Project EXcel Clean'!A569:A1568,'Subbu- Mini Project EXcel Clean'!J569:J1568," ",0)</f>
        <v>Good</v>
      </c>
      <c r="D569">
        <f>_xlfn.XLOOKUP(A569,'Subbu- Mini Project EXcel Clean'!A569:A1568,'Subbu- Mini Project EXcel Clean'!N569:N1568,"entry Level",0)</f>
        <v>6.6</v>
      </c>
      <c r="E569">
        <f>_xlfn.XLOOKUP(A569,'Subbu- Mini Project EXcel Clean'!A569:A1568,'Subbu- Mini Project EXcel Clean'!M569:M1568," ",0)</f>
        <v>101.4</v>
      </c>
      <c r="F569">
        <f>_xlfn.XLOOKUP(A569,'Subbu- Mini Project EXcel Clean'!A569:A1568,'Subbu- Mini Project EXcel Clean'!P569:P1568," ",0)</f>
        <v>1</v>
      </c>
      <c r="G569" t="str">
        <f>_xlfn.XLOOKUP(A569,'Subbu- Mini Project EXcel Clean'!A569:A1568,'Subbu- Mini Project EXcel Clean'!Q569:Q1568," ",0)</f>
        <v>Low</v>
      </c>
      <c r="H569">
        <f>VLOOKUP(A569,'Subbu- Mini Project EXcel Clean'!A568:R1568,15,FALSE)</f>
        <v>4.0999999999999996</v>
      </c>
    </row>
    <row r="570" spans="1:8" x14ac:dyDescent="0.25">
      <c r="A570" t="s">
        <v>598</v>
      </c>
      <c r="B570">
        <f>_xlfn.XLOOKUP(A570,'Subbu- Mini Project EXcel Clean'!A570:A1569,'Subbu- Mini Project EXcel Clean'!I570:I1569,"Entry Level",0)</f>
        <v>4</v>
      </c>
      <c r="C570" t="str">
        <f>_xlfn.XLOOKUP(A570,'Subbu- Mini Project EXcel Clean'!A570:A1569,'Subbu- Mini Project EXcel Clean'!J570:J1569," ",0)</f>
        <v>Good</v>
      </c>
      <c r="D570">
        <f>_xlfn.XLOOKUP(A570,'Subbu- Mini Project EXcel Clean'!A570:A1569,'Subbu- Mini Project EXcel Clean'!N570:N1569,"entry Level",0)</f>
        <v>5.8</v>
      </c>
      <c r="E570">
        <f>_xlfn.XLOOKUP(A570,'Subbu- Mini Project EXcel Clean'!A570:A1569,'Subbu- Mini Project EXcel Clean'!M570:M1569," ",0)</f>
        <v>86.2</v>
      </c>
      <c r="F570">
        <f>_xlfn.XLOOKUP(A570,'Subbu- Mini Project EXcel Clean'!A570:A1569,'Subbu- Mini Project EXcel Clean'!P570:P1569," ",0)</f>
        <v>1</v>
      </c>
      <c r="G570" t="str">
        <f>_xlfn.XLOOKUP(A570,'Subbu- Mini Project EXcel Clean'!A570:A1569,'Subbu- Mini Project EXcel Clean'!Q570:Q1569," ",0)</f>
        <v>Low</v>
      </c>
      <c r="H570">
        <f>VLOOKUP(A570,'Subbu- Mini Project EXcel Clean'!A569:R1569,15,FALSE)</f>
        <v>4.2</v>
      </c>
    </row>
    <row r="571" spans="1:8" x14ac:dyDescent="0.25">
      <c r="A571" t="s">
        <v>599</v>
      </c>
      <c r="B571">
        <f>_xlfn.XLOOKUP(A571,'Subbu- Mini Project EXcel Clean'!A571:A1570,'Subbu- Mini Project EXcel Clean'!I571:I1570,"Entry Level",0)</f>
        <v>3</v>
      </c>
      <c r="C571" t="str">
        <f>_xlfn.XLOOKUP(A571,'Subbu- Mini Project EXcel Clean'!A571:A1570,'Subbu- Mini Project EXcel Clean'!J571:J1570," ",0)</f>
        <v>Consistent</v>
      </c>
      <c r="D571">
        <f>_xlfn.XLOOKUP(A571,'Subbu- Mini Project EXcel Clean'!A571:A1570,'Subbu- Mini Project EXcel Clean'!N571:N1570,"entry Level",0)</f>
        <v>6.9</v>
      </c>
      <c r="E571">
        <f>_xlfn.XLOOKUP(A571,'Subbu- Mini Project EXcel Clean'!A571:A1570,'Subbu- Mini Project EXcel Clean'!M571:M1570," ",0)</f>
        <v>80.2</v>
      </c>
      <c r="F571">
        <f>_xlfn.XLOOKUP(A571,'Subbu- Mini Project EXcel Clean'!A571:A1570,'Subbu- Mini Project EXcel Clean'!P571:P1570," ",0)</f>
        <v>4</v>
      </c>
      <c r="G571" t="str">
        <f>_xlfn.XLOOKUP(A571,'Subbu- Mini Project EXcel Clean'!A571:A1570,'Subbu- Mini Project EXcel Clean'!Q571:Q1570," ",0)</f>
        <v>Moderate</v>
      </c>
      <c r="H571">
        <f>VLOOKUP(A571,'Subbu- Mini Project EXcel Clean'!A570:R1570,15,FALSE)</f>
        <v>4.0999999999999996</v>
      </c>
    </row>
    <row r="572" spans="1:8" x14ac:dyDescent="0.25">
      <c r="A572" t="s">
        <v>600</v>
      </c>
      <c r="B572">
        <f>_xlfn.XLOOKUP(A572,'Subbu- Mini Project EXcel Clean'!A572:A1571,'Subbu- Mini Project EXcel Clean'!I572:I1571,"Entry Level",0)</f>
        <v>3</v>
      </c>
      <c r="C572" t="str">
        <f>_xlfn.XLOOKUP(A572,'Subbu- Mini Project EXcel Clean'!A572:A1571,'Subbu- Mini Project EXcel Clean'!J572:J1571," ",0)</f>
        <v>Excellent</v>
      </c>
      <c r="D572">
        <f>_xlfn.XLOOKUP(A572,'Subbu- Mini Project EXcel Clean'!A572:A1571,'Subbu- Mini Project EXcel Clean'!N572:N1571,"entry Level",0)</f>
        <v>6.1</v>
      </c>
      <c r="E572">
        <f>_xlfn.XLOOKUP(A572,'Subbu- Mini Project EXcel Clean'!A572:A1571,'Subbu- Mini Project EXcel Clean'!M572:M1571," ",0)</f>
        <v>86.5</v>
      </c>
      <c r="F572">
        <f>_xlfn.XLOOKUP(A572,'Subbu- Mini Project EXcel Clean'!A572:A1571,'Subbu- Mini Project EXcel Clean'!P572:P1571," ",0)</f>
        <v>6</v>
      </c>
      <c r="G572" t="str">
        <f>_xlfn.XLOOKUP(A572,'Subbu- Mini Project EXcel Clean'!A572:A1571,'Subbu- Mini Project EXcel Clean'!Q572:Q1571," ",0)</f>
        <v>Moderate</v>
      </c>
      <c r="H572">
        <f>VLOOKUP(A572,'Subbu- Mini Project EXcel Clean'!A571:R1571,15,FALSE)</f>
        <v>3.8</v>
      </c>
    </row>
    <row r="573" spans="1:8" x14ac:dyDescent="0.25">
      <c r="A573" t="s">
        <v>601</v>
      </c>
      <c r="B573">
        <f>_xlfn.XLOOKUP(A573,'Subbu- Mini Project EXcel Clean'!A573:A1572,'Subbu- Mini Project EXcel Clean'!I573:I1572,"Entry Level",0)</f>
        <v>2</v>
      </c>
      <c r="C573" t="str">
        <f>_xlfn.XLOOKUP(A573,'Subbu- Mini Project EXcel Clean'!A573:A1572,'Subbu- Mini Project EXcel Clean'!J573:J1572," ",0)</f>
        <v>Consistent</v>
      </c>
      <c r="D573">
        <f>_xlfn.XLOOKUP(A573,'Subbu- Mini Project EXcel Clean'!A573:A1572,'Subbu- Mini Project EXcel Clean'!N573:N1572,"entry Level",0)</f>
        <v>6.4</v>
      </c>
      <c r="E573">
        <f>_xlfn.XLOOKUP(A573,'Subbu- Mini Project EXcel Clean'!A573:A1572,'Subbu- Mini Project EXcel Clean'!M573:M1572," ",0)</f>
        <v>72.7</v>
      </c>
      <c r="F573">
        <f>_xlfn.XLOOKUP(A573,'Subbu- Mini Project EXcel Clean'!A573:A1572,'Subbu- Mini Project EXcel Clean'!P573:P1572," ",0)</f>
        <v>2</v>
      </c>
      <c r="G573" t="str">
        <f>_xlfn.XLOOKUP(A573,'Subbu- Mini Project EXcel Clean'!A573:A1572,'Subbu- Mini Project EXcel Clean'!Q573:Q1572," ",0)</f>
        <v>Low</v>
      </c>
      <c r="H573">
        <f>VLOOKUP(A573,'Subbu- Mini Project EXcel Clean'!A572:R1572,15,FALSE)</f>
        <v>5.9</v>
      </c>
    </row>
    <row r="574" spans="1:8" x14ac:dyDescent="0.25">
      <c r="A574" t="s">
        <v>602</v>
      </c>
      <c r="B574">
        <f>_xlfn.XLOOKUP(A574,'Subbu- Mini Project EXcel Clean'!A574:A1573,'Subbu- Mini Project EXcel Clean'!I574:I1573,"Entry Level",0)</f>
        <v>3</v>
      </c>
      <c r="C574" t="str">
        <f>_xlfn.XLOOKUP(A574,'Subbu- Mini Project EXcel Clean'!A574:A1573,'Subbu- Mini Project EXcel Clean'!J574:J1573," ",0)</f>
        <v>Excellent</v>
      </c>
      <c r="D574">
        <f>_xlfn.XLOOKUP(A574,'Subbu- Mini Project EXcel Clean'!A574:A1573,'Subbu- Mini Project EXcel Clean'!N574:N1573,"entry Level",0)</f>
        <v>6.8</v>
      </c>
      <c r="E574">
        <f>_xlfn.XLOOKUP(A574,'Subbu- Mini Project EXcel Clean'!A574:A1573,'Subbu- Mini Project EXcel Clean'!M574:M1573," ",0)</f>
        <v>78.3</v>
      </c>
      <c r="F574">
        <f>_xlfn.XLOOKUP(A574,'Subbu- Mini Project EXcel Clean'!A574:A1573,'Subbu- Mini Project EXcel Clean'!P574:P1573," ",0)</f>
        <v>1</v>
      </c>
      <c r="G574" t="str">
        <f>_xlfn.XLOOKUP(A574,'Subbu- Mini Project EXcel Clean'!A574:A1573,'Subbu- Mini Project EXcel Clean'!Q574:Q1573," ",0)</f>
        <v>Low</v>
      </c>
      <c r="H574">
        <f>VLOOKUP(A574,'Subbu- Mini Project EXcel Clean'!A573:R1573,15,FALSE)</f>
        <v>4.7</v>
      </c>
    </row>
    <row r="575" spans="1:8" x14ac:dyDescent="0.25">
      <c r="A575" t="s">
        <v>603</v>
      </c>
      <c r="B575">
        <f>_xlfn.XLOOKUP(A575,'Subbu- Mini Project EXcel Clean'!A575:A1574,'Subbu- Mini Project EXcel Clean'!I575:I1574,"Entry Level",0)</f>
        <v>4</v>
      </c>
      <c r="C575" t="str">
        <f>_xlfn.XLOOKUP(A575,'Subbu- Mini Project EXcel Clean'!A575:A1574,'Subbu- Mini Project EXcel Clean'!J575:J1574," ",0)</f>
        <v>Excellent</v>
      </c>
      <c r="D575">
        <f>_xlfn.XLOOKUP(A575,'Subbu- Mini Project EXcel Clean'!A575:A1574,'Subbu- Mini Project EXcel Clean'!N575:N1574,"entry Level",0)</f>
        <v>6.1</v>
      </c>
      <c r="E575">
        <f>_xlfn.XLOOKUP(A575,'Subbu- Mini Project EXcel Clean'!A575:A1574,'Subbu- Mini Project EXcel Clean'!M575:M1574," ",0)</f>
        <v>84.5</v>
      </c>
      <c r="F575">
        <f>_xlfn.XLOOKUP(A575,'Subbu- Mini Project EXcel Clean'!A575:A1574,'Subbu- Mini Project EXcel Clean'!P575:P1574," ",0)</f>
        <v>1</v>
      </c>
      <c r="G575" t="str">
        <f>_xlfn.XLOOKUP(A575,'Subbu- Mini Project EXcel Clean'!A575:A1574,'Subbu- Mini Project EXcel Clean'!Q575:Q1574," ",0)</f>
        <v>Low</v>
      </c>
      <c r="H575">
        <f>VLOOKUP(A575,'Subbu- Mini Project EXcel Clean'!A574:R1574,15,FALSE)</f>
        <v>4.9000000000000004</v>
      </c>
    </row>
    <row r="576" spans="1:8" x14ac:dyDescent="0.25">
      <c r="A576" t="s">
        <v>604</v>
      </c>
      <c r="B576">
        <f>_xlfn.XLOOKUP(A576,'Subbu- Mini Project EXcel Clean'!A576:A1575,'Subbu- Mini Project EXcel Clean'!I576:I1575,"Entry Level",0)</f>
        <v>3</v>
      </c>
      <c r="C576" t="str">
        <f>_xlfn.XLOOKUP(A576,'Subbu- Mini Project EXcel Clean'!A576:A1575,'Subbu- Mini Project EXcel Clean'!J576:J1575," ",0)</f>
        <v>Excellent</v>
      </c>
      <c r="D576">
        <f>_xlfn.XLOOKUP(A576,'Subbu- Mini Project EXcel Clean'!A576:A1575,'Subbu- Mini Project EXcel Clean'!N576:N1575,"entry Level",0)</f>
        <v>7</v>
      </c>
      <c r="E576">
        <f>_xlfn.XLOOKUP(A576,'Subbu- Mini Project EXcel Clean'!A576:A1575,'Subbu- Mini Project EXcel Clean'!M576:M1575," ",0)</f>
        <v>77.7</v>
      </c>
      <c r="F576">
        <f>_xlfn.XLOOKUP(A576,'Subbu- Mini Project EXcel Clean'!A576:A1575,'Subbu- Mini Project EXcel Clean'!P576:P1575," ",0)</f>
        <v>4</v>
      </c>
      <c r="G576" t="str">
        <f>_xlfn.XLOOKUP(A576,'Subbu- Mini Project EXcel Clean'!A576:A1575,'Subbu- Mini Project EXcel Clean'!Q576:Q1575," ",0)</f>
        <v>Moderate</v>
      </c>
      <c r="H576">
        <f>VLOOKUP(A576,'Subbu- Mini Project EXcel Clean'!A575:R1575,15,FALSE)</f>
        <v>5.4</v>
      </c>
    </row>
    <row r="577" spans="1:8" x14ac:dyDescent="0.25">
      <c r="A577" t="s">
        <v>605</v>
      </c>
      <c r="B577">
        <f>_xlfn.XLOOKUP(A577,'Subbu- Mini Project EXcel Clean'!A577:A1576,'Subbu- Mini Project EXcel Clean'!I577:I1576,"Entry Level",0)</f>
        <v>5</v>
      </c>
      <c r="C577" t="str">
        <f>_xlfn.XLOOKUP(A577,'Subbu- Mini Project EXcel Clean'!A577:A1576,'Subbu- Mini Project EXcel Clean'!J577:J1576," ",0)</f>
        <v>Good</v>
      </c>
      <c r="D577">
        <f>_xlfn.XLOOKUP(A577,'Subbu- Mini Project EXcel Clean'!A577:A1576,'Subbu- Mini Project EXcel Clean'!N577:N1576,"entry Level",0)</f>
        <v>7.8</v>
      </c>
      <c r="E577">
        <f>_xlfn.XLOOKUP(A577,'Subbu- Mini Project EXcel Clean'!A577:A1576,'Subbu- Mini Project EXcel Clean'!M577:M1576," ",0)</f>
        <v>102.3</v>
      </c>
      <c r="F577">
        <f>_xlfn.XLOOKUP(A577,'Subbu- Mini Project EXcel Clean'!A577:A1576,'Subbu- Mini Project EXcel Clean'!P577:P1576," ",0)</f>
        <v>3</v>
      </c>
      <c r="G577" t="str">
        <f>_xlfn.XLOOKUP(A577,'Subbu- Mini Project EXcel Clean'!A577:A1576,'Subbu- Mini Project EXcel Clean'!Q577:Q1576," ",0)</f>
        <v>Moderate</v>
      </c>
      <c r="H577">
        <f>VLOOKUP(A577,'Subbu- Mini Project EXcel Clean'!A576:R1576,15,FALSE)</f>
        <v>2.1</v>
      </c>
    </row>
    <row r="578" spans="1:8" x14ac:dyDescent="0.25">
      <c r="A578" t="s">
        <v>606</v>
      </c>
      <c r="B578">
        <f>_xlfn.XLOOKUP(A578,'Subbu- Mini Project EXcel Clean'!A578:A1577,'Subbu- Mini Project EXcel Clean'!I578:I1577,"Entry Level",0)</f>
        <v>3</v>
      </c>
      <c r="C578" t="str">
        <f>_xlfn.XLOOKUP(A578,'Subbu- Mini Project EXcel Clean'!A578:A1577,'Subbu- Mini Project EXcel Clean'!J578:J1577," ",0)</f>
        <v>Excellent</v>
      </c>
      <c r="D578">
        <f>_xlfn.XLOOKUP(A578,'Subbu- Mini Project EXcel Clean'!A578:A1577,'Subbu- Mini Project EXcel Clean'!N578:N1577,"entry Level",0)</f>
        <v>8.1</v>
      </c>
      <c r="E578">
        <f>_xlfn.XLOOKUP(A578,'Subbu- Mini Project EXcel Clean'!A578:A1577,'Subbu- Mini Project EXcel Clean'!M578:M1577," ",0)</f>
        <v>89.6</v>
      </c>
      <c r="F578">
        <f>_xlfn.XLOOKUP(A578,'Subbu- Mini Project EXcel Clean'!A578:A1577,'Subbu- Mini Project EXcel Clean'!P578:P1577," ",0)</f>
        <v>4</v>
      </c>
      <c r="G578" t="str">
        <f>_xlfn.XLOOKUP(A578,'Subbu- Mini Project EXcel Clean'!A578:A1577,'Subbu- Mini Project EXcel Clean'!Q578:Q1577," ",0)</f>
        <v>Moderate</v>
      </c>
      <c r="H578">
        <f>VLOOKUP(A578,'Subbu- Mini Project EXcel Clean'!A577:R1577,15,FALSE)</f>
        <v>1.4</v>
      </c>
    </row>
    <row r="579" spans="1:8" x14ac:dyDescent="0.25">
      <c r="A579" t="s">
        <v>607</v>
      </c>
      <c r="B579">
        <f>_xlfn.XLOOKUP(A579,'Subbu- Mini Project EXcel Clean'!A579:A1578,'Subbu- Mini Project EXcel Clean'!I579:I1578,"Entry Level",0)</f>
        <v>3</v>
      </c>
      <c r="C579" t="str">
        <f>_xlfn.XLOOKUP(A579,'Subbu- Mini Project EXcel Clean'!A579:A1578,'Subbu- Mini Project EXcel Clean'!J579:J1578," ",0)</f>
        <v>Consistent</v>
      </c>
      <c r="D579">
        <f>_xlfn.XLOOKUP(A579,'Subbu- Mini Project EXcel Clean'!A579:A1578,'Subbu- Mini Project EXcel Clean'!N579:N1578,"entry Level",0)</f>
        <v>7</v>
      </c>
      <c r="E579">
        <f>_xlfn.XLOOKUP(A579,'Subbu- Mini Project EXcel Clean'!A579:A1578,'Subbu- Mini Project EXcel Clean'!M579:M1578," ",0)</f>
        <v>72.8</v>
      </c>
      <c r="F579">
        <f>_xlfn.XLOOKUP(A579,'Subbu- Mini Project EXcel Clean'!A579:A1578,'Subbu- Mini Project EXcel Clean'!P579:P1578," ",0)</f>
        <v>4</v>
      </c>
      <c r="G579" t="str">
        <f>_xlfn.XLOOKUP(A579,'Subbu- Mini Project EXcel Clean'!A579:A1578,'Subbu- Mini Project EXcel Clean'!Q579:Q1578," ",0)</f>
        <v>Moderate</v>
      </c>
      <c r="H579">
        <f>VLOOKUP(A579,'Subbu- Mini Project EXcel Clean'!A578:R1578,15,FALSE)</f>
        <v>3.4</v>
      </c>
    </row>
    <row r="580" spans="1:8" x14ac:dyDescent="0.25">
      <c r="A580" t="s">
        <v>608</v>
      </c>
      <c r="B580">
        <f>_xlfn.XLOOKUP(A580,'Subbu- Mini Project EXcel Clean'!A580:A1579,'Subbu- Mini Project EXcel Clean'!I580:I1579,"Entry Level",0)</f>
        <v>4</v>
      </c>
      <c r="C580" t="str">
        <f>_xlfn.XLOOKUP(A580,'Subbu- Mini Project EXcel Clean'!A580:A1579,'Subbu- Mini Project EXcel Clean'!J580:J1579," ",0)</f>
        <v>Good</v>
      </c>
      <c r="D580">
        <f>_xlfn.XLOOKUP(A580,'Subbu- Mini Project EXcel Clean'!A580:A1579,'Subbu- Mini Project EXcel Clean'!N580:N1579,"entry Level",0)</f>
        <v>6.2</v>
      </c>
      <c r="E580">
        <f>_xlfn.XLOOKUP(A580,'Subbu- Mini Project EXcel Clean'!A580:A1579,'Subbu- Mini Project EXcel Clean'!M580:M1579," ",0)</f>
        <v>95.4</v>
      </c>
      <c r="F580">
        <f>_xlfn.XLOOKUP(A580,'Subbu- Mini Project EXcel Clean'!A580:A1579,'Subbu- Mini Project EXcel Clean'!P580:P1579," ",0)</f>
        <v>1</v>
      </c>
      <c r="G580" t="str">
        <f>_xlfn.XLOOKUP(A580,'Subbu- Mini Project EXcel Clean'!A580:A1579,'Subbu- Mini Project EXcel Clean'!Q580:Q1579," ",0)</f>
        <v>Low</v>
      </c>
      <c r="H580">
        <f>VLOOKUP(A580,'Subbu- Mini Project EXcel Clean'!A579:R1579,15,FALSE)</f>
        <v>3.6</v>
      </c>
    </row>
    <row r="581" spans="1:8" x14ac:dyDescent="0.25">
      <c r="A581" t="s">
        <v>609</v>
      </c>
      <c r="B581">
        <f>_xlfn.XLOOKUP(A581,'Subbu- Mini Project EXcel Clean'!A581:A1580,'Subbu- Mini Project EXcel Clean'!I581:I1580,"Entry Level",0)</f>
        <v>2</v>
      </c>
      <c r="C581" t="str">
        <f>_xlfn.XLOOKUP(A581,'Subbu- Mini Project EXcel Clean'!A581:A1580,'Subbu- Mini Project EXcel Clean'!J581:J1580," ",0)</f>
        <v>Consistent</v>
      </c>
      <c r="D581">
        <f>_xlfn.XLOOKUP(A581,'Subbu- Mini Project EXcel Clean'!A581:A1580,'Subbu- Mini Project EXcel Clean'!N581:N1580,"entry Level",0)</f>
        <v>6.9</v>
      </c>
      <c r="E581">
        <f>_xlfn.XLOOKUP(A581,'Subbu- Mini Project EXcel Clean'!A581:A1580,'Subbu- Mini Project EXcel Clean'!M581:M1580," ",0)</f>
        <v>67.400000000000006</v>
      </c>
      <c r="F581">
        <f>_xlfn.XLOOKUP(A581,'Subbu- Mini Project EXcel Clean'!A581:A1580,'Subbu- Mini Project EXcel Clean'!P581:P1580," ",0)</f>
        <v>3</v>
      </c>
      <c r="G581" t="str">
        <f>_xlfn.XLOOKUP(A581,'Subbu- Mini Project EXcel Clean'!A581:A1580,'Subbu- Mini Project EXcel Clean'!Q581:Q1580," ",0)</f>
        <v>Moderate</v>
      </c>
      <c r="H581">
        <f>VLOOKUP(A581,'Subbu- Mini Project EXcel Clean'!A580:R1580,15,FALSE)</f>
        <v>5.0999999999999996</v>
      </c>
    </row>
    <row r="582" spans="1:8" x14ac:dyDescent="0.25">
      <c r="A582" t="s">
        <v>610</v>
      </c>
      <c r="B582">
        <f>_xlfn.XLOOKUP(A582,'Subbu- Mini Project EXcel Clean'!A582:A1581,'Subbu- Mini Project EXcel Clean'!I582:I1581,"Entry Level",0)</f>
        <v>3</v>
      </c>
      <c r="C582" t="str">
        <f>_xlfn.XLOOKUP(A582,'Subbu- Mini Project EXcel Clean'!A582:A1581,'Subbu- Mini Project EXcel Clean'!J582:J1581," ",0)</f>
        <v>Consistent</v>
      </c>
      <c r="D582">
        <f>_xlfn.XLOOKUP(A582,'Subbu- Mini Project EXcel Clean'!A582:A1581,'Subbu- Mini Project EXcel Clean'!N582:N1581,"entry Level",0)</f>
        <v>6.9</v>
      </c>
      <c r="E582">
        <f>_xlfn.XLOOKUP(A582,'Subbu- Mini Project EXcel Clean'!A582:A1581,'Subbu- Mini Project EXcel Clean'!M582:M1581," ",0)</f>
        <v>74.8</v>
      </c>
      <c r="F582">
        <f>_xlfn.XLOOKUP(A582,'Subbu- Mini Project EXcel Clean'!A582:A1581,'Subbu- Mini Project EXcel Clean'!P582:P1581," ",0)</f>
        <v>3</v>
      </c>
      <c r="G582" t="str">
        <f>_xlfn.XLOOKUP(A582,'Subbu- Mini Project EXcel Clean'!A582:A1581,'Subbu- Mini Project EXcel Clean'!Q582:Q1581," ",0)</f>
        <v>Low</v>
      </c>
      <c r="H582">
        <f>VLOOKUP(A582,'Subbu- Mini Project EXcel Clean'!A581:R1581,15,FALSE)</f>
        <v>3.2</v>
      </c>
    </row>
    <row r="583" spans="1:8" x14ac:dyDescent="0.25">
      <c r="A583" t="s">
        <v>611</v>
      </c>
      <c r="B583">
        <f>_xlfn.XLOOKUP(A583,'Subbu- Mini Project EXcel Clean'!A583:A1582,'Subbu- Mini Project EXcel Clean'!I583:I1582,"Entry Level",0)</f>
        <v>2</v>
      </c>
      <c r="C583" t="str">
        <f>_xlfn.XLOOKUP(A583,'Subbu- Mini Project EXcel Clean'!A583:A1582,'Subbu- Mini Project EXcel Clean'!J583:J1582," ",0)</f>
        <v>Consistent</v>
      </c>
      <c r="D583">
        <f>_xlfn.XLOOKUP(A583,'Subbu- Mini Project EXcel Clean'!A583:A1582,'Subbu- Mini Project EXcel Clean'!N583:N1582,"entry Level",0)</f>
        <v>6.1</v>
      </c>
      <c r="E583">
        <f>_xlfn.XLOOKUP(A583,'Subbu- Mini Project EXcel Clean'!A583:A1582,'Subbu- Mini Project EXcel Clean'!M583:M1582," ",0)</f>
        <v>72.8</v>
      </c>
      <c r="F583">
        <f>_xlfn.XLOOKUP(A583,'Subbu- Mini Project EXcel Clean'!A583:A1582,'Subbu- Mini Project EXcel Clean'!P583:P1582," ",0)</f>
        <v>2</v>
      </c>
      <c r="G583" t="str">
        <f>_xlfn.XLOOKUP(A583,'Subbu- Mini Project EXcel Clean'!A583:A1582,'Subbu- Mini Project EXcel Clean'!Q583:Q1582," ",0)</f>
        <v>Low</v>
      </c>
      <c r="H583">
        <f>VLOOKUP(A583,'Subbu- Mini Project EXcel Clean'!A582:R1582,15,FALSE)</f>
        <v>3.9</v>
      </c>
    </row>
    <row r="584" spans="1:8" x14ac:dyDescent="0.25">
      <c r="A584" t="s">
        <v>612</v>
      </c>
      <c r="B584">
        <f>_xlfn.XLOOKUP(A584,'Subbu- Mini Project EXcel Clean'!A584:A1583,'Subbu- Mini Project EXcel Clean'!I584:I1583,"Entry Level",0)</f>
        <v>3</v>
      </c>
      <c r="C584" t="str">
        <f>_xlfn.XLOOKUP(A584,'Subbu- Mini Project EXcel Clean'!A584:A1583,'Subbu- Mini Project EXcel Clean'!J584:J1583," ",0)</f>
        <v>Consistent</v>
      </c>
      <c r="D584">
        <f>_xlfn.XLOOKUP(A584,'Subbu- Mini Project EXcel Clean'!A584:A1583,'Subbu- Mini Project EXcel Clean'!N584:N1583,"entry Level",0)</f>
        <v>7.6</v>
      </c>
      <c r="E584">
        <f>_xlfn.XLOOKUP(A584,'Subbu- Mini Project EXcel Clean'!A584:A1583,'Subbu- Mini Project EXcel Clean'!M584:M1583," ",0)</f>
        <v>81</v>
      </c>
      <c r="F584">
        <f>_xlfn.XLOOKUP(A584,'Subbu- Mini Project EXcel Clean'!A584:A1583,'Subbu- Mini Project EXcel Clean'!P584:P1583," ",0)</f>
        <v>2</v>
      </c>
      <c r="G584" t="str">
        <f>_xlfn.XLOOKUP(A584,'Subbu- Mini Project EXcel Clean'!A584:A1583,'Subbu- Mini Project EXcel Clean'!Q584:Q1583," ",0)</f>
        <v>Low</v>
      </c>
      <c r="H584">
        <f>VLOOKUP(A584,'Subbu- Mini Project EXcel Clean'!A583:R1583,15,FALSE)</f>
        <v>3.6</v>
      </c>
    </row>
    <row r="585" spans="1:8" x14ac:dyDescent="0.25">
      <c r="A585" t="s">
        <v>613</v>
      </c>
      <c r="B585">
        <f>_xlfn.XLOOKUP(A585,'Subbu- Mini Project EXcel Clean'!A585:A1584,'Subbu- Mini Project EXcel Clean'!I585:I1584,"Entry Level",0)</f>
        <v>4</v>
      </c>
      <c r="C585" t="str">
        <f>_xlfn.XLOOKUP(A585,'Subbu- Mini Project EXcel Clean'!A585:A1584,'Subbu- Mini Project EXcel Clean'!J585:J1584," ",0)</f>
        <v>Good</v>
      </c>
      <c r="D585">
        <f>_xlfn.XLOOKUP(A585,'Subbu- Mini Project EXcel Clean'!A585:A1584,'Subbu- Mini Project EXcel Clean'!N585:N1584,"entry Level",0)</f>
        <v>8.6999999999999993</v>
      </c>
      <c r="E585">
        <f>_xlfn.XLOOKUP(A585,'Subbu- Mini Project EXcel Clean'!A585:A1584,'Subbu- Mini Project EXcel Clean'!M585:M1584," ",0)</f>
        <v>92.9</v>
      </c>
      <c r="F585">
        <f>_xlfn.XLOOKUP(A585,'Subbu- Mini Project EXcel Clean'!A585:A1584,'Subbu- Mini Project EXcel Clean'!P585:P1584," ",0)</f>
        <v>4</v>
      </c>
      <c r="G585" t="str">
        <f>_xlfn.XLOOKUP(A585,'Subbu- Mini Project EXcel Clean'!A585:A1584,'Subbu- Mini Project EXcel Clean'!Q585:Q1584," ",0)</f>
        <v>Moderate</v>
      </c>
      <c r="H585">
        <f>VLOOKUP(A585,'Subbu- Mini Project EXcel Clean'!A584:R1584,15,FALSE)</f>
        <v>1.2</v>
      </c>
    </row>
    <row r="586" spans="1:8" x14ac:dyDescent="0.25">
      <c r="A586" t="s">
        <v>614</v>
      </c>
      <c r="B586">
        <f>_xlfn.XLOOKUP(A586,'Subbu- Mini Project EXcel Clean'!A586:A1585,'Subbu- Mini Project EXcel Clean'!I586:I1585,"Entry Level",0)</f>
        <v>3</v>
      </c>
      <c r="C586" t="str">
        <f>_xlfn.XLOOKUP(A586,'Subbu- Mini Project EXcel Clean'!A586:A1585,'Subbu- Mini Project EXcel Clean'!J586:J1585," ",0)</f>
        <v>Consistent</v>
      </c>
      <c r="D586">
        <f>_xlfn.XLOOKUP(A586,'Subbu- Mini Project EXcel Clean'!A586:A1585,'Subbu- Mini Project EXcel Clean'!N586:N1585,"entry Level",0)</f>
        <v>6.8</v>
      </c>
      <c r="E586">
        <f>_xlfn.XLOOKUP(A586,'Subbu- Mini Project EXcel Clean'!A586:A1585,'Subbu- Mini Project EXcel Clean'!M586:M1585," ",0)</f>
        <v>90.7</v>
      </c>
      <c r="F586">
        <f>_xlfn.XLOOKUP(A586,'Subbu- Mini Project EXcel Clean'!A586:A1585,'Subbu- Mini Project EXcel Clean'!P586:P1585," ",0)</f>
        <v>2</v>
      </c>
      <c r="G586" t="str">
        <f>_xlfn.XLOOKUP(A586,'Subbu- Mini Project EXcel Clean'!A586:A1585,'Subbu- Mini Project EXcel Clean'!Q586:Q1585," ",0)</f>
        <v>Low</v>
      </c>
      <c r="H586">
        <f>VLOOKUP(A586,'Subbu- Mini Project EXcel Clean'!A585:R1585,15,FALSE)</f>
        <v>4.0999999999999996</v>
      </c>
    </row>
    <row r="587" spans="1:8" x14ac:dyDescent="0.25">
      <c r="A587" t="s">
        <v>615</v>
      </c>
      <c r="B587">
        <f>_xlfn.XLOOKUP(A587,'Subbu- Mini Project EXcel Clean'!A587:A1586,'Subbu- Mini Project EXcel Clean'!I587:I1586,"Entry Level",0)</f>
        <v>4</v>
      </c>
      <c r="C587" t="str">
        <f>_xlfn.XLOOKUP(A587,'Subbu- Mini Project EXcel Clean'!A587:A1586,'Subbu- Mini Project EXcel Clean'!J587:J1586," ",0)</f>
        <v>Good</v>
      </c>
      <c r="D587">
        <f>_xlfn.XLOOKUP(A587,'Subbu- Mini Project EXcel Clean'!A587:A1586,'Subbu- Mini Project EXcel Clean'!N587:N1586,"entry Level",0)</f>
        <v>7.5</v>
      </c>
      <c r="E587">
        <f>_xlfn.XLOOKUP(A587,'Subbu- Mini Project EXcel Clean'!A587:A1586,'Subbu- Mini Project EXcel Clean'!M587:M1586," ",0)</f>
        <v>87.5</v>
      </c>
      <c r="F587">
        <f>_xlfn.XLOOKUP(A587,'Subbu- Mini Project EXcel Clean'!A587:A1586,'Subbu- Mini Project EXcel Clean'!P587:P1586," ",0)</f>
        <v>4</v>
      </c>
      <c r="G587" t="str">
        <f>_xlfn.XLOOKUP(A587,'Subbu- Mini Project EXcel Clean'!A587:A1586,'Subbu- Mini Project EXcel Clean'!Q587:Q1586," ",0)</f>
        <v>Moderate</v>
      </c>
      <c r="H587">
        <f>VLOOKUP(A587,'Subbu- Mini Project EXcel Clean'!A586:R1586,15,FALSE)</f>
        <v>5.0999999999999996</v>
      </c>
    </row>
    <row r="588" spans="1:8" x14ac:dyDescent="0.25">
      <c r="A588" t="s">
        <v>616</v>
      </c>
      <c r="B588">
        <f>_xlfn.XLOOKUP(A588,'Subbu- Mini Project EXcel Clean'!A588:A1587,'Subbu- Mini Project EXcel Clean'!I588:I1587,"Entry Level",0)</f>
        <v>3</v>
      </c>
      <c r="C588" t="str">
        <f>_xlfn.XLOOKUP(A588,'Subbu- Mini Project EXcel Clean'!A588:A1587,'Subbu- Mini Project EXcel Clean'!J588:J1587," ",0)</f>
        <v>Excellent</v>
      </c>
      <c r="D588">
        <f>_xlfn.XLOOKUP(A588,'Subbu- Mini Project EXcel Clean'!A588:A1587,'Subbu- Mini Project EXcel Clean'!N588:N1587,"entry Level",0)</f>
        <v>7.5</v>
      </c>
      <c r="E588">
        <f>_xlfn.XLOOKUP(A588,'Subbu- Mini Project EXcel Clean'!A588:A1587,'Subbu- Mini Project EXcel Clean'!M588:M1587," ",0)</f>
        <v>85.7</v>
      </c>
      <c r="F588">
        <f>_xlfn.XLOOKUP(A588,'Subbu- Mini Project EXcel Clean'!A588:A1587,'Subbu- Mini Project EXcel Clean'!P588:P1587," ",0)</f>
        <v>3</v>
      </c>
      <c r="G588" t="str">
        <f>_xlfn.XLOOKUP(A588,'Subbu- Mini Project EXcel Clean'!A588:A1587,'Subbu- Mini Project EXcel Clean'!Q588:Q1587," ",0)</f>
        <v>Low</v>
      </c>
      <c r="H588">
        <f>VLOOKUP(A588,'Subbu- Mini Project EXcel Clean'!A587:R1587,15,FALSE)</f>
        <v>1.8</v>
      </c>
    </row>
    <row r="589" spans="1:8" x14ac:dyDescent="0.25">
      <c r="A589" t="s">
        <v>617</v>
      </c>
      <c r="B589">
        <f>_xlfn.XLOOKUP(A589,'Subbu- Mini Project EXcel Clean'!A589:A1588,'Subbu- Mini Project EXcel Clean'!I589:I1588,"Entry Level",0)</f>
        <v>2</v>
      </c>
      <c r="C589" t="str">
        <f>_xlfn.XLOOKUP(A589,'Subbu- Mini Project EXcel Clean'!A589:A1588,'Subbu- Mini Project EXcel Clean'!J589:J1588," ",0)</f>
        <v>Consistent</v>
      </c>
      <c r="D589">
        <f>_xlfn.XLOOKUP(A589,'Subbu- Mini Project EXcel Clean'!A589:A1588,'Subbu- Mini Project EXcel Clean'!N589:N1588,"entry Level",0)</f>
        <v>6.6</v>
      </c>
      <c r="E589">
        <f>_xlfn.XLOOKUP(A589,'Subbu- Mini Project EXcel Clean'!A589:A1588,'Subbu- Mini Project EXcel Clean'!M589:M1588," ",0)</f>
        <v>71</v>
      </c>
      <c r="F589">
        <f>_xlfn.XLOOKUP(A589,'Subbu- Mini Project EXcel Clean'!A589:A1588,'Subbu- Mini Project EXcel Clean'!P589:P1588," ",0)</f>
        <v>1</v>
      </c>
      <c r="G589" t="str">
        <f>_xlfn.XLOOKUP(A589,'Subbu- Mini Project EXcel Clean'!A589:A1588,'Subbu- Mini Project EXcel Clean'!Q589:Q1588," ",0)</f>
        <v>Low</v>
      </c>
      <c r="H589">
        <f>VLOOKUP(A589,'Subbu- Mini Project EXcel Clean'!A588:R1588,15,FALSE)</f>
        <v>4</v>
      </c>
    </row>
    <row r="590" spans="1:8" x14ac:dyDescent="0.25">
      <c r="A590" t="s">
        <v>618</v>
      </c>
      <c r="B590">
        <f>_xlfn.XLOOKUP(A590,'Subbu- Mini Project EXcel Clean'!A590:A1589,'Subbu- Mini Project EXcel Clean'!I590:I1589,"Entry Level",0)</f>
        <v>4</v>
      </c>
      <c r="C590" t="str">
        <f>_xlfn.XLOOKUP(A590,'Subbu- Mini Project EXcel Clean'!A590:A1589,'Subbu- Mini Project EXcel Clean'!J590:J1589," ",0)</f>
        <v>Good</v>
      </c>
      <c r="D590">
        <f>_xlfn.XLOOKUP(A590,'Subbu- Mini Project EXcel Clean'!A590:A1589,'Subbu- Mini Project EXcel Clean'!N590:N1589,"entry Level",0)</f>
        <v>6.5</v>
      </c>
      <c r="E590">
        <f>_xlfn.XLOOKUP(A590,'Subbu- Mini Project EXcel Clean'!A590:A1589,'Subbu- Mini Project EXcel Clean'!M590:M1589," ",0)</f>
        <v>88.1</v>
      </c>
      <c r="F590">
        <f>_xlfn.XLOOKUP(A590,'Subbu- Mini Project EXcel Clean'!A590:A1589,'Subbu- Mini Project EXcel Clean'!P590:P1589," ",0)</f>
        <v>5</v>
      </c>
      <c r="G590" t="str">
        <f>_xlfn.XLOOKUP(A590,'Subbu- Mini Project EXcel Clean'!A590:A1589,'Subbu- Mini Project EXcel Clean'!Q590:Q1589," ",0)</f>
        <v>Moderate</v>
      </c>
      <c r="H590">
        <f>VLOOKUP(A590,'Subbu- Mini Project EXcel Clean'!A589:R1589,15,FALSE)</f>
        <v>4</v>
      </c>
    </row>
    <row r="591" spans="1:8" x14ac:dyDescent="0.25">
      <c r="A591" t="s">
        <v>619</v>
      </c>
      <c r="B591">
        <f>_xlfn.XLOOKUP(A591,'Subbu- Mini Project EXcel Clean'!A591:A1590,'Subbu- Mini Project EXcel Clean'!I591:I1590,"Entry Level",0)</f>
        <v>2</v>
      </c>
      <c r="C591" t="str">
        <f>_xlfn.XLOOKUP(A591,'Subbu- Mini Project EXcel Clean'!A591:A1590,'Subbu- Mini Project EXcel Clean'!J591:J1590," ",0)</f>
        <v>Consistent</v>
      </c>
      <c r="D591">
        <f>_xlfn.XLOOKUP(A591,'Subbu- Mini Project EXcel Clean'!A591:A1590,'Subbu- Mini Project EXcel Clean'!N591:N1590,"entry Level",0)</f>
        <v>8.3000000000000007</v>
      </c>
      <c r="E591">
        <f>_xlfn.XLOOKUP(A591,'Subbu- Mini Project EXcel Clean'!A591:A1590,'Subbu- Mini Project EXcel Clean'!M591:M1590," ",0)</f>
        <v>69.5</v>
      </c>
      <c r="F591">
        <f>_xlfn.XLOOKUP(A591,'Subbu- Mini Project EXcel Clean'!A591:A1590,'Subbu- Mini Project EXcel Clean'!P591:P1590," ",0)</f>
        <v>1</v>
      </c>
      <c r="G591" t="str">
        <f>_xlfn.XLOOKUP(A591,'Subbu- Mini Project EXcel Clean'!A591:A1590,'Subbu- Mini Project EXcel Clean'!Q591:Q1590," ",0)</f>
        <v>Low</v>
      </c>
      <c r="H591">
        <f>VLOOKUP(A591,'Subbu- Mini Project EXcel Clean'!A590:R1590,15,FALSE)</f>
        <v>1.8</v>
      </c>
    </row>
    <row r="592" spans="1:8" x14ac:dyDescent="0.25">
      <c r="A592" t="s">
        <v>620</v>
      </c>
      <c r="B592">
        <f>_xlfn.XLOOKUP(A592,'Subbu- Mini Project EXcel Clean'!A592:A1591,'Subbu- Mini Project EXcel Clean'!I592:I1591,"Entry Level",0)</f>
        <v>2</v>
      </c>
      <c r="C592" t="str">
        <f>_xlfn.XLOOKUP(A592,'Subbu- Mini Project EXcel Clean'!A592:A1591,'Subbu- Mini Project EXcel Clean'!J592:J1591," ",0)</f>
        <v>Consistent</v>
      </c>
      <c r="D592">
        <f>_xlfn.XLOOKUP(A592,'Subbu- Mini Project EXcel Clean'!A592:A1591,'Subbu- Mini Project EXcel Clean'!N592:N1591,"entry Level",0)</f>
        <v>7.1</v>
      </c>
      <c r="E592">
        <f>_xlfn.XLOOKUP(A592,'Subbu- Mini Project EXcel Clean'!A592:A1591,'Subbu- Mini Project EXcel Clean'!M592:M1591," ",0)</f>
        <v>69.7</v>
      </c>
      <c r="F592">
        <f>_xlfn.XLOOKUP(A592,'Subbu- Mini Project EXcel Clean'!A592:A1591,'Subbu- Mini Project EXcel Clean'!P592:P1591," ",0)</f>
        <v>5</v>
      </c>
      <c r="G592" t="str">
        <f>_xlfn.XLOOKUP(A592,'Subbu- Mini Project EXcel Clean'!A592:A1591,'Subbu- Mini Project EXcel Clean'!Q592:Q1591," ",0)</f>
        <v>Moderate</v>
      </c>
      <c r="H592">
        <f>VLOOKUP(A592,'Subbu- Mini Project EXcel Clean'!A591:R1591,15,FALSE)</f>
        <v>1.6</v>
      </c>
    </row>
    <row r="593" spans="1:8" x14ac:dyDescent="0.25">
      <c r="A593" t="s">
        <v>621</v>
      </c>
      <c r="B593">
        <f>_xlfn.XLOOKUP(A593,'Subbu- Mini Project EXcel Clean'!A593:A1592,'Subbu- Mini Project EXcel Clean'!I593:I1592,"Entry Level",0)</f>
        <v>3</v>
      </c>
      <c r="C593" t="str">
        <f>_xlfn.XLOOKUP(A593,'Subbu- Mini Project EXcel Clean'!A593:A1592,'Subbu- Mini Project EXcel Clean'!J593:J1592," ",0)</f>
        <v>Consistent</v>
      </c>
      <c r="D593">
        <f>_xlfn.XLOOKUP(A593,'Subbu- Mini Project EXcel Clean'!A593:A1592,'Subbu- Mini Project EXcel Clean'!N593:N1592,"entry Level",0)</f>
        <v>6.6</v>
      </c>
      <c r="E593">
        <f>_xlfn.XLOOKUP(A593,'Subbu- Mini Project EXcel Clean'!A593:A1592,'Subbu- Mini Project EXcel Clean'!M593:M1592," ",0)</f>
        <v>94.8</v>
      </c>
      <c r="F593">
        <f>_xlfn.XLOOKUP(A593,'Subbu- Mini Project EXcel Clean'!A593:A1592,'Subbu- Mini Project EXcel Clean'!P593:P1592," ",0)</f>
        <v>6</v>
      </c>
      <c r="G593" t="str">
        <f>_xlfn.XLOOKUP(A593,'Subbu- Mini Project EXcel Clean'!A593:A1592,'Subbu- Mini Project EXcel Clean'!Q593:Q1592," ",0)</f>
        <v>High</v>
      </c>
      <c r="H593">
        <f>VLOOKUP(A593,'Subbu- Mini Project EXcel Clean'!A592:R1592,15,FALSE)</f>
        <v>5.9</v>
      </c>
    </row>
    <row r="594" spans="1:8" x14ac:dyDescent="0.25">
      <c r="A594" t="s">
        <v>622</v>
      </c>
      <c r="B594">
        <f>_xlfn.XLOOKUP(A594,'Subbu- Mini Project EXcel Clean'!A594:A1593,'Subbu- Mini Project EXcel Clean'!I594:I1593,"Entry Level",0)</f>
        <v>2</v>
      </c>
      <c r="C594" t="str">
        <f>_xlfn.XLOOKUP(A594,'Subbu- Mini Project EXcel Clean'!A594:A1593,'Subbu- Mini Project EXcel Clean'!J594:J1593," ",0)</f>
        <v>Consistent</v>
      </c>
      <c r="D594">
        <f>_xlfn.XLOOKUP(A594,'Subbu- Mini Project EXcel Clean'!A594:A1593,'Subbu- Mini Project EXcel Clean'!N594:N1593,"entry Level",0)</f>
        <v>6.8</v>
      </c>
      <c r="E594">
        <f>_xlfn.XLOOKUP(A594,'Subbu- Mini Project EXcel Clean'!A594:A1593,'Subbu- Mini Project EXcel Clean'!M594:M1593," ",0)</f>
        <v>69.5</v>
      </c>
      <c r="F594">
        <f>_xlfn.XLOOKUP(A594,'Subbu- Mini Project EXcel Clean'!A594:A1593,'Subbu- Mini Project EXcel Clean'!P594:P1593," ",0)</f>
        <v>1</v>
      </c>
      <c r="G594" t="str">
        <f>_xlfn.XLOOKUP(A594,'Subbu- Mini Project EXcel Clean'!A594:A1593,'Subbu- Mini Project EXcel Clean'!Q594:Q1593," ",0)</f>
        <v>Low</v>
      </c>
      <c r="H594">
        <f>VLOOKUP(A594,'Subbu- Mini Project EXcel Clean'!A593:R1593,15,FALSE)</f>
        <v>3</v>
      </c>
    </row>
    <row r="595" spans="1:8" x14ac:dyDescent="0.25">
      <c r="A595" t="s">
        <v>623</v>
      </c>
      <c r="B595">
        <f>_xlfn.XLOOKUP(A595,'Subbu- Mini Project EXcel Clean'!A595:A1594,'Subbu- Mini Project EXcel Clean'!I595:I1594,"Entry Level",0)</f>
        <v>1</v>
      </c>
      <c r="C595" t="str">
        <f>_xlfn.XLOOKUP(A595,'Subbu- Mini Project EXcel Clean'!A595:A1594,'Subbu- Mini Project EXcel Clean'!J595:J1594," ",0)</f>
        <v>Average</v>
      </c>
      <c r="D595">
        <f>_xlfn.XLOOKUP(A595,'Subbu- Mini Project EXcel Clean'!A595:A1594,'Subbu- Mini Project EXcel Clean'!N595:N1594,"entry Level",0)</f>
        <v>7.1</v>
      </c>
      <c r="E595">
        <f>_xlfn.XLOOKUP(A595,'Subbu- Mini Project EXcel Clean'!A595:A1594,'Subbu- Mini Project EXcel Clean'!M595:M1594," ",0)</f>
        <v>54.7</v>
      </c>
      <c r="F595">
        <f>_xlfn.XLOOKUP(A595,'Subbu- Mini Project EXcel Clean'!A595:A1594,'Subbu- Mini Project EXcel Clean'!P595:P1594," ",0)</f>
        <v>3</v>
      </c>
      <c r="G595" t="str">
        <f>_xlfn.XLOOKUP(A595,'Subbu- Mini Project EXcel Clean'!A595:A1594,'Subbu- Mini Project EXcel Clean'!Q595:Q1594," ",0)</f>
        <v>Moderate</v>
      </c>
      <c r="H595">
        <f>VLOOKUP(A595,'Subbu- Mini Project EXcel Clean'!A594:R1594,15,FALSE)</f>
        <v>2.1</v>
      </c>
    </row>
    <row r="596" spans="1:8" x14ac:dyDescent="0.25">
      <c r="A596" t="s">
        <v>624</v>
      </c>
      <c r="B596">
        <f>_xlfn.XLOOKUP(A596,'Subbu- Mini Project EXcel Clean'!A596:A1595,'Subbu- Mini Project EXcel Clean'!I596:I1595,"Entry Level",0)</f>
        <v>4</v>
      </c>
      <c r="C596" t="str">
        <f>_xlfn.XLOOKUP(A596,'Subbu- Mini Project EXcel Clean'!A596:A1595,'Subbu- Mini Project EXcel Clean'!J596:J1595," ",0)</f>
        <v>Excellent</v>
      </c>
      <c r="D596">
        <f>_xlfn.XLOOKUP(A596,'Subbu- Mini Project EXcel Clean'!A596:A1595,'Subbu- Mini Project EXcel Clean'!N596:N1595,"entry Level",0)</f>
        <v>8</v>
      </c>
      <c r="E596">
        <f>_xlfn.XLOOKUP(A596,'Subbu- Mini Project EXcel Clean'!A596:A1595,'Subbu- Mini Project EXcel Clean'!M596:M1595," ",0)</f>
        <v>87.3</v>
      </c>
      <c r="F596">
        <f>_xlfn.XLOOKUP(A596,'Subbu- Mini Project EXcel Clean'!A596:A1595,'Subbu- Mini Project EXcel Clean'!P596:P1595," ",0)</f>
        <v>4</v>
      </c>
      <c r="G596" t="str">
        <f>_xlfn.XLOOKUP(A596,'Subbu- Mini Project EXcel Clean'!A596:A1595,'Subbu- Mini Project EXcel Clean'!Q596:Q1595," ",0)</f>
        <v>Moderate</v>
      </c>
      <c r="H596">
        <f>VLOOKUP(A596,'Subbu- Mini Project EXcel Clean'!A595:R1595,15,FALSE)</f>
        <v>1.9</v>
      </c>
    </row>
    <row r="597" spans="1:8" x14ac:dyDescent="0.25">
      <c r="A597" t="s">
        <v>625</v>
      </c>
      <c r="B597">
        <f>_xlfn.XLOOKUP(A597,'Subbu- Mini Project EXcel Clean'!A597:A1596,'Subbu- Mini Project EXcel Clean'!I597:I1596,"Entry Level",0)</f>
        <v>3</v>
      </c>
      <c r="C597" t="str">
        <f>_xlfn.XLOOKUP(A597,'Subbu- Mini Project EXcel Clean'!A597:A1596,'Subbu- Mini Project EXcel Clean'!J597:J1596," ",0)</f>
        <v>Consistent</v>
      </c>
      <c r="D597">
        <f>_xlfn.XLOOKUP(A597,'Subbu- Mini Project EXcel Clean'!A597:A1596,'Subbu- Mini Project EXcel Clean'!N597:N1596,"entry Level",0)</f>
        <v>6.5</v>
      </c>
      <c r="E597">
        <f>_xlfn.XLOOKUP(A597,'Subbu- Mini Project EXcel Clean'!A597:A1596,'Subbu- Mini Project EXcel Clean'!M597:M1596," ",0)</f>
        <v>70.099999999999994</v>
      </c>
      <c r="F597">
        <f>_xlfn.XLOOKUP(A597,'Subbu- Mini Project EXcel Clean'!A597:A1596,'Subbu- Mini Project EXcel Clean'!P597:P1596," ",0)</f>
        <v>5</v>
      </c>
      <c r="G597" t="str">
        <f>_xlfn.XLOOKUP(A597,'Subbu- Mini Project EXcel Clean'!A597:A1596,'Subbu- Mini Project EXcel Clean'!Q597:Q1596," ",0)</f>
        <v>Moderate</v>
      </c>
      <c r="H597">
        <f>VLOOKUP(A597,'Subbu- Mini Project EXcel Clean'!A596:R1596,15,FALSE)</f>
        <v>4.3</v>
      </c>
    </row>
    <row r="598" spans="1:8" x14ac:dyDescent="0.25">
      <c r="A598" t="s">
        <v>626</v>
      </c>
      <c r="B598">
        <f>_xlfn.XLOOKUP(A598,'Subbu- Mini Project EXcel Clean'!A598:A1597,'Subbu- Mini Project EXcel Clean'!I598:I1597,"Entry Level",0)</f>
        <v>3</v>
      </c>
      <c r="C598" t="str">
        <f>_xlfn.XLOOKUP(A598,'Subbu- Mini Project EXcel Clean'!A598:A1597,'Subbu- Mini Project EXcel Clean'!J598:J1597," ",0)</f>
        <v>Consistent</v>
      </c>
      <c r="D598">
        <f>_xlfn.XLOOKUP(A598,'Subbu- Mini Project EXcel Clean'!A598:A1597,'Subbu- Mini Project EXcel Clean'!N598:N1597,"entry Level",0)</f>
        <v>6.6</v>
      </c>
      <c r="E598">
        <f>_xlfn.XLOOKUP(A598,'Subbu- Mini Project EXcel Clean'!A598:A1597,'Subbu- Mini Project EXcel Clean'!M598:M1597," ",0)</f>
        <v>77.400000000000006</v>
      </c>
      <c r="F598">
        <f>_xlfn.XLOOKUP(A598,'Subbu- Mini Project EXcel Clean'!A598:A1597,'Subbu- Mini Project EXcel Clean'!P598:P1597," ",0)</f>
        <v>2</v>
      </c>
      <c r="G598" t="str">
        <f>_xlfn.XLOOKUP(A598,'Subbu- Mini Project EXcel Clean'!A598:A1597,'Subbu- Mini Project EXcel Clean'!Q598:Q1597," ",0)</f>
        <v>Low</v>
      </c>
      <c r="H598">
        <f>VLOOKUP(A598,'Subbu- Mini Project EXcel Clean'!A597:R1597,15,FALSE)</f>
        <v>4</v>
      </c>
    </row>
    <row r="599" spans="1:8" x14ac:dyDescent="0.25">
      <c r="A599" t="s">
        <v>627</v>
      </c>
      <c r="B599">
        <f>_xlfn.XLOOKUP(A599,'Subbu- Mini Project EXcel Clean'!A599:A1598,'Subbu- Mini Project EXcel Clean'!I599:I1598,"Entry Level",0)</f>
        <v>5</v>
      </c>
      <c r="C599" t="str">
        <f>_xlfn.XLOOKUP(A599,'Subbu- Mini Project EXcel Clean'!A599:A1598,'Subbu- Mini Project EXcel Clean'!J599:J1598," ",0)</f>
        <v>Good</v>
      </c>
      <c r="D599">
        <f>_xlfn.XLOOKUP(A599,'Subbu- Mini Project EXcel Clean'!A599:A1598,'Subbu- Mini Project EXcel Clean'!N599:N1598,"entry Level",0)</f>
        <v>7.3</v>
      </c>
      <c r="E599">
        <f>_xlfn.XLOOKUP(A599,'Subbu- Mini Project EXcel Clean'!A599:A1598,'Subbu- Mini Project EXcel Clean'!M599:M1598," ",0)</f>
        <v>98.8</v>
      </c>
      <c r="F599">
        <f>_xlfn.XLOOKUP(A599,'Subbu- Mini Project EXcel Clean'!A599:A1598,'Subbu- Mini Project EXcel Clean'!P599:P1598," ",0)</f>
        <v>2</v>
      </c>
      <c r="G599" t="str">
        <f>_xlfn.XLOOKUP(A599,'Subbu- Mini Project EXcel Clean'!A599:A1598,'Subbu- Mini Project EXcel Clean'!Q599:Q1598," ",0)</f>
        <v>Low</v>
      </c>
      <c r="H599">
        <f>VLOOKUP(A599,'Subbu- Mini Project EXcel Clean'!A598:R1598,15,FALSE)</f>
        <v>4.2</v>
      </c>
    </row>
    <row r="600" spans="1:8" x14ac:dyDescent="0.25">
      <c r="A600" t="s">
        <v>628</v>
      </c>
      <c r="B600">
        <f>_xlfn.XLOOKUP(A600,'Subbu- Mini Project EXcel Clean'!A600:A1599,'Subbu- Mini Project EXcel Clean'!I600:I1599,"Entry Level",0)</f>
        <v>3</v>
      </c>
      <c r="C600" t="str">
        <f>_xlfn.XLOOKUP(A600,'Subbu- Mini Project EXcel Clean'!A600:A1599,'Subbu- Mini Project EXcel Clean'!J600:J1599," ",0)</f>
        <v>Excellent</v>
      </c>
      <c r="D600">
        <f>_xlfn.XLOOKUP(A600,'Subbu- Mini Project EXcel Clean'!A600:A1599,'Subbu- Mini Project EXcel Clean'!N600:N1599,"entry Level",0)</f>
        <v>8.4</v>
      </c>
      <c r="E600">
        <f>_xlfn.XLOOKUP(A600,'Subbu- Mini Project EXcel Clean'!A600:A1599,'Subbu- Mini Project EXcel Clean'!M600:M1599," ",0)</f>
        <v>86.8</v>
      </c>
      <c r="F600">
        <f>_xlfn.XLOOKUP(A600,'Subbu- Mini Project EXcel Clean'!A600:A1599,'Subbu- Mini Project EXcel Clean'!P600:P1599," ",0)</f>
        <v>1</v>
      </c>
      <c r="G600" t="str">
        <f>_xlfn.XLOOKUP(A600,'Subbu- Mini Project EXcel Clean'!A600:A1599,'Subbu- Mini Project EXcel Clean'!Q600:Q1599," ",0)</f>
        <v>Low</v>
      </c>
      <c r="H600">
        <f>VLOOKUP(A600,'Subbu- Mini Project EXcel Clean'!A599:R1599,15,FALSE)</f>
        <v>1.4</v>
      </c>
    </row>
    <row r="601" spans="1:8" x14ac:dyDescent="0.25">
      <c r="A601" t="s">
        <v>629</v>
      </c>
      <c r="B601">
        <f>_xlfn.XLOOKUP(A601,'Subbu- Mini Project EXcel Clean'!A601:A1600,'Subbu- Mini Project EXcel Clean'!I601:I1600,"Entry Level",0)</f>
        <v>5</v>
      </c>
      <c r="C601" t="str">
        <f>_xlfn.XLOOKUP(A601,'Subbu- Mini Project EXcel Clean'!A601:A1600,'Subbu- Mini Project EXcel Clean'!J601:J1600," ",0)</f>
        <v>Good</v>
      </c>
      <c r="D601">
        <f>_xlfn.XLOOKUP(A601,'Subbu- Mini Project EXcel Clean'!A601:A1600,'Subbu- Mini Project EXcel Clean'!N601:N1600,"entry Level",0)</f>
        <v>6.7</v>
      </c>
      <c r="E601">
        <f>_xlfn.XLOOKUP(A601,'Subbu- Mini Project EXcel Clean'!A601:A1600,'Subbu- Mini Project EXcel Clean'!M601:M1600," ",0)</f>
        <v>99.4</v>
      </c>
      <c r="F601">
        <f>_xlfn.XLOOKUP(A601,'Subbu- Mini Project EXcel Clean'!A601:A1600,'Subbu- Mini Project EXcel Clean'!P601:P1600," ",0)</f>
        <v>1</v>
      </c>
      <c r="G601" t="str">
        <f>_xlfn.XLOOKUP(A601,'Subbu- Mini Project EXcel Clean'!A601:A1600,'Subbu- Mini Project EXcel Clean'!Q601:Q1600," ",0)</f>
        <v>Low</v>
      </c>
      <c r="H601">
        <f>VLOOKUP(A601,'Subbu- Mini Project EXcel Clean'!A600:R1600,15,FALSE)</f>
        <v>5.5</v>
      </c>
    </row>
    <row r="602" spans="1:8" x14ac:dyDescent="0.25">
      <c r="A602" t="s">
        <v>630</v>
      </c>
      <c r="B602">
        <f>_xlfn.XLOOKUP(A602,'Subbu- Mini Project EXcel Clean'!A602:A1601,'Subbu- Mini Project EXcel Clean'!I602:I1601,"Entry Level",0)</f>
        <v>2</v>
      </c>
      <c r="C602" t="str">
        <f>_xlfn.XLOOKUP(A602,'Subbu- Mini Project EXcel Clean'!A602:A1601,'Subbu- Mini Project EXcel Clean'!J602:J1601," ",0)</f>
        <v>Consistent</v>
      </c>
      <c r="D602">
        <f>_xlfn.XLOOKUP(A602,'Subbu- Mini Project EXcel Clean'!A602:A1601,'Subbu- Mini Project EXcel Clean'!N602:N1601,"entry Level",0)</f>
        <v>6.8</v>
      </c>
      <c r="E602">
        <f>_xlfn.XLOOKUP(A602,'Subbu- Mini Project EXcel Clean'!A602:A1601,'Subbu- Mini Project EXcel Clean'!M602:M1601," ",0)</f>
        <v>63.1</v>
      </c>
      <c r="F602">
        <f>_xlfn.XLOOKUP(A602,'Subbu- Mini Project EXcel Clean'!A602:A1601,'Subbu- Mini Project EXcel Clean'!P602:P1601," ",0)</f>
        <v>3</v>
      </c>
      <c r="G602" t="str">
        <f>_xlfn.XLOOKUP(A602,'Subbu- Mini Project EXcel Clean'!A602:A1601,'Subbu- Mini Project EXcel Clean'!Q602:Q1601," ",0)</f>
        <v>Moderate</v>
      </c>
      <c r="H602">
        <f>VLOOKUP(A602,'Subbu- Mini Project EXcel Clean'!A601:R1601,15,FALSE)</f>
        <v>2.9</v>
      </c>
    </row>
    <row r="603" spans="1:8" x14ac:dyDescent="0.25">
      <c r="A603" t="s">
        <v>631</v>
      </c>
      <c r="B603">
        <f>_xlfn.XLOOKUP(A603,'Subbu- Mini Project EXcel Clean'!A603:A1602,'Subbu- Mini Project EXcel Clean'!I603:I1602,"Entry Level",0)</f>
        <v>3</v>
      </c>
      <c r="C603" t="str">
        <f>_xlfn.XLOOKUP(A603,'Subbu- Mini Project EXcel Clean'!A603:A1602,'Subbu- Mini Project EXcel Clean'!J603:J1602," ",0)</f>
        <v>Excellent</v>
      </c>
      <c r="D603">
        <f>_xlfn.XLOOKUP(A603,'Subbu- Mini Project EXcel Clean'!A603:A1602,'Subbu- Mini Project EXcel Clean'!N603:N1602,"entry Level",0)</f>
        <v>7</v>
      </c>
      <c r="E603">
        <f>_xlfn.XLOOKUP(A603,'Subbu- Mini Project EXcel Clean'!A603:A1602,'Subbu- Mini Project EXcel Clean'!M603:M1602," ",0)</f>
        <v>82</v>
      </c>
      <c r="F603">
        <f>_xlfn.XLOOKUP(A603,'Subbu- Mini Project EXcel Clean'!A603:A1602,'Subbu- Mini Project EXcel Clean'!P603:P1602," ",0)</f>
        <v>2</v>
      </c>
      <c r="G603" t="str">
        <f>_xlfn.XLOOKUP(A603,'Subbu- Mini Project EXcel Clean'!A603:A1602,'Subbu- Mini Project EXcel Clean'!Q603:Q1602," ",0)</f>
        <v>Low</v>
      </c>
      <c r="H603">
        <f>VLOOKUP(A603,'Subbu- Mini Project EXcel Clean'!A602:R1602,15,FALSE)</f>
        <v>2.6</v>
      </c>
    </row>
    <row r="604" spans="1:8" x14ac:dyDescent="0.25">
      <c r="A604" t="s">
        <v>632</v>
      </c>
      <c r="B604">
        <f>_xlfn.XLOOKUP(A604,'Subbu- Mini Project EXcel Clean'!A604:A1603,'Subbu- Mini Project EXcel Clean'!I604:I1603,"Entry Level",0)</f>
        <v>5</v>
      </c>
      <c r="C604" t="str">
        <f>_xlfn.XLOOKUP(A604,'Subbu- Mini Project EXcel Clean'!A604:A1603,'Subbu- Mini Project EXcel Clean'!J604:J1603," ",0)</f>
        <v>Good</v>
      </c>
      <c r="D604">
        <f>_xlfn.XLOOKUP(A604,'Subbu- Mini Project EXcel Clean'!A604:A1603,'Subbu- Mini Project EXcel Clean'!N604:N1603,"entry Level",0)</f>
        <v>7</v>
      </c>
      <c r="E604">
        <f>_xlfn.XLOOKUP(A604,'Subbu- Mini Project EXcel Clean'!A604:A1603,'Subbu- Mini Project EXcel Clean'!M604:M1603," ",0)</f>
        <v>90.9</v>
      </c>
      <c r="F604">
        <f>_xlfn.XLOOKUP(A604,'Subbu- Mini Project EXcel Clean'!A604:A1603,'Subbu- Mini Project EXcel Clean'!P604:P1603," ",0)</f>
        <v>3</v>
      </c>
      <c r="G604" t="str">
        <f>_xlfn.XLOOKUP(A604,'Subbu- Mini Project EXcel Clean'!A604:A1603,'Subbu- Mini Project EXcel Clean'!Q604:Q1603," ",0)</f>
        <v>Moderate</v>
      </c>
      <c r="H604">
        <f>VLOOKUP(A604,'Subbu- Mini Project EXcel Clean'!A603:R1603,15,FALSE)</f>
        <v>3.3</v>
      </c>
    </row>
    <row r="605" spans="1:8" x14ac:dyDescent="0.25">
      <c r="A605" t="s">
        <v>633</v>
      </c>
      <c r="B605">
        <f>_xlfn.XLOOKUP(A605,'Subbu- Mini Project EXcel Clean'!A605:A1604,'Subbu- Mini Project EXcel Clean'!I605:I1604,"Entry Level",0)</f>
        <v>3</v>
      </c>
      <c r="C605" t="str">
        <f>_xlfn.XLOOKUP(A605,'Subbu- Mini Project EXcel Clean'!A605:A1604,'Subbu- Mini Project EXcel Clean'!J605:J1604," ",0)</f>
        <v>Excellent</v>
      </c>
      <c r="D605">
        <f>_xlfn.XLOOKUP(A605,'Subbu- Mini Project EXcel Clean'!A605:A1604,'Subbu- Mini Project EXcel Clean'!N605:N1604,"entry Level",0)</f>
        <v>7.3</v>
      </c>
      <c r="E605">
        <f>_xlfn.XLOOKUP(A605,'Subbu- Mini Project EXcel Clean'!A605:A1604,'Subbu- Mini Project EXcel Clean'!M605:M1604," ",0)</f>
        <v>77.7</v>
      </c>
      <c r="F605">
        <f>_xlfn.XLOOKUP(A605,'Subbu- Mini Project EXcel Clean'!A605:A1604,'Subbu- Mini Project EXcel Clean'!P605:P1604," ",0)</f>
        <v>2</v>
      </c>
      <c r="G605" t="str">
        <f>_xlfn.XLOOKUP(A605,'Subbu- Mini Project EXcel Clean'!A605:A1604,'Subbu- Mini Project EXcel Clean'!Q605:Q1604," ",0)</f>
        <v>Low</v>
      </c>
      <c r="H605">
        <f>VLOOKUP(A605,'Subbu- Mini Project EXcel Clean'!A604:R1604,15,FALSE)</f>
        <v>3</v>
      </c>
    </row>
    <row r="606" spans="1:8" x14ac:dyDescent="0.25">
      <c r="A606" t="s">
        <v>634</v>
      </c>
      <c r="B606">
        <f>_xlfn.XLOOKUP(A606,'Subbu- Mini Project EXcel Clean'!A606:A1605,'Subbu- Mini Project EXcel Clean'!I606:I1605,"Entry Level",0)</f>
        <v>4</v>
      </c>
      <c r="C606" t="str">
        <f>_xlfn.XLOOKUP(A606,'Subbu- Mini Project EXcel Clean'!A606:A1605,'Subbu- Mini Project EXcel Clean'!J606:J1605," ",0)</f>
        <v>Excellent</v>
      </c>
      <c r="D606">
        <f>_xlfn.XLOOKUP(A606,'Subbu- Mini Project EXcel Clean'!A606:A1605,'Subbu- Mini Project EXcel Clean'!N606:N1605,"entry Level",0)</f>
        <v>5.9</v>
      </c>
      <c r="E606">
        <f>_xlfn.XLOOKUP(A606,'Subbu- Mini Project EXcel Clean'!A606:A1605,'Subbu- Mini Project EXcel Clean'!M606:M1605," ",0)</f>
        <v>90.3</v>
      </c>
      <c r="F606">
        <f>_xlfn.XLOOKUP(A606,'Subbu- Mini Project EXcel Clean'!A606:A1605,'Subbu- Mini Project EXcel Clean'!P606:P1605," ",0)</f>
        <v>5</v>
      </c>
      <c r="G606" t="str">
        <f>_xlfn.XLOOKUP(A606,'Subbu- Mini Project EXcel Clean'!A606:A1605,'Subbu- Mini Project EXcel Clean'!Q606:Q1605," ",0)</f>
        <v>Moderate</v>
      </c>
      <c r="H606">
        <f>VLOOKUP(A606,'Subbu- Mini Project EXcel Clean'!A605:R1605,15,FALSE)</f>
        <v>5.3</v>
      </c>
    </row>
    <row r="607" spans="1:8" x14ac:dyDescent="0.25">
      <c r="A607" t="s">
        <v>635</v>
      </c>
      <c r="B607">
        <f>_xlfn.XLOOKUP(A607,'Subbu- Mini Project EXcel Clean'!A607:A1606,'Subbu- Mini Project EXcel Clean'!I607:I1606,"Entry Level",0)</f>
        <v>3</v>
      </c>
      <c r="C607" t="str">
        <f>_xlfn.XLOOKUP(A607,'Subbu- Mini Project EXcel Clean'!A607:A1606,'Subbu- Mini Project EXcel Clean'!J607:J1606," ",0)</f>
        <v>Consistent</v>
      </c>
      <c r="D607">
        <f>_xlfn.XLOOKUP(A607,'Subbu- Mini Project EXcel Clean'!A607:A1606,'Subbu- Mini Project EXcel Clean'!N607:N1606,"entry Level",0)</f>
        <v>6.7</v>
      </c>
      <c r="E607">
        <f>_xlfn.XLOOKUP(A607,'Subbu- Mini Project EXcel Clean'!A607:A1606,'Subbu- Mini Project EXcel Clean'!M607:M1606," ",0)</f>
        <v>68.5</v>
      </c>
      <c r="F607">
        <f>_xlfn.XLOOKUP(A607,'Subbu- Mini Project EXcel Clean'!A607:A1606,'Subbu- Mini Project EXcel Clean'!P607:P1606," ",0)</f>
        <v>5</v>
      </c>
      <c r="G607" t="str">
        <f>_xlfn.XLOOKUP(A607,'Subbu- Mini Project EXcel Clean'!A607:A1606,'Subbu- Mini Project EXcel Clean'!Q607:Q1606," ",0)</f>
        <v>Moderate</v>
      </c>
      <c r="H607">
        <f>VLOOKUP(A607,'Subbu- Mini Project EXcel Clean'!A606:R1606,15,FALSE)</f>
        <v>5.6</v>
      </c>
    </row>
    <row r="608" spans="1:8" x14ac:dyDescent="0.25">
      <c r="A608" t="s">
        <v>636</v>
      </c>
      <c r="B608">
        <f>_xlfn.XLOOKUP(A608,'Subbu- Mini Project EXcel Clean'!A608:A1607,'Subbu- Mini Project EXcel Clean'!I608:I1607,"Entry Level",0)</f>
        <v>1</v>
      </c>
      <c r="C608" t="str">
        <f>_xlfn.XLOOKUP(A608,'Subbu- Mini Project EXcel Clean'!A608:A1607,'Subbu- Mini Project EXcel Clean'!J608:J1607," ",0)</f>
        <v>Consistent</v>
      </c>
      <c r="D608">
        <f>_xlfn.XLOOKUP(A608,'Subbu- Mini Project EXcel Clean'!A608:A1607,'Subbu- Mini Project EXcel Clean'!N608:N1607,"entry Level",0)</f>
        <v>7.3</v>
      </c>
      <c r="E608">
        <f>_xlfn.XLOOKUP(A608,'Subbu- Mini Project EXcel Clean'!A608:A1607,'Subbu- Mini Project EXcel Clean'!M608:M1607," ",0)</f>
        <v>61.6</v>
      </c>
      <c r="F608">
        <f>_xlfn.XLOOKUP(A608,'Subbu- Mini Project EXcel Clean'!A608:A1607,'Subbu- Mini Project EXcel Clean'!P608:P1607," ",0)</f>
        <v>5</v>
      </c>
      <c r="G608" t="str">
        <f>_xlfn.XLOOKUP(A608,'Subbu- Mini Project EXcel Clean'!A608:A1607,'Subbu- Mini Project EXcel Clean'!Q608:Q1607," ",0)</f>
        <v>Moderate</v>
      </c>
      <c r="H608">
        <f>VLOOKUP(A608,'Subbu- Mini Project EXcel Clean'!A607:R1607,15,FALSE)</f>
        <v>2.5</v>
      </c>
    </row>
    <row r="609" spans="1:8" x14ac:dyDescent="0.25">
      <c r="A609" t="s">
        <v>637</v>
      </c>
      <c r="B609">
        <f>_xlfn.XLOOKUP(A609,'Subbu- Mini Project EXcel Clean'!A609:A1608,'Subbu- Mini Project EXcel Clean'!I609:I1608,"Entry Level",0)</f>
        <v>3</v>
      </c>
      <c r="C609" t="str">
        <f>_xlfn.XLOOKUP(A609,'Subbu- Mini Project EXcel Clean'!A609:A1608,'Subbu- Mini Project EXcel Clean'!J609:J1608," ",0)</f>
        <v>Consistent</v>
      </c>
      <c r="D609">
        <f>_xlfn.XLOOKUP(A609,'Subbu- Mini Project EXcel Clean'!A609:A1608,'Subbu- Mini Project EXcel Clean'!N609:N1608,"entry Level",0)</f>
        <v>5.5</v>
      </c>
      <c r="E609">
        <f>_xlfn.XLOOKUP(A609,'Subbu- Mini Project EXcel Clean'!A609:A1608,'Subbu- Mini Project EXcel Clean'!M609:M1608," ",0)</f>
        <v>73.3</v>
      </c>
      <c r="F609">
        <f>_xlfn.XLOOKUP(A609,'Subbu- Mini Project EXcel Clean'!A609:A1608,'Subbu- Mini Project EXcel Clean'!P609:P1608," ",0)</f>
        <v>6</v>
      </c>
      <c r="G609" t="str">
        <f>_xlfn.XLOOKUP(A609,'Subbu- Mini Project EXcel Clean'!A609:A1608,'Subbu- Mini Project EXcel Clean'!Q609:Q1608," ",0)</f>
        <v>High</v>
      </c>
      <c r="H609">
        <f>VLOOKUP(A609,'Subbu- Mini Project EXcel Clean'!A608:R1608,15,FALSE)</f>
        <v>5.3</v>
      </c>
    </row>
    <row r="610" spans="1:8" x14ac:dyDescent="0.25">
      <c r="A610" t="s">
        <v>638</v>
      </c>
      <c r="B610">
        <f>_xlfn.XLOOKUP(A610,'Subbu- Mini Project EXcel Clean'!A610:A1609,'Subbu- Mini Project EXcel Clean'!I610:I1609,"Entry Level",0)</f>
        <v>3</v>
      </c>
      <c r="C610" t="str">
        <f>_xlfn.XLOOKUP(A610,'Subbu- Mini Project EXcel Clean'!A610:A1609,'Subbu- Mini Project EXcel Clean'!J610:J1609," ",0)</f>
        <v>Consistent</v>
      </c>
      <c r="D610">
        <f>_xlfn.XLOOKUP(A610,'Subbu- Mini Project EXcel Clean'!A610:A1609,'Subbu- Mini Project EXcel Clean'!N610:N1609,"entry Level",0)</f>
        <v>6.1</v>
      </c>
      <c r="E610">
        <f>_xlfn.XLOOKUP(A610,'Subbu- Mini Project EXcel Clean'!A610:A1609,'Subbu- Mini Project EXcel Clean'!M610:M1609," ",0)</f>
        <v>78.5</v>
      </c>
      <c r="F610">
        <f>_xlfn.XLOOKUP(A610,'Subbu- Mini Project EXcel Clean'!A610:A1609,'Subbu- Mini Project EXcel Clean'!P610:P1609," ",0)</f>
        <v>5</v>
      </c>
      <c r="G610" t="str">
        <f>_xlfn.XLOOKUP(A610,'Subbu- Mini Project EXcel Clean'!A610:A1609,'Subbu- Mini Project EXcel Clean'!Q610:Q1609," ",0)</f>
        <v>Moderate</v>
      </c>
      <c r="H610">
        <f>VLOOKUP(A610,'Subbu- Mini Project EXcel Clean'!A609:R1609,15,FALSE)</f>
        <v>4.9000000000000004</v>
      </c>
    </row>
    <row r="611" spans="1:8" x14ac:dyDescent="0.25">
      <c r="A611" t="s">
        <v>639</v>
      </c>
      <c r="B611">
        <f>_xlfn.XLOOKUP(A611,'Subbu- Mini Project EXcel Clean'!A611:A1610,'Subbu- Mini Project EXcel Clean'!I611:I1610,"Entry Level",0)</f>
        <v>5</v>
      </c>
      <c r="C611" t="str">
        <f>_xlfn.XLOOKUP(A611,'Subbu- Mini Project EXcel Clean'!A611:A1610,'Subbu- Mini Project EXcel Clean'!J611:J1610," ",0)</f>
        <v>Good</v>
      </c>
      <c r="D611">
        <f>_xlfn.XLOOKUP(A611,'Subbu- Mini Project EXcel Clean'!A611:A1610,'Subbu- Mini Project EXcel Clean'!N611:N1610,"entry Level",0)</f>
        <v>6.1</v>
      </c>
      <c r="E611">
        <f>_xlfn.XLOOKUP(A611,'Subbu- Mini Project EXcel Clean'!A611:A1610,'Subbu- Mini Project EXcel Clean'!M611:M1610," ",0)</f>
        <v>103.7</v>
      </c>
      <c r="F611">
        <f>_xlfn.XLOOKUP(A611,'Subbu- Mini Project EXcel Clean'!A611:A1610,'Subbu- Mini Project EXcel Clean'!P611:P1610," ",0)</f>
        <v>3</v>
      </c>
      <c r="G611" t="str">
        <f>_xlfn.XLOOKUP(A611,'Subbu- Mini Project EXcel Clean'!A611:A1610,'Subbu- Mini Project EXcel Clean'!Q611:Q1610," ",0)</f>
        <v>Low</v>
      </c>
      <c r="H611">
        <f>VLOOKUP(A611,'Subbu- Mini Project EXcel Clean'!A610:R1610,15,FALSE)</f>
        <v>5.7</v>
      </c>
    </row>
    <row r="612" spans="1:8" x14ac:dyDescent="0.25">
      <c r="A612" t="s">
        <v>640</v>
      </c>
      <c r="B612">
        <f>_xlfn.XLOOKUP(A612,'Subbu- Mini Project EXcel Clean'!A612:A1611,'Subbu- Mini Project EXcel Clean'!I612:I1611,"Entry Level",0)</f>
        <v>2</v>
      </c>
      <c r="C612" t="str">
        <f>_xlfn.XLOOKUP(A612,'Subbu- Mini Project EXcel Clean'!A612:A1611,'Subbu- Mini Project EXcel Clean'!J612:J1611," ",0)</f>
        <v>Consistent</v>
      </c>
      <c r="D612">
        <f>_xlfn.XLOOKUP(A612,'Subbu- Mini Project EXcel Clean'!A612:A1611,'Subbu- Mini Project EXcel Clean'!N612:N1611,"entry Level",0)</f>
        <v>7.3</v>
      </c>
      <c r="E612">
        <f>_xlfn.XLOOKUP(A612,'Subbu- Mini Project EXcel Clean'!A612:A1611,'Subbu- Mini Project EXcel Clean'!M612:M1611," ",0)</f>
        <v>63.3</v>
      </c>
      <c r="F612">
        <f>_xlfn.XLOOKUP(A612,'Subbu- Mini Project EXcel Clean'!A612:A1611,'Subbu- Mini Project EXcel Clean'!P612:P1611," ",0)</f>
        <v>4</v>
      </c>
      <c r="G612" t="str">
        <f>_xlfn.XLOOKUP(A612,'Subbu- Mini Project EXcel Clean'!A612:A1611,'Subbu- Mini Project EXcel Clean'!Q612:Q1611," ",0)</f>
        <v>Moderate</v>
      </c>
      <c r="H612">
        <f>VLOOKUP(A612,'Subbu- Mini Project EXcel Clean'!A611:R1611,15,FALSE)</f>
        <v>2.2000000000000002</v>
      </c>
    </row>
    <row r="613" spans="1:8" x14ac:dyDescent="0.25">
      <c r="A613" t="s">
        <v>641</v>
      </c>
      <c r="B613">
        <f>_xlfn.XLOOKUP(A613,'Subbu- Mini Project EXcel Clean'!A613:A1612,'Subbu- Mini Project EXcel Clean'!I613:I1612,"Entry Level",0)</f>
        <v>5</v>
      </c>
      <c r="C613" t="str">
        <f>_xlfn.XLOOKUP(A613,'Subbu- Mini Project EXcel Clean'!A613:A1612,'Subbu- Mini Project EXcel Clean'!J613:J1612," ",0)</f>
        <v>Good</v>
      </c>
      <c r="D613">
        <f>_xlfn.XLOOKUP(A613,'Subbu- Mini Project EXcel Clean'!A613:A1612,'Subbu- Mini Project EXcel Clean'!N613:N1612,"entry Level",0)</f>
        <v>7.8</v>
      </c>
      <c r="E613">
        <f>_xlfn.XLOOKUP(A613,'Subbu- Mini Project EXcel Clean'!A613:A1612,'Subbu- Mini Project EXcel Clean'!M613:M1612," ",0)</f>
        <v>89.4</v>
      </c>
      <c r="F613">
        <f>_xlfn.XLOOKUP(A613,'Subbu- Mini Project EXcel Clean'!A613:A1612,'Subbu- Mini Project EXcel Clean'!P613:P1612," ",0)</f>
        <v>2</v>
      </c>
      <c r="G613" t="str">
        <f>_xlfn.XLOOKUP(A613,'Subbu- Mini Project EXcel Clean'!A613:A1612,'Subbu- Mini Project EXcel Clean'!Q613:Q1612," ",0)</f>
        <v>Low</v>
      </c>
      <c r="H613">
        <f>VLOOKUP(A613,'Subbu- Mini Project EXcel Clean'!A612:R1612,15,FALSE)</f>
        <v>3.9</v>
      </c>
    </row>
    <row r="614" spans="1:8" x14ac:dyDescent="0.25">
      <c r="A614" t="s">
        <v>642</v>
      </c>
      <c r="B614">
        <f>_xlfn.XLOOKUP(A614,'Subbu- Mini Project EXcel Clean'!A614:A1613,'Subbu- Mini Project EXcel Clean'!I614:I1613,"Entry Level",0)</f>
        <v>5</v>
      </c>
      <c r="C614" t="str">
        <f>_xlfn.XLOOKUP(A614,'Subbu- Mini Project EXcel Clean'!A614:A1613,'Subbu- Mini Project EXcel Clean'!J614:J1613," ",0)</f>
        <v>Good</v>
      </c>
      <c r="D614">
        <f>_xlfn.XLOOKUP(A614,'Subbu- Mini Project EXcel Clean'!A614:A1613,'Subbu- Mini Project EXcel Clean'!N614:N1613,"entry Level",0)</f>
        <v>7.4</v>
      </c>
      <c r="E614">
        <f>_xlfn.XLOOKUP(A614,'Subbu- Mini Project EXcel Clean'!A614:A1613,'Subbu- Mini Project EXcel Clean'!M614:M1613," ",0)</f>
        <v>97.7</v>
      </c>
      <c r="F614">
        <f>_xlfn.XLOOKUP(A614,'Subbu- Mini Project EXcel Clean'!A614:A1613,'Subbu- Mini Project EXcel Clean'!P614:P1613," ",0)</f>
        <v>5</v>
      </c>
      <c r="G614" t="str">
        <f>_xlfn.XLOOKUP(A614,'Subbu- Mini Project EXcel Clean'!A614:A1613,'Subbu- Mini Project EXcel Clean'!Q614:Q1613," ",0)</f>
        <v>Moderate</v>
      </c>
      <c r="H614">
        <f>VLOOKUP(A614,'Subbu- Mini Project EXcel Clean'!A613:R1613,15,FALSE)</f>
        <v>2.4</v>
      </c>
    </row>
    <row r="615" spans="1:8" x14ac:dyDescent="0.25">
      <c r="A615" t="s">
        <v>643</v>
      </c>
      <c r="B615">
        <f>_xlfn.XLOOKUP(A615,'Subbu- Mini Project EXcel Clean'!A615:A1614,'Subbu- Mini Project EXcel Clean'!I615:I1614,"Entry Level",0)</f>
        <v>2</v>
      </c>
      <c r="C615" t="str">
        <f>_xlfn.XLOOKUP(A615,'Subbu- Mini Project EXcel Clean'!A615:A1614,'Subbu- Mini Project EXcel Clean'!J615:J1614," ",0)</f>
        <v>Consistent</v>
      </c>
      <c r="D615">
        <f>_xlfn.XLOOKUP(A615,'Subbu- Mini Project EXcel Clean'!A615:A1614,'Subbu- Mini Project EXcel Clean'!N615:N1614,"entry Level",0)</f>
        <v>6</v>
      </c>
      <c r="E615">
        <f>_xlfn.XLOOKUP(A615,'Subbu- Mini Project EXcel Clean'!A615:A1614,'Subbu- Mini Project EXcel Clean'!M615:M1614," ",0)</f>
        <v>70</v>
      </c>
      <c r="F615">
        <f>_xlfn.XLOOKUP(A615,'Subbu- Mini Project EXcel Clean'!A615:A1614,'Subbu- Mini Project EXcel Clean'!P615:P1614," ",0)</f>
        <v>6</v>
      </c>
      <c r="G615" t="str">
        <f>_xlfn.XLOOKUP(A615,'Subbu- Mini Project EXcel Clean'!A615:A1614,'Subbu- Mini Project EXcel Clean'!Q615:Q1614," ",0)</f>
        <v>High</v>
      </c>
      <c r="H615">
        <f>VLOOKUP(A615,'Subbu- Mini Project EXcel Clean'!A614:R1614,15,FALSE)</f>
        <v>5.0999999999999996</v>
      </c>
    </row>
    <row r="616" spans="1:8" x14ac:dyDescent="0.25">
      <c r="A616" t="s">
        <v>644</v>
      </c>
      <c r="B616">
        <f>_xlfn.XLOOKUP(A616,'Subbu- Mini Project EXcel Clean'!A616:A1615,'Subbu- Mini Project EXcel Clean'!I616:I1615,"Entry Level",0)</f>
        <v>2</v>
      </c>
      <c r="C616" t="str">
        <f>_xlfn.XLOOKUP(A616,'Subbu- Mini Project EXcel Clean'!A616:A1615,'Subbu- Mini Project EXcel Clean'!J616:J1615," ",0)</f>
        <v>Consistent</v>
      </c>
      <c r="D616">
        <f>_xlfn.XLOOKUP(A616,'Subbu- Mini Project EXcel Clean'!A616:A1615,'Subbu- Mini Project EXcel Clean'!N616:N1615,"entry Level",0)</f>
        <v>7.8</v>
      </c>
      <c r="E616">
        <f>_xlfn.XLOOKUP(A616,'Subbu- Mini Project EXcel Clean'!A616:A1615,'Subbu- Mini Project EXcel Clean'!M616:M1615," ",0)</f>
        <v>75</v>
      </c>
      <c r="F616">
        <f>_xlfn.XLOOKUP(A616,'Subbu- Mini Project EXcel Clean'!A616:A1615,'Subbu- Mini Project EXcel Clean'!P616:P1615," ",0)</f>
        <v>2</v>
      </c>
      <c r="G616" t="str">
        <f>_xlfn.XLOOKUP(A616,'Subbu- Mini Project EXcel Clean'!A616:A1615,'Subbu- Mini Project EXcel Clean'!Q616:Q1615," ",0)</f>
        <v>Low</v>
      </c>
      <c r="H616">
        <f>VLOOKUP(A616,'Subbu- Mini Project EXcel Clean'!A615:R1615,15,FALSE)</f>
        <v>1</v>
      </c>
    </row>
    <row r="617" spans="1:8" x14ac:dyDescent="0.25">
      <c r="A617" t="s">
        <v>645</v>
      </c>
      <c r="B617">
        <f>_xlfn.XLOOKUP(A617,'Subbu- Mini Project EXcel Clean'!A617:A1616,'Subbu- Mini Project EXcel Clean'!I617:I1616,"Entry Level",0)</f>
        <v>5</v>
      </c>
      <c r="C617" t="str">
        <f>_xlfn.XLOOKUP(A617,'Subbu- Mini Project EXcel Clean'!A617:A1616,'Subbu- Mini Project EXcel Clean'!J617:J1616," ",0)</f>
        <v>Good</v>
      </c>
      <c r="D617">
        <f>_xlfn.XLOOKUP(A617,'Subbu- Mini Project EXcel Clean'!A617:A1616,'Subbu- Mini Project EXcel Clean'!N617:N1616,"entry Level",0)</f>
        <v>6.7</v>
      </c>
      <c r="E617">
        <f>_xlfn.XLOOKUP(A617,'Subbu- Mini Project EXcel Clean'!A617:A1616,'Subbu- Mini Project EXcel Clean'!M617:M1616," ",0)</f>
        <v>93.6</v>
      </c>
      <c r="F617">
        <f>_xlfn.XLOOKUP(A617,'Subbu- Mini Project EXcel Clean'!A617:A1616,'Subbu- Mini Project EXcel Clean'!P617:P1616," ",0)</f>
        <v>6</v>
      </c>
      <c r="G617" t="str">
        <f>_xlfn.XLOOKUP(A617,'Subbu- Mini Project EXcel Clean'!A617:A1616,'Subbu- Mini Project EXcel Clean'!Q617:Q1616," ",0)</f>
        <v>High</v>
      </c>
      <c r="H617">
        <f>VLOOKUP(A617,'Subbu- Mini Project EXcel Clean'!A616:R1616,15,FALSE)</f>
        <v>3.8</v>
      </c>
    </row>
    <row r="618" spans="1:8" x14ac:dyDescent="0.25">
      <c r="A618" t="s">
        <v>646</v>
      </c>
      <c r="B618">
        <f>_xlfn.XLOOKUP(A618,'Subbu- Mini Project EXcel Clean'!A618:A1617,'Subbu- Mini Project EXcel Clean'!I618:I1617,"Entry Level",0)</f>
        <v>5</v>
      </c>
      <c r="C618" t="str">
        <f>_xlfn.XLOOKUP(A618,'Subbu- Mini Project EXcel Clean'!A618:A1617,'Subbu- Mini Project EXcel Clean'!J618:J1617," ",0)</f>
        <v>Good</v>
      </c>
      <c r="D618">
        <f>_xlfn.XLOOKUP(A618,'Subbu- Mini Project EXcel Clean'!A618:A1617,'Subbu- Mini Project EXcel Clean'!N618:N1617,"entry Level",0)</f>
        <v>7.4</v>
      </c>
      <c r="E618">
        <f>_xlfn.XLOOKUP(A618,'Subbu- Mini Project EXcel Clean'!A618:A1617,'Subbu- Mini Project EXcel Clean'!M618:M1617," ",0)</f>
        <v>97.7</v>
      </c>
      <c r="F618">
        <f>_xlfn.XLOOKUP(A618,'Subbu- Mini Project EXcel Clean'!A618:A1617,'Subbu- Mini Project EXcel Clean'!P618:P1617," ",0)</f>
        <v>1</v>
      </c>
      <c r="G618" t="str">
        <f>_xlfn.XLOOKUP(A618,'Subbu- Mini Project EXcel Clean'!A618:A1617,'Subbu- Mini Project EXcel Clean'!Q618:Q1617," ",0)</f>
        <v>Low</v>
      </c>
      <c r="H618">
        <f>VLOOKUP(A618,'Subbu- Mini Project EXcel Clean'!A617:R1617,15,FALSE)</f>
        <v>2.7</v>
      </c>
    </row>
    <row r="619" spans="1:8" x14ac:dyDescent="0.25">
      <c r="A619" t="s">
        <v>647</v>
      </c>
      <c r="B619">
        <f>_xlfn.XLOOKUP(A619,'Subbu- Mini Project EXcel Clean'!A619:A1618,'Subbu- Mini Project EXcel Clean'!I619:I1618,"Entry Level",0)</f>
        <v>3</v>
      </c>
      <c r="C619" t="str">
        <f>_xlfn.XLOOKUP(A619,'Subbu- Mini Project EXcel Clean'!A619:A1618,'Subbu- Mini Project EXcel Clean'!J619:J1618," ",0)</f>
        <v>Consistent</v>
      </c>
      <c r="D619">
        <f>_xlfn.XLOOKUP(A619,'Subbu- Mini Project EXcel Clean'!A619:A1618,'Subbu- Mini Project EXcel Clean'!N619:N1618,"entry Level",0)</f>
        <v>7.5</v>
      </c>
      <c r="E619">
        <f>_xlfn.XLOOKUP(A619,'Subbu- Mini Project EXcel Clean'!A619:A1618,'Subbu- Mini Project EXcel Clean'!M619:M1618," ",0)</f>
        <v>79.599999999999994</v>
      </c>
      <c r="F619">
        <f>_xlfn.XLOOKUP(A619,'Subbu- Mini Project EXcel Clean'!A619:A1618,'Subbu- Mini Project EXcel Clean'!P619:P1618," ",0)</f>
        <v>1</v>
      </c>
      <c r="G619" t="str">
        <f>_xlfn.XLOOKUP(A619,'Subbu- Mini Project EXcel Clean'!A619:A1618,'Subbu- Mini Project EXcel Clean'!Q619:Q1618," ",0)</f>
        <v>Low</v>
      </c>
      <c r="H619">
        <f>VLOOKUP(A619,'Subbu- Mini Project EXcel Clean'!A618:R1618,15,FALSE)</f>
        <v>2.6</v>
      </c>
    </row>
    <row r="620" spans="1:8" x14ac:dyDescent="0.25">
      <c r="A620" t="s">
        <v>648</v>
      </c>
      <c r="B620">
        <f>_xlfn.XLOOKUP(A620,'Subbu- Mini Project EXcel Clean'!A620:A1619,'Subbu- Mini Project EXcel Clean'!I620:I1619,"Entry Level",0)</f>
        <v>2</v>
      </c>
      <c r="C620" t="str">
        <f>_xlfn.XLOOKUP(A620,'Subbu- Mini Project EXcel Clean'!A620:A1619,'Subbu- Mini Project EXcel Clean'!J620:J1619," ",0)</f>
        <v>Consistent</v>
      </c>
      <c r="D620">
        <f>_xlfn.XLOOKUP(A620,'Subbu- Mini Project EXcel Clean'!A620:A1619,'Subbu- Mini Project EXcel Clean'!N620:N1619,"entry Level",0)</f>
        <v>7.3</v>
      </c>
      <c r="E620">
        <f>_xlfn.XLOOKUP(A620,'Subbu- Mini Project EXcel Clean'!A620:A1619,'Subbu- Mini Project EXcel Clean'!M620:M1619," ",0)</f>
        <v>78</v>
      </c>
      <c r="F620">
        <f>_xlfn.XLOOKUP(A620,'Subbu- Mini Project EXcel Clean'!A620:A1619,'Subbu- Mini Project EXcel Clean'!P620:P1619," ",0)</f>
        <v>4</v>
      </c>
      <c r="G620" t="str">
        <f>_xlfn.XLOOKUP(A620,'Subbu- Mini Project EXcel Clean'!A620:A1619,'Subbu- Mini Project EXcel Clean'!Q620:Q1619," ",0)</f>
        <v>Moderate</v>
      </c>
      <c r="H620">
        <f>VLOOKUP(A620,'Subbu- Mini Project EXcel Clean'!A619:R1619,15,FALSE)</f>
        <v>4.2</v>
      </c>
    </row>
    <row r="621" spans="1:8" x14ac:dyDescent="0.25">
      <c r="A621" t="s">
        <v>649</v>
      </c>
      <c r="B621">
        <f>_xlfn.XLOOKUP(A621,'Subbu- Mini Project EXcel Clean'!A621:A1620,'Subbu- Mini Project EXcel Clean'!I621:I1620,"Entry Level",0)</f>
        <v>3</v>
      </c>
      <c r="C621" t="str">
        <f>_xlfn.XLOOKUP(A621,'Subbu- Mini Project EXcel Clean'!A621:A1620,'Subbu- Mini Project EXcel Clean'!J621:J1620," ",0)</f>
        <v>Excellent</v>
      </c>
      <c r="D621">
        <f>_xlfn.XLOOKUP(A621,'Subbu- Mini Project EXcel Clean'!A621:A1620,'Subbu- Mini Project EXcel Clean'!N621:N1620,"entry Level",0)</f>
        <v>6.4</v>
      </c>
      <c r="E621">
        <f>_xlfn.XLOOKUP(A621,'Subbu- Mini Project EXcel Clean'!A621:A1620,'Subbu- Mini Project EXcel Clean'!M621:M1620," ",0)</f>
        <v>71.3</v>
      </c>
      <c r="F621">
        <f>_xlfn.XLOOKUP(A621,'Subbu- Mini Project EXcel Clean'!A621:A1620,'Subbu- Mini Project EXcel Clean'!P621:P1620," ",0)</f>
        <v>5</v>
      </c>
      <c r="G621" t="str">
        <f>_xlfn.XLOOKUP(A621,'Subbu- Mini Project EXcel Clean'!A621:A1620,'Subbu- Mini Project EXcel Clean'!Q621:Q1620," ",0)</f>
        <v>Moderate</v>
      </c>
      <c r="H621">
        <f>VLOOKUP(A621,'Subbu- Mini Project EXcel Clean'!A620:R1620,15,FALSE)</f>
        <v>5.3</v>
      </c>
    </row>
    <row r="622" spans="1:8" x14ac:dyDescent="0.25">
      <c r="A622" t="s">
        <v>650</v>
      </c>
      <c r="B622">
        <f>_xlfn.XLOOKUP(A622,'Subbu- Mini Project EXcel Clean'!A622:A1621,'Subbu- Mini Project EXcel Clean'!I622:I1621,"Entry Level",0)</f>
        <v>4</v>
      </c>
      <c r="C622" t="str">
        <f>_xlfn.XLOOKUP(A622,'Subbu- Mini Project EXcel Clean'!A622:A1621,'Subbu- Mini Project EXcel Clean'!J622:J1621," ",0)</f>
        <v>Excellent</v>
      </c>
      <c r="D622">
        <f>_xlfn.XLOOKUP(A622,'Subbu- Mini Project EXcel Clean'!A622:A1621,'Subbu- Mini Project EXcel Clean'!N622:N1621,"entry Level",0)</f>
        <v>7.6</v>
      </c>
      <c r="E622">
        <f>_xlfn.XLOOKUP(A622,'Subbu- Mini Project EXcel Clean'!A622:A1621,'Subbu- Mini Project EXcel Clean'!M622:M1621," ",0)</f>
        <v>85.7</v>
      </c>
      <c r="F622">
        <f>_xlfn.XLOOKUP(A622,'Subbu- Mini Project EXcel Clean'!A622:A1621,'Subbu- Mini Project EXcel Clean'!P622:P1621," ",0)</f>
        <v>2</v>
      </c>
      <c r="G622" t="str">
        <f>_xlfn.XLOOKUP(A622,'Subbu- Mini Project EXcel Clean'!A622:A1621,'Subbu- Mini Project EXcel Clean'!Q622:Q1621," ",0)</f>
        <v>Low</v>
      </c>
      <c r="H622">
        <f>VLOOKUP(A622,'Subbu- Mini Project EXcel Clean'!A621:R1621,15,FALSE)</f>
        <v>4</v>
      </c>
    </row>
    <row r="623" spans="1:8" x14ac:dyDescent="0.25">
      <c r="A623" t="s">
        <v>651</v>
      </c>
      <c r="B623">
        <f>_xlfn.XLOOKUP(A623,'Subbu- Mini Project EXcel Clean'!A623:A1622,'Subbu- Mini Project EXcel Clean'!I623:I1622,"Entry Level",0)</f>
        <v>2</v>
      </c>
      <c r="C623" t="str">
        <f>_xlfn.XLOOKUP(A623,'Subbu- Mini Project EXcel Clean'!A623:A1622,'Subbu- Mini Project EXcel Clean'!J623:J1622," ",0)</f>
        <v>Consistent</v>
      </c>
      <c r="D623">
        <f>_xlfn.XLOOKUP(A623,'Subbu- Mini Project EXcel Clean'!A623:A1622,'Subbu- Mini Project EXcel Clean'!N623:N1622,"entry Level",0)</f>
        <v>6.9</v>
      </c>
      <c r="E623">
        <f>_xlfn.XLOOKUP(A623,'Subbu- Mini Project EXcel Clean'!A623:A1622,'Subbu- Mini Project EXcel Clean'!M623:M1622," ",0)</f>
        <v>72</v>
      </c>
      <c r="F623">
        <f>_xlfn.XLOOKUP(A623,'Subbu- Mini Project EXcel Clean'!A623:A1622,'Subbu- Mini Project EXcel Clean'!P623:P1622," ",0)</f>
        <v>1</v>
      </c>
      <c r="G623" t="str">
        <f>_xlfn.XLOOKUP(A623,'Subbu- Mini Project EXcel Clean'!A623:A1622,'Subbu- Mini Project EXcel Clean'!Q623:Q1622," ",0)</f>
        <v>Low</v>
      </c>
      <c r="H623">
        <f>VLOOKUP(A623,'Subbu- Mini Project EXcel Clean'!A622:R1622,15,FALSE)</f>
        <v>5.3</v>
      </c>
    </row>
    <row r="624" spans="1:8" x14ac:dyDescent="0.25">
      <c r="A624" t="s">
        <v>652</v>
      </c>
      <c r="B624">
        <f>_xlfn.XLOOKUP(A624,'Subbu- Mini Project EXcel Clean'!A624:A1623,'Subbu- Mini Project EXcel Clean'!I624:I1623,"Entry Level",0)</f>
        <v>4</v>
      </c>
      <c r="C624" t="str">
        <f>_xlfn.XLOOKUP(A624,'Subbu- Mini Project EXcel Clean'!A624:A1623,'Subbu- Mini Project EXcel Clean'!J624:J1623," ",0)</f>
        <v>Excellent</v>
      </c>
      <c r="D624">
        <f>_xlfn.XLOOKUP(A624,'Subbu- Mini Project EXcel Clean'!A624:A1623,'Subbu- Mini Project EXcel Clean'!N624:N1623,"entry Level",0)</f>
        <v>6.9</v>
      </c>
      <c r="E624">
        <f>_xlfn.XLOOKUP(A624,'Subbu- Mini Project EXcel Clean'!A624:A1623,'Subbu- Mini Project EXcel Clean'!M624:M1623," ",0)</f>
        <v>84.9</v>
      </c>
      <c r="F624">
        <f>_xlfn.XLOOKUP(A624,'Subbu- Mini Project EXcel Clean'!A624:A1623,'Subbu- Mini Project EXcel Clean'!P624:P1623," ",0)</f>
        <v>1</v>
      </c>
      <c r="G624" t="str">
        <f>_xlfn.XLOOKUP(A624,'Subbu- Mini Project EXcel Clean'!A624:A1623,'Subbu- Mini Project EXcel Clean'!Q624:Q1623," ",0)</f>
        <v>Low</v>
      </c>
      <c r="H624">
        <f>VLOOKUP(A624,'Subbu- Mini Project EXcel Clean'!A623:R1623,15,FALSE)</f>
        <v>2.2999999999999998</v>
      </c>
    </row>
    <row r="625" spans="1:8" x14ac:dyDescent="0.25">
      <c r="A625" t="s">
        <v>653</v>
      </c>
      <c r="B625">
        <f>_xlfn.XLOOKUP(A625,'Subbu- Mini Project EXcel Clean'!A625:A1624,'Subbu- Mini Project EXcel Clean'!I625:I1624,"Entry Level",0)</f>
        <v>1</v>
      </c>
      <c r="C625" t="str">
        <f>_xlfn.XLOOKUP(A625,'Subbu- Mini Project EXcel Clean'!A625:A1624,'Subbu- Mini Project EXcel Clean'!J625:J1624," ",0)</f>
        <v>Consistent</v>
      </c>
      <c r="D625">
        <f>_xlfn.XLOOKUP(A625,'Subbu- Mini Project EXcel Clean'!A625:A1624,'Subbu- Mini Project EXcel Clean'!N625:N1624,"entry Level",0)</f>
        <v>8</v>
      </c>
      <c r="E625">
        <f>_xlfn.XLOOKUP(A625,'Subbu- Mini Project EXcel Clean'!A625:A1624,'Subbu- Mini Project EXcel Clean'!M625:M1624," ",0)</f>
        <v>70.7</v>
      </c>
      <c r="F625">
        <f>_xlfn.XLOOKUP(A625,'Subbu- Mini Project EXcel Clean'!A625:A1624,'Subbu- Mini Project EXcel Clean'!P625:P1624," ",0)</f>
        <v>1</v>
      </c>
      <c r="G625" t="str">
        <f>_xlfn.XLOOKUP(A625,'Subbu- Mini Project EXcel Clean'!A625:A1624,'Subbu- Mini Project EXcel Clean'!Q625:Q1624," ",0)</f>
        <v>Low</v>
      </c>
      <c r="H625">
        <f>VLOOKUP(A625,'Subbu- Mini Project EXcel Clean'!A624:R1624,15,FALSE)</f>
        <v>3.6</v>
      </c>
    </row>
    <row r="626" spans="1:8" x14ac:dyDescent="0.25">
      <c r="A626" t="s">
        <v>654</v>
      </c>
      <c r="B626">
        <f>_xlfn.XLOOKUP(A626,'Subbu- Mini Project EXcel Clean'!A626:A1625,'Subbu- Mini Project EXcel Clean'!I626:I1625,"Entry Level",0)</f>
        <v>1</v>
      </c>
      <c r="C626" t="str">
        <f>_xlfn.XLOOKUP(A626,'Subbu- Mini Project EXcel Clean'!A626:A1625,'Subbu- Mini Project EXcel Clean'!J626:J1625," ",0)</f>
        <v>Consistent</v>
      </c>
      <c r="D626">
        <f>_xlfn.XLOOKUP(A626,'Subbu- Mini Project EXcel Clean'!A626:A1625,'Subbu- Mini Project EXcel Clean'!N626:N1625,"entry Level",0)</f>
        <v>7.2</v>
      </c>
      <c r="E626">
        <f>_xlfn.XLOOKUP(A626,'Subbu- Mini Project EXcel Clean'!A626:A1625,'Subbu- Mini Project EXcel Clean'!M626:M1625," ",0)</f>
        <v>58.8</v>
      </c>
      <c r="F626">
        <f>_xlfn.XLOOKUP(A626,'Subbu- Mini Project EXcel Clean'!A626:A1625,'Subbu- Mini Project EXcel Clean'!P626:P1625," ",0)</f>
        <v>4</v>
      </c>
      <c r="G626" t="str">
        <f>_xlfn.XLOOKUP(A626,'Subbu- Mini Project EXcel Clean'!A626:A1625,'Subbu- Mini Project EXcel Clean'!Q626:Q1625," ",0)</f>
        <v>Moderate</v>
      </c>
      <c r="H626">
        <f>VLOOKUP(A626,'Subbu- Mini Project EXcel Clean'!A625:R1625,15,FALSE)</f>
        <v>3.3</v>
      </c>
    </row>
    <row r="627" spans="1:8" x14ac:dyDescent="0.25">
      <c r="A627" t="s">
        <v>655</v>
      </c>
      <c r="B627">
        <f>_xlfn.XLOOKUP(A627,'Subbu- Mini Project EXcel Clean'!A627:A1626,'Subbu- Mini Project EXcel Clean'!I627:I1626,"Entry Level",0)</f>
        <v>3</v>
      </c>
      <c r="C627" t="str">
        <f>_xlfn.XLOOKUP(A627,'Subbu- Mini Project EXcel Clean'!A627:A1626,'Subbu- Mini Project EXcel Clean'!J627:J1626," ",0)</f>
        <v>Consistent</v>
      </c>
      <c r="D627">
        <f>_xlfn.XLOOKUP(A627,'Subbu- Mini Project EXcel Clean'!A627:A1626,'Subbu- Mini Project EXcel Clean'!N627:N1626,"entry Level",0)</f>
        <v>7.3</v>
      </c>
      <c r="E627">
        <f>_xlfn.XLOOKUP(A627,'Subbu- Mini Project EXcel Clean'!A627:A1626,'Subbu- Mini Project EXcel Clean'!M627:M1626," ",0)</f>
        <v>75.2</v>
      </c>
      <c r="F627">
        <f>_xlfn.XLOOKUP(A627,'Subbu- Mini Project EXcel Clean'!A627:A1626,'Subbu- Mini Project EXcel Clean'!P627:P1626," ",0)</f>
        <v>1</v>
      </c>
      <c r="G627" t="str">
        <f>_xlfn.XLOOKUP(A627,'Subbu- Mini Project EXcel Clean'!A627:A1626,'Subbu- Mini Project EXcel Clean'!Q627:Q1626," ",0)</f>
        <v>Low</v>
      </c>
      <c r="H627">
        <f>VLOOKUP(A627,'Subbu- Mini Project EXcel Clean'!A626:R1626,15,FALSE)</f>
        <v>1.1000000000000001</v>
      </c>
    </row>
    <row r="628" spans="1:8" x14ac:dyDescent="0.25">
      <c r="A628" t="s">
        <v>656</v>
      </c>
      <c r="B628">
        <f>_xlfn.XLOOKUP(A628,'Subbu- Mini Project EXcel Clean'!A628:A1627,'Subbu- Mini Project EXcel Clean'!I628:I1627,"Entry Level",0)</f>
        <v>2</v>
      </c>
      <c r="C628" t="str">
        <f>_xlfn.XLOOKUP(A628,'Subbu- Mini Project EXcel Clean'!A628:A1627,'Subbu- Mini Project EXcel Clean'!J628:J1627," ",0)</f>
        <v>Consistent</v>
      </c>
      <c r="D628">
        <f>_xlfn.XLOOKUP(A628,'Subbu- Mini Project EXcel Clean'!A628:A1627,'Subbu- Mini Project EXcel Clean'!N628:N1627,"entry Level",0)</f>
        <v>7.7</v>
      </c>
      <c r="E628">
        <f>_xlfn.XLOOKUP(A628,'Subbu- Mini Project EXcel Clean'!A628:A1627,'Subbu- Mini Project EXcel Clean'!M628:M1627," ",0)</f>
        <v>76.900000000000006</v>
      </c>
      <c r="F628">
        <f>_xlfn.XLOOKUP(A628,'Subbu- Mini Project EXcel Clean'!A628:A1627,'Subbu- Mini Project EXcel Clean'!P628:P1627," ",0)</f>
        <v>4</v>
      </c>
      <c r="G628" t="str">
        <f>_xlfn.XLOOKUP(A628,'Subbu- Mini Project EXcel Clean'!A628:A1627,'Subbu- Mini Project EXcel Clean'!Q628:Q1627," ",0)</f>
        <v>Moderate</v>
      </c>
      <c r="H628">
        <f>VLOOKUP(A628,'Subbu- Mini Project EXcel Clean'!A627:R1627,15,FALSE)</f>
        <v>3.8</v>
      </c>
    </row>
    <row r="629" spans="1:8" x14ac:dyDescent="0.25">
      <c r="A629" t="s">
        <v>657</v>
      </c>
      <c r="B629">
        <f>_xlfn.XLOOKUP(A629,'Subbu- Mini Project EXcel Clean'!A629:A1628,'Subbu- Mini Project EXcel Clean'!I629:I1628,"Entry Level",0)</f>
        <v>2</v>
      </c>
      <c r="C629" t="str">
        <f>_xlfn.XLOOKUP(A629,'Subbu- Mini Project EXcel Clean'!A629:A1628,'Subbu- Mini Project EXcel Clean'!J629:J1628," ",0)</f>
        <v>Consistent</v>
      </c>
      <c r="D629">
        <f>_xlfn.XLOOKUP(A629,'Subbu- Mini Project EXcel Clean'!A629:A1628,'Subbu- Mini Project EXcel Clean'!N629:N1628,"entry Level",0)</f>
        <v>7.7</v>
      </c>
      <c r="E629">
        <f>_xlfn.XLOOKUP(A629,'Subbu- Mini Project EXcel Clean'!A629:A1628,'Subbu- Mini Project EXcel Clean'!M629:M1628," ",0)</f>
        <v>69.7</v>
      </c>
      <c r="F629">
        <f>_xlfn.XLOOKUP(A629,'Subbu- Mini Project EXcel Clean'!A629:A1628,'Subbu- Mini Project EXcel Clean'!P629:P1628," ",0)</f>
        <v>9</v>
      </c>
      <c r="G629" t="str">
        <f>_xlfn.XLOOKUP(A629,'Subbu- Mini Project EXcel Clean'!A629:A1628,'Subbu- Mini Project EXcel Clean'!Q629:Q1628," ",0)</f>
        <v>High</v>
      </c>
      <c r="H629">
        <f>VLOOKUP(A629,'Subbu- Mini Project EXcel Clean'!A628:R1628,15,FALSE)</f>
        <v>4.3</v>
      </c>
    </row>
    <row r="630" spans="1:8" x14ac:dyDescent="0.25">
      <c r="A630" t="s">
        <v>658</v>
      </c>
      <c r="B630">
        <f>_xlfn.XLOOKUP(A630,'Subbu- Mini Project EXcel Clean'!A630:A1629,'Subbu- Mini Project EXcel Clean'!I630:I1629,"Entry Level",0)</f>
        <v>3</v>
      </c>
      <c r="C630" t="str">
        <f>_xlfn.XLOOKUP(A630,'Subbu- Mini Project EXcel Clean'!A630:A1629,'Subbu- Mini Project EXcel Clean'!J630:J1629," ",0)</f>
        <v>Consistent</v>
      </c>
      <c r="D630">
        <f>_xlfn.XLOOKUP(A630,'Subbu- Mini Project EXcel Clean'!A630:A1629,'Subbu- Mini Project EXcel Clean'!N630:N1629,"entry Level",0)</f>
        <v>6.8</v>
      </c>
      <c r="E630">
        <f>_xlfn.XLOOKUP(A630,'Subbu- Mini Project EXcel Clean'!A630:A1629,'Subbu- Mini Project EXcel Clean'!M630:M1629," ",0)</f>
        <v>70.400000000000006</v>
      </c>
      <c r="F630">
        <f>_xlfn.XLOOKUP(A630,'Subbu- Mini Project EXcel Clean'!A630:A1629,'Subbu- Mini Project EXcel Clean'!P630:P1629," ",0)</f>
        <v>1</v>
      </c>
      <c r="G630" t="str">
        <f>_xlfn.XLOOKUP(A630,'Subbu- Mini Project EXcel Clean'!A630:A1629,'Subbu- Mini Project EXcel Clean'!Q630:Q1629," ",0)</f>
        <v>Low</v>
      </c>
      <c r="H630">
        <f>VLOOKUP(A630,'Subbu- Mini Project EXcel Clean'!A629:R1629,15,FALSE)</f>
        <v>4</v>
      </c>
    </row>
    <row r="631" spans="1:8" x14ac:dyDescent="0.25">
      <c r="A631" t="s">
        <v>659</v>
      </c>
      <c r="B631">
        <f>_xlfn.XLOOKUP(A631,'Subbu- Mini Project EXcel Clean'!A631:A1630,'Subbu- Mini Project EXcel Clean'!I631:I1630,"Entry Level",0)</f>
        <v>2</v>
      </c>
      <c r="C631" t="str">
        <f>_xlfn.XLOOKUP(A631,'Subbu- Mini Project EXcel Clean'!A631:A1630,'Subbu- Mini Project EXcel Clean'!J631:J1630," ",0)</f>
        <v>Consistent</v>
      </c>
      <c r="D631">
        <f>_xlfn.XLOOKUP(A631,'Subbu- Mini Project EXcel Clean'!A631:A1630,'Subbu- Mini Project EXcel Clean'!N631:N1630,"entry Level",0)</f>
        <v>6.3</v>
      </c>
      <c r="E631">
        <f>_xlfn.XLOOKUP(A631,'Subbu- Mini Project EXcel Clean'!A631:A1630,'Subbu- Mini Project EXcel Clean'!M631:M1630," ",0)</f>
        <v>70.7</v>
      </c>
      <c r="F631">
        <f>_xlfn.XLOOKUP(A631,'Subbu- Mini Project EXcel Clean'!A631:A1630,'Subbu- Mini Project EXcel Clean'!P631:P1630," ",0)</f>
        <v>1</v>
      </c>
      <c r="G631" t="str">
        <f>_xlfn.XLOOKUP(A631,'Subbu- Mini Project EXcel Clean'!A631:A1630,'Subbu- Mini Project EXcel Clean'!Q631:Q1630," ",0)</f>
        <v>Low</v>
      </c>
      <c r="H631">
        <f>VLOOKUP(A631,'Subbu- Mini Project EXcel Clean'!A630:R1630,15,FALSE)</f>
        <v>4.7</v>
      </c>
    </row>
    <row r="632" spans="1:8" x14ac:dyDescent="0.25">
      <c r="A632" t="s">
        <v>660</v>
      </c>
      <c r="B632">
        <f>_xlfn.XLOOKUP(A632,'Subbu- Mini Project EXcel Clean'!A632:A1631,'Subbu- Mini Project EXcel Clean'!I632:I1631,"Entry Level",0)</f>
        <v>2</v>
      </c>
      <c r="C632" t="str">
        <f>_xlfn.XLOOKUP(A632,'Subbu- Mini Project EXcel Clean'!A632:A1631,'Subbu- Mini Project EXcel Clean'!J632:J1631," ",0)</f>
        <v>Consistent</v>
      </c>
      <c r="D632">
        <f>_xlfn.XLOOKUP(A632,'Subbu- Mini Project EXcel Clean'!A632:A1631,'Subbu- Mini Project EXcel Clean'!N632:N1631,"entry Level",0)</f>
        <v>6.8</v>
      </c>
      <c r="E632">
        <f>_xlfn.XLOOKUP(A632,'Subbu- Mini Project EXcel Clean'!A632:A1631,'Subbu- Mini Project EXcel Clean'!M632:M1631," ",0)</f>
        <v>72.8</v>
      </c>
      <c r="F632">
        <f>_xlfn.XLOOKUP(A632,'Subbu- Mini Project EXcel Clean'!A632:A1631,'Subbu- Mini Project EXcel Clean'!P632:P1631," ",0)</f>
        <v>5</v>
      </c>
      <c r="G632" t="str">
        <f>_xlfn.XLOOKUP(A632,'Subbu- Mini Project EXcel Clean'!A632:A1631,'Subbu- Mini Project EXcel Clean'!Q632:Q1631," ",0)</f>
        <v>Moderate</v>
      </c>
      <c r="H632">
        <f>VLOOKUP(A632,'Subbu- Mini Project EXcel Clean'!A631:R1631,15,FALSE)</f>
        <v>3.9</v>
      </c>
    </row>
    <row r="633" spans="1:8" x14ac:dyDescent="0.25">
      <c r="A633" t="s">
        <v>661</v>
      </c>
      <c r="B633">
        <f>_xlfn.XLOOKUP(A633,'Subbu- Mini Project EXcel Clean'!A633:A1632,'Subbu- Mini Project EXcel Clean'!I633:I1632,"Entry Level",0)</f>
        <v>2</v>
      </c>
      <c r="C633" t="str">
        <f>_xlfn.XLOOKUP(A633,'Subbu- Mini Project EXcel Clean'!A633:A1632,'Subbu- Mini Project EXcel Clean'!J633:J1632," ",0)</f>
        <v>Consistent</v>
      </c>
      <c r="D633">
        <f>_xlfn.XLOOKUP(A633,'Subbu- Mini Project EXcel Clean'!A633:A1632,'Subbu- Mini Project EXcel Clean'!N633:N1632,"entry Level",0)</f>
        <v>8</v>
      </c>
      <c r="E633">
        <f>_xlfn.XLOOKUP(A633,'Subbu- Mini Project EXcel Clean'!A633:A1632,'Subbu- Mini Project EXcel Clean'!M633:M1632," ",0)</f>
        <v>70.7</v>
      </c>
      <c r="F633">
        <f>_xlfn.XLOOKUP(A633,'Subbu- Mini Project EXcel Clean'!A633:A1632,'Subbu- Mini Project EXcel Clean'!P633:P1632," ",0)</f>
        <v>4</v>
      </c>
      <c r="G633" t="str">
        <f>_xlfn.XLOOKUP(A633,'Subbu- Mini Project EXcel Clean'!A633:A1632,'Subbu- Mini Project EXcel Clean'!Q633:Q1632," ",0)</f>
        <v>Moderate</v>
      </c>
      <c r="H633">
        <f>VLOOKUP(A633,'Subbu- Mini Project EXcel Clean'!A632:R1632,15,FALSE)</f>
        <v>1.3</v>
      </c>
    </row>
    <row r="634" spans="1:8" x14ac:dyDescent="0.25">
      <c r="A634" t="s">
        <v>662</v>
      </c>
      <c r="B634">
        <f>_xlfn.XLOOKUP(A634,'Subbu- Mini Project EXcel Clean'!A634:A1633,'Subbu- Mini Project EXcel Clean'!I634:I1633,"Entry Level",0)</f>
        <v>5</v>
      </c>
      <c r="C634" t="str">
        <f>_xlfn.XLOOKUP(A634,'Subbu- Mini Project EXcel Clean'!A634:A1633,'Subbu- Mini Project EXcel Clean'!J634:J1633," ",0)</f>
        <v>Good</v>
      </c>
      <c r="D634">
        <f>_xlfn.XLOOKUP(A634,'Subbu- Mini Project EXcel Clean'!A634:A1633,'Subbu- Mini Project EXcel Clean'!N634:N1633,"entry Level",0)</f>
        <v>8.1999999999999993</v>
      </c>
      <c r="E634">
        <f>_xlfn.XLOOKUP(A634,'Subbu- Mini Project EXcel Clean'!A634:A1633,'Subbu- Mini Project EXcel Clean'!M634:M1633," ",0)</f>
        <v>94.8</v>
      </c>
      <c r="F634">
        <f>_xlfn.XLOOKUP(A634,'Subbu- Mini Project EXcel Clean'!A634:A1633,'Subbu- Mini Project EXcel Clean'!P634:P1633," ",0)</f>
        <v>7</v>
      </c>
      <c r="G634" t="str">
        <f>_xlfn.XLOOKUP(A634,'Subbu- Mini Project EXcel Clean'!A634:A1633,'Subbu- Mini Project EXcel Clean'!Q634:Q1633," ",0)</f>
        <v>High</v>
      </c>
      <c r="H634">
        <f>VLOOKUP(A634,'Subbu- Mini Project EXcel Clean'!A633:R1633,15,FALSE)</f>
        <v>1.6</v>
      </c>
    </row>
    <row r="635" spans="1:8" x14ac:dyDescent="0.25">
      <c r="A635" t="s">
        <v>663</v>
      </c>
      <c r="B635">
        <f>_xlfn.XLOOKUP(A635,'Subbu- Mini Project EXcel Clean'!A635:A1634,'Subbu- Mini Project EXcel Clean'!I635:I1634,"Entry Level",0)</f>
        <v>3</v>
      </c>
      <c r="C635" t="str">
        <f>_xlfn.XLOOKUP(A635,'Subbu- Mini Project EXcel Clean'!A635:A1634,'Subbu- Mini Project EXcel Clean'!J635:J1634," ",0)</f>
        <v>Consistent</v>
      </c>
      <c r="D635">
        <f>_xlfn.XLOOKUP(A635,'Subbu- Mini Project EXcel Clean'!A635:A1634,'Subbu- Mini Project EXcel Clean'!N635:N1634,"entry Level",0)</f>
        <v>7.1</v>
      </c>
      <c r="E635">
        <f>_xlfn.XLOOKUP(A635,'Subbu- Mini Project EXcel Clean'!A635:A1634,'Subbu- Mini Project EXcel Clean'!M635:M1634," ",0)</f>
        <v>81.099999999999994</v>
      </c>
      <c r="F635">
        <f>_xlfn.XLOOKUP(A635,'Subbu- Mini Project EXcel Clean'!A635:A1634,'Subbu- Mini Project EXcel Clean'!P635:P1634," ",0)</f>
        <v>6</v>
      </c>
      <c r="G635" t="str">
        <f>_xlfn.XLOOKUP(A635,'Subbu- Mini Project EXcel Clean'!A635:A1634,'Subbu- Mini Project EXcel Clean'!Q635:Q1634," ",0)</f>
        <v>Moderate</v>
      </c>
      <c r="H635">
        <f>VLOOKUP(A635,'Subbu- Mini Project EXcel Clean'!A634:R1634,15,FALSE)</f>
        <v>4</v>
      </c>
    </row>
    <row r="636" spans="1:8" x14ac:dyDescent="0.25">
      <c r="A636" t="s">
        <v>664</v>
      </c>
      <c r="B636">
        <f>_xlfn.XLOOKUP(A636,'Subbu- Mini Project EXcel Clean'!A636:A1635,'Subbu- Mini Project EXcel Clean'!I636:I1635,"Entry Level",0)</f>
        <v>3</v>
      </c>
      <c r="C636" t="str">
        <f>_xlfn.XLOOKUP(A636,'Subbu- Mini Project EXcel Clean'!A636:A1635,'Subbu- Mini Project EXcel Clean'!J636:J1635," ",0)</f>
        <v>Consistent</v>
      </c>
      <c r="D636">
        <f>_xlfn.XLOOKUP(A636,'Subbu- Mini Project EXcel Clean'!A636:A1635,'Subbu- Mini Project EXcel Clean'!N636:N1635,"entry Level",0)</f>
        <v>7.3</v>
      </c>
      <c r="E636">
        <f>_xlfn.XLOOKUP(A636,'Subbu- Mini Project EXcel Clean'!A636:A1635,'Subbu- Mini Project EXcel Clean'!M636:M1635," ",0)</f>
        <v>76.099999999999994</v>
      </c>
      <c r="F636">
        <f>_xlfn.XLOOKUP(A636,'Subbu- Mini Project EXcel Clean'!A636:A1635,'Subbu- Mini Project EXcel Clean'!P636:P1635," ",0)</f>
        <v>5</v>
      </c>
      <c r="G636" t="str">
        <f>_xlfn.XLOOKUP(A636,'Subbu- Mini Project EXcel Clean'!A636:A1635,'Subbu- Mini Project EXcel Clean'!Q636:Q1635," ",0)</f>
        <v>Moderate</v>
      </c>
      <c r="H636">
        <f>VLOOKUP(A636,'Subbu- Mini Project EXcel Clean'!A635:R1635,15,FALSE)</f>
        <v>2.4</v>
      </c>
    </row>
    <row r="637" spans="1:8" x14ac:dyDescent="0.25">
      <c r="A637" t="s">
        <v>665</v>
      </c>
      <c r="B637">
        <f>_xlfn.XLOOKUP(A637,'Subbu- Mini Project EXcel Clean'!A637:A1636,'Subbu- Mini Project EXcel Clean'!I637:I1636,"Entry Level",0)</f>
        <v>3</v>
      </c>
      <c r="C637" t="str">
        <f>_xlfn.XLOOKUP(A637,'Subbu- Mini Project EXcel Clean'!A637:A1636,'Subbu- Mini Project EXcel Clean'!J637:J1636," ",0)</f>
        <v>Excellent</v>
      </c>
      <c r="D637">
        <f>_xlfn.XLOOKUP(A637,'Subbu- Mini Project EXcel Clean'!A637:A1636,'Subbu- Mini Project EXcel Clean'!N637:N1636,"entry Level",0)</f>
        <v>8.3000000000000007</v>
      </c>
      <c r="E637">
        <f>_xlfn.XLOOKUP(A637,'Subbu- Mini Project EXcel Clean'!A637:A1636,'Subbu- Mini Project EXcel Clean'!M637:M1636," ",0)</f>
        <v>80.5</v>
      </c>
      <c r="F637">
        <f>_xlfn.XLOOKUP(A637,'Subbu- Mini Project EXcel Clean'!A637:A1636,'Subbu- Mini Project EXcel Clean'!P637:P1636," ",0)</f>
        <v>1</v>
      </c>
      <c r="G637" t="str">
        <f>_xlfn.XLOOKUP(A637,'Subbu- Mini Project EXcel Clean'!A637:A1636,'Subbu- Mini Project EXcel Clean'!Q637:Q1636," ",0)</f>
        <v>Low</v>
      </c>
      <c r="H637">
        <f>VLOOKUP(A637,'Subbu- Mini Project EXcel Clean'!A636:R1636,15,FALSE)</f>
        <v>1.4</v>
      </c>
    </row>
    <row r="638" spans="1:8" x14ac:dyDescent="0.25">
      <c r="A638" t="s">
        <v>666</v>
      </c>
      <c r="B638">
        <f>_xlfn.XLOOKUP(A638,'Subbu- Mini Project EXcel Clean'!A638:A1637,'Subbu- Mini Project EXcel Clean'!I638:I1637,"Entry Level",0)</f>
        <v>5</v>
      </c>
      <c r="C638" t="str">
        <f>_xlfn.XLOOKUP(A638,'Subbu- Mini Project EXcel Clean'!A638:A1637,'Subbu- Mini Project EXcel Clean'!J638:J1637," ",0)</f>
        <v>Good</v>
      </c>
      <c r="D638">
        <f>_xlfn.XLOOKUP(A638,'Subbu- Mini Project EXcel Clean'!A638:A1637,'Subbu- Mini Project EXcel Clean'!N638:N1637,"entry Level",0)</f>
        <v>6.9</v>
      </c>
      <c r="E638">
        <f>_xlfn.XLOOKUP(A638,'Subbu- Mini Project EXcel Clean'!A638:A1637,'Subbu- Mini Project EXcel Clean'!M638:M1637," ",0)</f>
        <v>100.1</v>
      </c>
      <c r="F638">
        <f>_xlfn.XLOOKUP(A638,'Subbu- Mini Project EXcel Clean'!A638:A1637,'Subbu- Mini Project EXcel Clean'!P638:P1637," ",0)</f>
        <v>2</v>
      </c>
      <c r="G638" t="str">
        <f>_xlfn.XLOOKUP(A638,'Subbu- Mini Project EXcel Clean'!A638:A1637,'Subbu- Mini Project EXcel Clean'!Q638:Q1637," ",0)</f>
        <v>Low</v>
      </c>
      <c r="H638">
        <f>VLOOKUP(A638,'Subbu- Mini Project EXcel Clean'!A637:R1637,15,FALSE)</f>
        <v>3.1</v>
      </c>
    </row>
    <row r="639" spans="1:8" x14ac:dyDescent="0.25">
      <c r="A639" t="s">
        <v>667</v>
      </c>
      <c r="B639">
        <f>_xlfn.XLOOKUP(A639,'Subbu- Mini Project EXcel Clean'!A639:A1638,'Subbu- Mini Project EXcel Clean'!I639:I1638,"Entry Level",0)</f>
        <v>2</v>
      </c>
      <c r="C639" t="str">
        <f>_xlfn.XLOOKUP(A639,'Subbu- Mini Project EXcel Clean'!A639:A1638,'Subbu- Mini Project EXcel Clean'!J639:J1638," ",0)</f>
        <v>Consistent</v>
      </c>
      <c r="D639">
        <f>_xlfn.XLOOKUP(A639,'Subbu- Mini Project EXcel Clean'!A639:A1638,'Subbu- Mini Project EXcel Clean'!N639:N1638,"entry Level",0)</f>
        <v>7.4</v>
      </c>
      <c r="E639">
        <f>_xlfn.XLOOKUP(A639,'Subbu- Mini Project EXcel Clean'!A639:A1638,'Subbu- Mini Project EXcel Clean'!M639:M1638," ",0)</f>
        <v>73.5</v>
      </c>
      <c r="F639">
        <f>_xlfn.XLOOKUP(A639,'Subbu- Mini Project EXcel Clean'!A639:A1638,'Subbu- Mini Project EXcel Clean'!P639:P1638," ",0)</f>
        <v>1</v>
      </c>
      <c r="G639" t="str">
        <f>_xlfn.XLOOKUP(A639,'Subbu- Mini Project EXcel Clean'!A639:A1638,'Subbu- Mini Project EXcel Clean'!Q639:Q1638," ",0)</f>
        <v>Low</v>
      </c>
      <c r="H639">
        <f>VLOOKUP(A639,'Subbu- Mini Project EXcel Clean'!A638:R1638,15,FALSE)</f>
        <v>3.8</v>
      </c>
    </row>
    <row r="640" spans="1:8" x14ac:dyDescent="0.25">
      <c r="A640" t="s">
        <v>668</v>
      </c>
      <c r="B640">
        <f>_xlfn.XLOOKUP(A640,'Subbu- Mini Project EXcel Clean'!A640:A1639,'Subbu- Mini Project EXcel Clean'!I640:I1639,"Entry Level",0)</f>
        <v>4</v>
      </c>
      <c r="C640" t="str">
        <f>_xlfn.XLOOKUP(A640,'Subbu- Mini Project EXcel Clean'!A640:A1639,'Subbu- Mini Project EXcel Clean'!J640:J1639," ",0)</f>
        <v>Excellent</v>
      </c>
      <c r="D640">
        <f>_xlfn.XLOOKUP(A640,'Subbu- Mini Project EXcel Clean'!A640:A1639,'Subbu- Mini Project EXcel Clean'!N640:N1639,"entry Level",0)</f>
        <v>7.1</v>
      </c>
      <c r="E640">
        <f>_xlfn.XLOOKUP(A640,'Subbu- Mini Project EXcel Clean'!A640:A1639,'Subbu- Mini Project EXcel Clean'!M640:M1639," ",0)</f>
        <v>99.2</v>
      </c>
      <c r="F640">
        <f>_xlfn.XLOOKUP(A640,'Subbu- Mini Project EXcel Clean'!A640:A1639,'Subbu- Mini Project EXcel Clean'!P640:P1639," ",0)</f>
        <v>1</v>
      </c>
      <c r="G640" t="str">
        <f>_xlfn.XLOOKUP(A640,'Subbu- Mini Project EXcel Clean'!A640:A1639,'Subbu- Mini Project EXcel Clean'!Q640:Q1639," ",0)</f>
        <v>Low</v>
      </c>
      <c r="H640">
        <f>VLOOKUP(A640,'Subbu- Mini Project EXcel Clean'!A639:R1639,15,FALSE)</f>
        <v>2.6</v>
      </c>
    </row>
    <row r="641" spans="1:8" x14ac:dyDescent="0.25">
      <c r="A641" t="s">
        <v>669</v>
      </c>
      <c r="B641">
        <f>_xlfn.XLOOKUP(A641,'Subbu- Mini Project EXcel Clean'!A641:A1640,'Subbu- Mini Project EXcel Clean'!I641:I1640,"Entry Level",0)</f>
        <v>4</v>
      </c>
      <c r="C641" t="str">
        <f>_xlfn.XLOOKUP(A641,'Subbu- Mini Project EXcel Clean'!A641:A1640,'Subbu- Mini Project EXcel Clean'!J641:J1640," ",0)</f>
        <v>Excellent</v>
      </c>
      <c r="D641">
        <f>_xlfn.XLOOKUP(A641,'Subbu- Mini Project EXcel Clean'!A641:A1640,'Subbu- Mini Project EXcel Clean'!N641:N1640,"entry Level",0)</f>
        <v>6.8</v>
      </c>
      <c r="E641">
        <f>_xlfn.XLOOKUP(A641,'Subbu- Mini Project EXcel Clean'!A641:A1640,'Subbu- Mini Project EXcel Clean'!M641:M1640," ",0)</f>
        <v>92.8</v>
      </c>
      <c r="F641">
        <f>_xlfn.XLOOKUP(A641,'Subbu- Mini Project EXcel Clean'!A641:A1640,'Subbu- Mini Project EXcel Clean'!P641:P1640," ",0)</f>
        <v>4</v>
      </c>
      <c r="G641" t="str">
        <f>_xlfn.XLOOKUP(A641,'Subbu- Mini Project EXcel Clean'!A641:A1640,'Subbu- Mini Project EXcel Clean'!Q641:Q1640," ",0)</f>
        <v>Moderate</v>
      </c>
      <c r="H641">
        <f>VLOOKUP(A641,'Subbu- Mini Project EXcel Clean'!A640:R1640,15,FALSE)</f>
        <v>4.5999999999999996</v>
      </c>
    </row>
    <row r="642" spans="1:8" x14ac:dyDescent="0.25">
      <c r="A642" t="s">
        <v>670</v>
      </c>
      <c r="B642">
        <f>_xlfn.XLOOKUP(A642,'Subbu- Mini Project EXcel Clean'!A642:A1641,'Subbu- Mini Project EXcel Clean'!I642:I1641,"Entry Level",0)</f>
        <v>3</v>
      </c>
      <c r="C642" t="str">
        <f>_xlfn.XLOOKUP(A642,'Subbu- Mini Project EXcel Clean'!A642:A1641,'Subbu- Mini Project EXcel Clean'!J642:J1641," ",0)</f>
        <v>Excellent</v>
      </c>
      <c r="D642">
        <f>_xlfn.XLOOKUP(A642,'Subbu- Mini Project EXcel Clean'!A642:A1641,'Subbu- Mini Project EXcel Clean'!N642:N1641,"entry Level",0)</f>
        <v>6.7</v>
      </c>
      <c r="E642">
        <f>_xlfn.XLOOKUP(A642,'Subbu- Mini Project EXcel Clean'!A642:A1641,'Subbu- Mini Project EXcel Clean'!M642:M1641," ",0)</f>
        <v>90.1</v>
      </c>
      <c r="F642">
        <f>_xlfn.XLOOKUP(A642,'Subbu- Mini Project EXcel Clean'!A642:A1641,'Subbu- Mini Project EXcel Clean'!P642:P1641," ",0)</f>
        <v>2</v>
      </c>
      <c r="G642" t="str">
        <f>_xlfn.XLOOKUP(A642,'Subbu- Mini Project EXcel Clean'!A642:A1641,'Subbu- Mini Project EXcel Clean'!Q642:Q1641," ",0)</f>
        <v>Low</v>
      </c>
      <c r="H642">
        <f>VLOOKUP(A642,'Subbu- Mini Project EXcel Clean'!A641:R1641,15,FALSE)</f>
        <v>4.2</v>
      </c>
    </row>
    <row r="643" spans="1:8" x14ac:dyDescent="0.25">
      <c r="A643" t="s">
        <v>671</v>
      </c>
      <c r="B643">
        <f>_xlfn.XLOOKUP(A643,'Subbu- Mini Project EXcel Clean'!A643:A1642,'Subbu- Mini Project EXcel Clean'!I643:I1642,"Entry Level",0)</f>
        <v>1</v>
      </c>
      <c r="C643" t="str">
        <f>_xlfn.XLOOKUP(A643,'Subbu- Mini Project EXcel Clean'!A643:A1642,'Subbu- Mini Project EXcel Clean'!J643:J1642," ",0)</f>
        <v>Consistent</v>
      </c>
      <c r="D643">
        <f>_xlfn.XLOOKUP(A643,'Subbu- Mini Project EXcel Clean'!A643:A1642,'Subbu- Mini Project EXcel Clean'!N643:N1642,"entry Level",0)</f>
        <v>7.2</v>
      </c>
      <c r="E643">
        <f>_xlfn.XLOOKUP(A643,'Subbu- Mini Project EXcel Clean'!A643:A1642,'Subbu- Mini Project EXcel Clean'!M643:M1642," ",0)</f>
        <v>61</v>
      </c>
      <c r="F643">
        <f>_xlfn.XLOOKUP(A643,'Subbu- Mini Project EXcel Clean'!A643:A1642,'Subbu- Mini Project EXcel Clean'!P643:P1642," ",0)</f>
        <v>3</v>
      </c>
      <c r="G643" t="str">
        <f>_xlfn.XLOOKUP(A643,'Subbu- Mini Project EXcel Clean'!A643:A1642,'Subbu- Mini Project EXcel Clean'!Q643:Q1642," ",0)</f>
        <v>Low</v>
      </c>
      <c r="H643">
        <f>VLOOKUP(A643,'Subbu- Mini Project EXcel Clean'!A642:R1642,15,FALSE)</f>
        <v>2.7</v>
      </c>
    </row>
    <row r="644" spans="1:8" x14ac:dyDescent="0.25">
      <c r="A644" t="s">
        <v>672</v>
      </c>
      <c r="B644">
        <f>_xlfn.XLOOKUP(A644,'Subbu- Mini Project EXcel Clean'!A644:A1643,'Subbu- Mini Project EXcel Clean'!I644:I1643,"Entry Level",0)</f>
        <v>4</v>
      </c>
      <c r="C644" t="str">
        <f>_xlfn.XLOOKUP(A644,'Subbu- Mini Project EXcel Clean'!A644:A1643,'Subbu- Mini Project EXcel Clean'!J644:J1643," ",0)</f>
        <v>Excellent</v>
      </c>
      <c r="D644">
        <f>_xlfn.XLOOKUP(A644,'Subbu- Mini Project EXcel Clean'!A644:A1643,'Subbu- Mini Project EXcel Clean'!N644:N1643,"entry Level",0)</f>
        <v>6.4</v>
      </c>
      <c r="E644">
        <f>_xlfn.XLOOKUP(A644,'Subbu- Mini Project EXcel Clean'!A644:A1643,'Subbu- Mini Project EXcel Clean'!M644:M1643," ",0)</f>
        <v>81.900000000000006</v>
      </c>
      <c r="F644">
        <f>_xlfn.XLOOKUP(A644,'Subbu- Mini Project EXcel Clean'!A644:A1643,'Subbu- Mini Project EXcel Clean'!P644:P1643," ",0)</f>
        <v>5</v>
      </c>
      <c r="G644" t="str">
        <f>_xlfn.XLOOKUP(A644,'Subbu- Mini Project EXcel Clean'!A644:A1643,'Subbu- Mini Project EXcel Clean'!Q644:Q1643," ",0)</f>
        <v>Moderate</v>
      </c>
      <c r="H644">
        <f>VLOOKUP(A644,'Subbu- Mini Project EXcel Clean'!A643:R1643,15,FALSE)</f>
        <v>4.8</v>
      </c>
    </row>
    <row r="645" spans="1:8" x14ac:dyDescent="0.25">
      <c r="A645" t="s">
        <v>673</v>
      </c>
      <c r="B645">
        <f>_xlfn.XLOOKUP(A645,'Subbu- Mini Project EXcel Clean'!A645:A1644,'Subbu- Mini Project EXcel Clean'!I645:I1644,"Entry Level",0)</f>
        <v>1</v>
      </c>
      <c r="C645" t="str">
        <f>_xlfn.XLOOKUP(A645,'Subbu- Mini Project EXcel Clean'!A645:A1644,'Subbu- Mini Project EXcel Clean'!J645:J1644," ",0)</f>
        <v>Consistent</v>
      </c>
      <c r="D645">
        <f>_xlfn.XLOOKUP(A645,'Subbu- Mini Project EXcel Clean'!A645:A1644,'Subbu- Mini Project EXcel Clean'!N645:N1644,"entry Level",0)</f>
        <v>7.4</v>
      </c>
      <c r="E645">
        <f>_xlfn.XLOOKUP(A645,'Subbu- Mini Project EXcel Clean'!A645:A1644,'Subbu- Mini Project EXcel Clean'!M645:M1644," ",0)</f>
        <v>62.9</v>
      </c>
      <c r="F645">
        <f>_xlfn.XLOOKUP(A645,'Subbu- Mini Project EXcel Clean'!A645:A1644,'Subbu- Mini Project EXcel Clean'!P645:P1644," ",0)</f>
        <v>4</v>
      </c>
      <c r="G645" t="str">
        <f>_xlfn.XLOOKUP(A645,'Subbu- Mini Project EXcel Clean'!A645:A1644,'Subbu- Mini Project EXcel Clean'!Q645:Q1644," ",0)</f>
        <v>Moderate</v>
      </c>
      <c r="H645">
        <f>VLOOKUP(A645,'Subbu- Mini Project EXcel Clean'!A644:R1644,15,FALSE)</f>
        <v>4.2</v>
      </c>
    </row>
    <row r="646" spans="1:8" x14ac:dyDescent="0.25">
      <c r="A646" t="s">
        <v>674</v>
      </c>
      <c r="B646">
        <f>_xlfn.XLOOKUP(A646,'Subbu- Mini Project EXcel Clean'!A646:A1645,'Subbu- Mini Project EXcel Clean'!I646:I1645,"Entry Level",0)</f>
        <v>3</v>
      </c>
      <c r="C646" t="str">
        <f>_xlfn.XLOOKUP(A646,'Subbu- Mini Project EXcel Clean'!A646:A1645,'Subbu- Mini Project EXcel Clean'!J646:J1645," ",0)</f>
        <v>Excellent</v>
      </c>
      <c r="D646">
        <f>_xlfn.XLOOKUP(A646,'Subbu- Mini Project EXcel Clean'!A646:A1645,'Subbu- Mini Project EXcel Clean'!N646:N1645,"entry Level",0)</f>
        <v>6.4</v>
      </c>
      <c r="E646">
        <f>_xlfn.XLOOKUP(A646,'Subbu- Mini Project EXcel Clean'!A646:A1645,'Subbu- Mini Project EXcel Clean'!M646:M1645," ",0)</f>
        <v>84.4</v>
      </c>
      <c r="F646">
        <f>_xlfn.XLOOKUP(A646,'Subbu- Mini Project EXcel Clean'!A646:A1645,'Subbu- Mini Project EXcel Clean'!P646:P1645," ",0)</f>
        <v>3</v>
      </c>
      <c r="G646" t="str">
        <f>_xlfn.XLOOKUP(A646,'Subbu- Mini Project EXcel Clean'!A646:A1645,'Subbu- Mini Project EXcel Clean'!Q646:Q1645," ",0)</f>
        <v>Moderate</v>
      </c>
      <c r="H646">
        <f>VLOOKUP(A646,'Subbu- Mini Project EXcel Clean'!A645:R1645,15,FALSE)</f>
        <v>4.2</v>
      </c>
    </row>
    <row r="647" spans="1:8" x14ac:dyDescent="0.25">
      <c r="A647" t="s">
        <v>675</v>
      </c>
      <c r="B647">
        <f>_xlfn.XLOOKUP(A647,'Subbu- Mini Project EXcel Clean'!A647:A1646,'Subbu- Mini Project EXcel Clean'!I647:I1646,"Entry Level",0)</f>
        <v>4</v>
      </c>
      <c r="C647" t="str">
        <f>_xlfn.XLOOKUP(A647,'Subbu- Mini Project EXcel Clean'!A647:A1646,'Subbu- Mini Project EXcel Clean'!J647:J1646," ",0)</f>
        <v>Excellent</v>
      </c>
      <c r="D647">
        <f>_xlfn.XLOOKUP(A647,'Subbu- Mini Project EXcel Clean'!A647:A1646,'Subbu- Mini Project EXcel Clean'!N647:N1646,"entry Level",0)</f>
        <v>6.5</v>
      </c>
      <c r="E647">
        <f>_xlfn.XLOOKUP(A647,'Subbu- Mini Project EXcel Clean'!A647:A1646,'Subbu- Mini Project EXcel Clean'!M647:M1646," ",0)</f>
        <v>84.2</v>
      </c>
      <c r="F647">
        <f>_xlfn.XLOOKUP(A647,'Subbu- Mini Project EXcel Clean'!A647:A1646,'Subbu- Mini Project EXcel Clean'!P647:P1646," ",0)</f>
        <v>1</v>
      </c>
      <c r="G647" t="str">
        <f>_xlfn.XLOOKUP(A647,'Subbu- Mini Project EXcel Clean'!A647:A1646,'Subbu- Mini Project EXcel Clean'!Q647:Q1646," ",0)</f>
        <v>Low</v>
      </c>
      <c r="H647">
        <f>VLOOKUP(A647,'Subbu- Mini Project EXcel Clean'!A646:R1646,15,FALSE)</f>
        <v>3.8</v>
      </c>
    </row>
    <row r="648" spans="1:8" x14ac:dyDescent="0.25">
      <c r="A648" t="s">
        <v>676</v>
      </c>
      <c r="B648">
        <f>_xlfn.XLOOKUP(A648,'Subbu- Mini Project EXcel Clean'!A648:A1647,'Subbu- Mini Project EXcel Clean'!I648:I1647,"Entry Level",0)</f>
        <v>2</v>
      </c>
      <c r="C648" t="str">
        <f>_xlfn.XLOOKUP(A648,'Subbu- Mini Project EXcel Clean'!A648:A1647,'Subbu- Mini Project EXcel Clean'!J648:J1647," ",0)</f>
        <v>Consistent</v>
      </c>
      <c r="D648">
        <f>_xlfn.XLOOKUP(A648,'Subbu- Mini Project EXcel Clean'!A648:A1647,'Subbu- Mini Project EXcel Clean'!N648:N1647,"entry Level",0)</f>
        <v>8.6999999999999993</v>
      </c>
      <c r="E648">
        <f>_xlfn.XLOOKUP(A648,'Subbu- Mini Project EXcel Clean'!A648:A1647,'Subbu- Mini Project EXcel Clean'!M648:M1647," ",0)</f>
        <v>67.599999999999994</v>
      </c>
      <c r="F648">
        <f>_xlfn.XLOOKUP(A648,'Subbu- Mini Project EXcel Clean'!A648:A1647,'Subbu- Mini Project EXcel Clean'!P648:P1647," ",0)</f>
        <v>1</v>
      </c>
      <c r="G648" t="str">
        <f>_xlfn.XLOOKUP(A648,'Subbu- Mini Project EXcel Clean'!A648:A1647,'Subbu- Mini Project EXcel Clean'!Q648:Q1647," ",0)</f>
        <v>Low</v>
      </c>
      <c r="H648">
        <f>VLOOKUP(A648,'Subbu- Mini Project EXcel Clean'!A647:R1647,15,FALSE)</f>
        <v>1.1000000000000001</v>
      </c>
    </row>
    <row r="649" spans="1:8" x14ac:dyDescent="0.25">
      <c r="A649" t="s">
        <v>677</v>
      </c>
      <c r="B649">
        <f>_xlfn.XLOOKUP(A649,'Subbu- Mini Project EXcel Clean'!A649:A1648,'Subbu- Mini Project EXcel Clean'!I649:I1648,"Entry Level",0)</f>
        <v>4</v>
      </c>
      <c r="C649" t="str">
        <f>_xlfn.XLOOKUP(A649,'Subbu- Mini Project EXcel Clean'!A649:A1648,'Subbu- Mini Project EXcel Clean'!J649:J1648," ",0)</f>
        <v>Good</v>
      </c>
      <c r="D649">
        <f>_xlfn.XLOOKUP(A649,'Subbu- Mini Project EXcel Clean'!A649:A1648,'Subbu- Mini Project EXcel Clean'!N649:N1648,"entry Level",0)</f>
        <v>7.1</v>
      </c>
      <c r="E649">
        <f>_xlfn.XLOOKUP(A649,'Subbu- Mini Project EXcel Clean'!A649:A1648,'Subbu- Mini Project EXcel Clean'!M649:M1648," ",0)</f>
        <v>95.7</v>
      </c>
      <c r="F649">
        <f>_xlfn.XLOOKUP(A649,'Subbu- Mini Project EXcel Clean'!A649:A1648,'Subbu- Mini Project EXcel Clean'!P649:P1648," ",0)</f>
        <v>3</v>
      </c>
      <c r="G649" t="str">
        <f>_xlfn.XLOOKUP(A649,'Subbu- Mini Project EXcel Clean'!A649:A1648,'Subbu- Mini Project EXcel Clean'!Q649:Q1648," ",0)</f>
        <v>Low</v>
      </c>
      <c r="H649">
        <f>VLOOKUP(A649,'Subbu- Mini Project EXcel Clean'!A648:R1648,15,FALSE)</f>
        <v>4.5</v>
      </c>
    </row>
    <row r="650" spans="1:8" x14ac:dyDescent="0.25">
      <c r="A650" t="s">
        <v>678</v>
      </c>
      <c r="B650">
        <f>_xlfn.XLOOKUP(A650,'Subbu- Mini Project EXcel Clean'!A650:A1649,'Subbu- Mini Project EXcel Clean'!I650:I1649,"Entry Level",0)</f>
        <v>1</v>
      </c>
      <c r="C650" t="str">
        <f>_xlfn.XLOOKUP(A650,'Subbu- Mini Project EXcel Clean'!A650:A1649,'Subbu- Mini Project EXcel Clean'!J650:J1649," ",0)</f>
        <v>Consistent</v>
      </c>
      <c r="D650">
        <f>_xlfn.XLOOKUP(A650,'Subbu- Mini Project EXcel Clean'!A650:A1649,'Subbu- Mini Project EXcel Clean'!N650:N1649,"entry Level",0)</f>
        <v>5.9</v>
      </c>
      <c r="E650">
        <f>_xlfn.XLOOKUP(A650,'Subbu- Mini Project EXcel Clean'!A650:A1649,'Subbu- Mini Project EXcel Clean'!M650:M1649," ",0)</f>
        <v>63</v>
      </c>
      <c r="F650">
        <f>_xlfn.XLOOKUP(A650,'Subbu- Mini Project EXcel Clean'!A650:A1649,'Subbu- Mini Project EXcel Clean'!P650:P1649," ",0)</f>
        <v>1</v>
      </c>
      <c r="G650" t="str">
        <f>_xlfn.XLOOKUP(A650,'Subbu- Mini Project EXcel Clean'!A650:A1649,'Subbu- Mini Project EXcel Clean'!Q650:Q1649," ",0)</f>
        <v>Low</v>
      </c>
      <c r="H650">
        <f>VLOOKUP(A650,'Subbu- Mini Project EXcel Clean'!A649:R1649,15,FALSE)</f>
        <v>2.9</v>
      </c>
    </row>
    <row r="651" spans="1:8" x14ac:dyDescent="0.25">
      <c r="A651" t="s">
        <v>679</v>
      </c>
      <c r="B651">
        <f>_xlfn.XLOOKUP(A651,'Subbu- Mini Project EXcel Clean'!A651:A1650,'Subbu- Mini Project EXcel Clean'!I651:I1650,"Entry Level",0)</f>
        <v>4</v>
      </c>
      <c r="C651" t="str">
        <f>_xlfn.XLOOKUP(A651,'Subbu- Mini Project EXcel Clean'!A651:A1650,'Subbu- Mini Project EXcel Clean'!J651:J1650," ",0)</f>
        <v>Good</v>
      </c>
      <c r="D651">
        <f>_xlfn.XLOOKUP(A651,'Subbu- Mini Project EXcel Clean'!A651:A1650,'Subbu- Mini Project EXcel Clean'!N651:N1650,"entry Level",0)</f>
        <v>6</v>
      </c>
      <c r="E651">
        <f>_xlfn.XLOOKUP(A651,'Subbu- Mini Project EXcel Clean'!A651:A1650,'Subbu- Mini Project EXcel Clean'!M651:M1650," ",0)</f>
        <v>96.3</v>
      </c>
      <c r="F651">
        <f>_xlfn.XLOOKUP(A651,'Subbu- Mini Project EXcel Clean'!A651:A1650,'Subbu- Mini Project EXcel Clean'!P651:P1650," ",0)</f>
        <v>4</v>
      </c>
      <c r="G651" t="str">
        <f>_xlfn.XLOOKUP(A651,'Subbu- Mini Project EXcel Clean'!A651:A1650,'Subbu- Mini Project EXcel Clean'!Q651:Q1650," ",0)</f>
        <v>Moderate</v>
      </c>
      <c r="H651">
        <f>VLOOKUP(A651,'Subbu- Mini Project EXcel Clean'!A650:R1650,15,FALSE)</f>
        <v>5.7</v>
      </c>
    </row>
    <row r="652" spans="1:8" x14ac:dyDescent="0.25">
      <c r="A652" t="s">
        <v>680</v>
      </c>
      <c r="B652">
        <f>_xlfn.XLOOKUP(A652,'Subbu- Mini Project EXcel Clean'!A652:A1651,'Subbu- Mini Project EXcel Clean'!I652:I1651,"Entry Level",0)</f>
        <v>3</v>
      </c>
      <c r="C652" t="str">
        <f>_xlfn.XLOOKUP(A652,'Subbu- Mini Project EXcel Clean'!A652:A1651,'Subbu- Mini Project EXcel Clean'!J652:J1651," ",0)</f>
        <v>Consistent</v>
      </c>
      <c r="D652">
        <f>_xlfn.XLOOKUP(A652,'Subbu- Mini Project EXcel Clean'!A652:A1651,'Subbu- Mini Project EXcel Clean'!N652:N1651,"entry Level",0)</f>
        <v>5.6</v>
      </c>
      <c r="E652">
        <f>_xlfn.XLOOKUP(A652,'Subbu- Mini Project EXcel Clean'!A652:A1651,'Subbu- Mini Project EXcel Clean'!M652:M1651," ",0)</f>
        <v>79.900000000000006</v>
      </c>
      <c r="F652">
        <f>_xlfn.XLOOKUP(A652,'Subbu- Mini Project EXcel Clean'!A652:A1651,'Subbu- Mini Project EXcel Clean'!P652:P1651," ",0)</f>
        <v>2</v>
      </c>
      <c r="G652" t="str">
        <f>_xlfn.XLOOKUP(A652,'Subbu- Mini Project EXcel Clean'!A652:A1651,'Subbu- Mini Project EXcel Clean'!Q652:Q1651," ",0)</f>
        <v>Low</v>
      </c>
      <c r="H652">
        <f>VLOOKUP(A652,'Subbu- Mini Project EXcel Clean'!A651:R1651,15,FALSE)</f>
        <v>5.0999999999999996</v>
      </c>
    </row>
    <row r="653" spans="1:8" x14ac:dyDescent="0.25">
      <c r="A653" t="s">
        <v>681</v>
      </c>
      <c r="B653">
        <f>_xlfn.XLOOKUP(A653,'Subbu- Mini Project EXcel Clean'!A653:A1652,'Subbu- Mini Project EXcel Clean'!I653:I1652,"Entry Level",0)</f>
        <v>2</v>
      </c>
      <c r="C653" t="str">
        <f>_xlfn.XLOOKUP(A653,'Subbu- Mini Project EXcel Clean'!A653:A1652,'Subbu- Mini Project EXcel Clean'!J653:J1652," ",0)</f>
        <v>Consistent</v>
      </c>
      <c r="D653">
        <f>_xlfn.XLOOKUP(A653,'Subbu- Mini Project EXcel Clean'!A653:A1652,'Subbu- Mini Project EXcel Clean'!N653:N1652,"entry Level",0)</f>
        <v>6.3</v>
      </c>
      <c r="E653">
        <f>_xlfn.XLOOKUP(A653,'Subbu- Mini Project EXcel Clean'!A653:A1652,'Subbu- Mini Project EXcel Clean'!M653:M1652," ",0)</f>
        <v>66.2</v>
      </c>
      <c r="F653">
        <f>_xlfn.XLOOKUP(A653,'Subbu- Mini Project EXcel Clean'!A653:A1652,'Subbu- Mini Project EXcel Clean'!P653:P1652," ",0)</f>
        <v>2</v>
      </c>
      <c r="G653" t="str">
        <f>_xlfn.XLOOKUP(A653,'Subbu- Mini Project EXcel Clean'!A653:A1652,'Subbu- Mini Project EXcel Clean'!Q653:Q1652," ",0)</f>
        <v>Low</v>
      </c>
      <c r="H653">
        <f>VLOOKUP(A653,'Subbu- Mini Project EXcel Clean'!A652:R1652,15,FALSE)</f>
        <v>3.9</v>
      </c>
    </row>
    <row r="654" spans="1:8" x14ac:dyDescent="0.25">
      <c r="A654" t="s">
        <v>682</v>
      </c>
      <c r="B654">
        <f>_xlfn.XLOOKUP(A654,'Subbu- Mini Project EXcel Clean'!A654:A1653,'Subbu- Mini Project EXcel Clean'!I654:I1653,"Entry Level",0)</f>
        <v>2</v>
      </c>
      <c r="C654" t="str">
        <f>_xlfn.XLOOKUP(A654,'Subbu- Mini Project EXcel Clean'!A654:A1653,'Subbu- Mini Project EXcel Clean'!J654:J1653," ",0)</f>
        <v>Consistent</v>
      </c>
      <c r="D654">
        <f>_xlfn.XLOOKUP(A654,'Subbu- Mini Project EXcel Clean'!A654:A1653,'Subbu- Mini Project EXcel Clean'!N654:N1653,"entry Level",0)</f>
        <v>5.8</v>
      </c>
      <c r="E654">
        <f>_xlfn.XLOOKUP(A654,'Subbu- Mini Project EXcel Clean'!A654:A1653,'Subbu- Mini Project EXcel Clean'!M654:M1653," ",0)</f>
        <v>62.8</v>
      </c>
      <c r="F654">
        <f>_xlfn.XLOOKUP(A654,'Subbu- Mini Project EXcel Clean'!A654:A1653,'Subbu- Mini Project EXcel Clean'!P654:P1653," ",0)</f>
        <v>6</v>
      </c>
      <c r="G654" t="str">
        <f>_xlfn.XLOOKUP(A654,'Subbu- Mini Project EXcel Clean'!A654:A1653,'Subbu- Mini Project EXcel Clean'!Q654:Q1653," ",0)</f>
        <v>High</v>
      </c>
      <c r="H654">
        <f>VLOOKUP(A654,'Subbu- Mini Project EXcel Clean'!A653:R1653,15,FALSE)</f>
        <v>2.2999999999999998</v>
      </c>
    </row>
    <row r="655" spans="1:8" x14ac:dyDescent="0.25">
      <c r="A655" t="s">
        <v>683</v>
      </c>
      <c r="B655">
        <f>_xlfn.XLOOKUP(A655,'Subbu- Mini Project EXcel Clean'!A655:A1654,'Subbu- Mini Project EXcel Clean'!I655:I1654,"Entry Level",0)</f>
        <v>5</v>
      </c>
      <c r="C655" t="str">
        <f>_xlfn.XLOOKUP(A655,'Subbu- Mini Project EXcel Clean'!A655:A1654,'Subbu- Mini Project EXcel Clean'!J655:J1654," ",0)</f>
        <v>Good</v>
      </c>
      <c r="D655">
        <f>_xlfn.XLOOKUP(A655,'Subbu- Mini Project EXcel Clean'!A655:A1654,'Subbu- Mini Project EXcel Clean'!N655:N1654,"entry Level",0)</f>
        <v>7.3</v>
      </c>
      <c r="E655">
        <f>_xlfn.XLOOKUP(A655,'Subbu- Mini Project EXcel Clean'!A655:A1654,'Subbu- Mini Project EXcel Clean'!M655:M1654," ",0)</f>
        <v>92.1</v>
      </c>
      <c r="F655">
        <f>_xlfn.XLOOKUP(A655,'Subbu- Mini Project EXcel Clean'!A655:A1654,'Subbu- Mini Project EXcel Clean'!P655:P1654," ",0)</f>
        <v>4</v>
      </c>
      <c r="G655" t="str">
        <f>_xlfn.XLOOKUP(A655,'Subbu- Mini Project EXcel Clean'!A655:A1654,'Subbu- Mini Project EXcel Clean'!Q655:Q1654," ",0)</f>
        <v>Moderate</v>
      </c>
      <c r="H655">
        <f>VLOOKUP(A655,'Subbu- Mini Project EXcel Clean'!A654:R1654,15,FALSE)</f>
        <v>2</v>
      </c>
    </row>
    <row r="656" spans="1:8" x14ac:dyDescent="0.25">
      <c r="A656" t="s">
        <v>684</v>
      </c>
      <c r="B656">
        <f>_xlfn.XLOOKUP(A656,'Subbu- Mini Project EXcel Clean'!A656:A1655,'Subbu- Mini Project EXcel Clean'!I656:I1655,"Entry Level",0)</f>
        <v>1</v>
      </c>
      <c r="C656" t="str">
        <f>_xlfn.XLOOKUP(A656,'Subbu- Mini Project EXcel Clean'!A656:A1655,'Subbu- Mini Project EXcel Clean'!J656:J1655," ",0)</f>
        <v>Consistent</v>
      </c>
      <c r="D656">
        <f>_xlfn.XLOOKUP(A656,'Subbu- Mini Project EXcel Clean'!A656:A1655,'Subbu- Mini Project EXcel Clean'!N656:N1655,"entry Level",0)</f>
        <v>6.6</v>
      </c>
      <c r="E656">
        <f>_xlfn.XLOOKUP(A656,'Subbu- Mini Project EXcel Clean'!A656:A1655,'Subbu- Mini Project EXcel Clean'!M656:M1655," ",0)</f>
        <v>71.8</v>
      </c>
      <c r="F656">
        <f>_xlfn.XLOOKUP(A656,'Subbu- Mini Project EXcel Clean'!A656:A1655,'Subbu- Mini Project EXcel Clean'!P656:P1655," ",0)</f>
        <v>4</v>
      </c>
      <c r="G656" t="str">
        <f>_xlfn.XLOOKUP(A656,'Subbu- Mini Project EXcel Clean'!A656:A1655,'Subbu- Mini Project EXcel Clean'!Q656:Q1655," ",0)</f>
        <v>Moderate</v>
      </c>
      <c r="H656">
        <f>VLOOKUP(A656,'Subbu- Mini Project EXcel Clean'!A655:R1655,15,FALSE)</f>
        <v>2.7</v>
      </c>
    </row>
    <row r="657" spans="1:8" x14ac:dyDescent="0.25">
      <c r="A657" t="s">
        <v>685</v>
      </c>
      <c r="B657">
        <f>_xlfn.XLOOKUP(A657,'Subbu- Mini Project EXcel Clean'!A657:A1656,'Subbu- Mini Project EXcel Clean'!I657:I1656,"Entry Level",0)</f>
        <v>2</v>
      </c>
      <c r="C657" t="str">
        <f>_xlfn.XLOOKUP(A657,'Subbu- Mini Project EXcel Clean'!A657:A1656,'Subbu- Mini Project EXcel Clean'!J657:J1656," ",0)</f>
        <v>Consistent</v>
      </c>
      <c r="D657">
        <f>_xlfn.XLOOKUP(A657,'Subbu- Mini Project EXcel Clean'!A657:A1656,'Subbu- Mini Project EXcel Clean'!N657:N1656,"entry Level",0)</f>
        <v>7</v>
      </c>
      <c r="E657">
        <f>_xlfn.XLOOKUP(A657,'Subbu- Mini Project EXcel Clean'!A657:A1656,'Subbu- Mini Project EXcel Clean'!M657:M1656," ",0)</f>
        <v>68</v>
      </c>
      <c r="F657">
        <f>_xlfn.XLOOKUP(A657,'Subbu- Mini Project EXcel Clean'!A657:A1656,'Subbu- Mini Project EXcel Clean'!P657:P1656," ",0)</f>
        <v>5</v>
      </c>
      <c r="G657" t="str">
        <f>_xlfn.XLOOKUP(A657,'Subbu- Mini Project EXcel Clean'!A657:A1656,'Subbu- Mini Project EXcel Clean'!Q657:Q1656," ",0)</f>
        <v>Moderate</v>
      </c>
      <c r="H657">
        <f>VLOOKUP(A657,'Subbu- Mini Project EXcel Clean'!A656:R1656,15,FALSE)</f>
        <v>3.4</v>
      </c>
    </row>
    <row r="658" spans="1:8" x14ac:dyDescent="0.25">
      <c r="A658" t="s">
        <v>686</v>
      </c>
      <c r="B658">
        <f>_xlfn.XLOOKUP(A658,'Subbu- Mini Project EXcel Clean'!A658:A1657,'Subbu- Mini Project EXcel Clean'!I658:I1657,"Entry Level",0)</f>
        <v>2</v>
      </c>
      <c r="C658" t="str">
        <f>_xlfn.XLOOKUP(A658,'Subbu- Mini Project EXcel Clean'!A658:A1657,'Subbu- Mini Project EXcel Clean'!J658:J1657," ",0)</f>
        <v>Consistent</v>
      </c>
      <c r="D658">
        <f>_xlfn.XLOOKUP(A658,'Subbu- Mini Project EXcel Clean'!A658:A1657,'Subbu- Mini Project EXcel Clean'!N658:N1657,"entry Level",0)</f>
        <v>6.4</v>
      </c>
      <c r="E658">
        <f>_xlfn.XLOOKUP(A658,'Subbu- Mini Project EXcel Clean'!A658:A1657,'Subbu- Mini Project EXcel Clean'!M658:M1657," ",0)</f>
        <v>72.8</v>
      </c>
      <c r="F658">
        <f>_xlfn.XLOOKUP(A658,'Subbu- Mini Project EXcel Clean'!A658:A1657,'Subbu- Mini Project EXcel Clean'!P658:P1657," ",0)</f>
        <v>1</v>
      </c>
      <c r="G658" t="str">
        <f>_xlfn.XLOOKUP(A658,'Subbu- Mini Project EXcel Clean'!A658:A1657,'Subbu- Mini Project EXcel Clean'!Q658:Q1657," ",0)</f>
        <v>Low</v>
      </c>
      <c r="H658">
        <f>VLOOKUP(A658,'Subbu- Mini Project EXcel Clean'!A657:R1657,15,FALSE)</f>
        <v>2.5</v>
      </c>
    </row>
    <row r="659" spans="1:8" x14ac:dyDescent="0.25">
      <c r="A659" t="s">
        <v>687</v>
      </c>
      <c r="B659">
        <f>_xlfn.XLOOKUP(A659,'Subbu- Mini Project EXcel Clean'!A659:A1658,'Subbu- Mini Project EXcel Clean'!I659:I1658,"Entry Level",0)</f>
        <v>4</v>
      </c>
      <c r="C659" t="str">
        <f>_xlfn.XLOOKUP(A659,'Subbu- Mini Project EXcel Clean'!A659:A1658,'Subbu- Mini Project EXcel Clean'!J659:J1658," ",0)</f>
        <v>Excellent</v>
      </c>
      <c r="D659">
        <f>_xlfn.XLOOKUP(A659,'Subbu- Mini Project EXcel Clean'!A659:A1658,'Subbu- Mini Project EXcel Clean'!N659:N1658,"entry Level",0)</f>
        <v>7</v>
      </c>
      <c r="E659">
        <f>_xlfn.XLOOKUP(A659,'Subbu- Mini Project EXcel Clean'!A659:A1658,'Subbu- Mini Project EXcel Clean'!M659:M1658," ",0)</f>
        <v>80.2</v>
      </c>
      <c r="F659">
        <f>_xlfn.XLOOKUP(A659,'Subbu- Mini Project EXcel Clean'!A659:A1658,'Subbu- Mini Project EXcel Clean'!P659:P1658," ",0)</f>
        <v>7</v>
      </c>
      <c r="G659" t="str">
        <f>_xlfn.XLOOKUP(A659,'Subbu- Mini Project EXcel Clean'!A659:A1658,'Subbu- Mini Project EXcel Clean'!Q659:Q1658," ",0)</f>
        <v>High</v>
      </c>
      <c r="H659">
        <f>VLOOKUP(A659,'Subbu- Mini Project EXcel Clean'!A658:R1658,15,FALSE)</f>
        <v>3.6</v>
      </c>
    </row>
    <row r="660" spans="1:8" x14ac:dyDescent="0.25">
      <c r="A660" t="s">
        <v>688</v>
      </c>
      <c r="B660">
        <f>_xlfn.XLOOKUP(A660,'Subbu- Mini Project EXcel Clean'!A660:A1659,'Subbu- Mini Project EXcel Clean'!I660:I1659,"Entry Level",0)</f>
        <v>3</v>
      </c>
      <c r="C660" t="str">
        <f>_xlfn.XLOOKUP(A660,'Subbu- Mini Project EXcel Clean'!A660:A1659,'Subbu- Mini Project EXcel Clean'!J660:J1659," ",0)</f>
        <v>Excellent</v>
      </c>
      <c r="D660">
        <f>_xlfn.XLOOKUP(A660,'Subbu- Mini Project EXcel Clean'!A660:A1659,'Subbu- Mini Project EXcel Clean'!N660:N1659,"entry Level",0)</f>
        <v>7.2</v>
      </c>
      <c r="E660">
        <f>_xlfn.XLOOKUP(A660,'Subbu- Mini Project EXcel Clean'!A660:A1659,'Subbu- Mini Project EXcel Clean'!M660:M1659," ",0)</f>
        <v>96.5</v>
      </c>
      <c r="F660">
        <f>_xlfn.XLOOKUP(A660,'Subbu- Mini Project EXcel Clean'!A660:A1659,'Subbu- Mini Project EXcel Clean'!P660:P1659," ",0)</f>
        <v>2</v>
      </c>
      <c r="G660" t="str">
        <f>_xlfn.XLOOKUP(A660,'Subbu- Mini Project EXcel Clean'!A660:A1659,'Subbu- Mini Project EXcel Clean'!Q660:Q1659," ",0)</f>
        <v>Low</v>
      </c>
      <c r="H660">
        <f>VLOOKUP(A660,'Subbu- Mini Project EXcel Clean'!A659:R1659,15,FALSE)</f>
        <v>1.8</v>
      </c>
    </row>
    <row r="661" spans="1:8" x14ac:dyDescent="0.25">
      <c r="A661" t="s">
        <v>689</v>
      </c>
      <c r="B661">
        <f>_xlfn.XLOOKUP(A661,'Subbu- Mini Project EXcel Clean'!A661:A1660,'Subbu- Mini Project EXcel Clean'!I661:I1660,"Entry Level",0)</f>
        <v>2</v>
      </c>
      <c r="C661" t="str">
        <f>_xlfn.XLOOKUP(A661,'Subbu- Mini Project EXcel Clean'!A661:A1660,'Subbu- Mini Project EXcel Clean'!J661:J1660," ",0)</f>
        <v>Consistent</v>
      </c>
      <c r="D661">
        <f>_xlfn.XLOOKUP(A661,'Subbu- Mini Project EXcel Clean'!A661:A1660,'Subbu- Mini Project EXcel Clean'!N661:N1660,"entry Level",0)</f>
        <v>7</v>
      </c>
      <c r="E661">
        <f>_xlfn.XLOOKUP(A661,'Subbu- Mini Project EXcel Clean'!A661:A1660,'Subbu- Mini Project EXcel Clean'!M661:M1660," ",0)</f>
        <v>59.7</v>
      </c>
      <c r="F661">
        <f>_xlfn.XLOOKUP(A661,'Subbu- Mini Project EXcel Clean'!A661:A1660,'Subbu- Mini Project EXcel Clean'!P661:P1660," ",0)</f>
        <v>1</v>
      </c>
      <c r="G661" t="str">
        <f>_xlfn.XLOOKUP(A661,'Subbu- Mini Project EXcel Clean'!A661:A1660,'Subbu- Mini Project EXcel Clean'!Q661:Q1660," ",0)</f>
        <v>Low</v>
      </c>
      <c r="H661">
        <f>VLOOKUP(A661,'Subbu- Mini Project EXcel Clean'!A660:R1660,15,FALSE)</f>
        <v>5.9</v>
      </c>
    </row>
    <row r="662" spans="1:8" x14ac:dyDescent="0.25">
      <c r="A662" t="s">
        <v>690</v>
      </c>
      <c r="B662">
        <f>_xlfn.XLOOKUP(A662,'Subbu- Mini Project EXcel Clean'!A662:A1661,'Subbu- Mini Project EXcel Clean'!I662:I1661,"Entry Level",0)</f>
        <v>2</v>
      </c>
      <c r="C662" t="str">
        <f>_xlfn.XLOOKUP(A662,'Subbu- Mini Project EXcel Clean'!A662:A1661,'Subbu- Mini Project EXcel Clean'!J662:J1661," ",0)</f>
        <v>Consistent</v>
      </c>
      <c r="D662">
        <f>_xlfn.XLOOKUP(A662,'Subbu- Mini Project EXcel Clean'!A662:A1661,'Subbu- Mini Project EXcel Clean'!N662:N1661,"entry Level",0)</f>
        <v>8.1999999999999993</v>
      </c>
      <c r="E662">
        <f>_xlfn.XLOOKUP(A662,'Subbu- Mini Project EXcel Clean'!A662:A1661,'Subbu- Mini Project EXcel Clean'!M662:M1661," ",0)</f>
        <v>69.400000000000006</v>
      </c>
      <c r="F662">
        <f>_xlfn.XLOOKUP(A662,'Subbu- Mini Project EXcel Clean'!A662:A1661,'Subbu- Mini Project EXcel Clean'!P662:P1661," ",0)</f>
        <v>4</v>
      </c>
      <c r="G662" t="str">
        <f>_xlfn.XLOOKUP(A662,'Subbu- Mini Project EXcel Clean'!A662:A1661,'Subbu- Mini Project EXcel Clean'!Q662:Q1661," ",0)</f>
        <v>Moderate</v>
      </c>
      <c r="H662">
        <f>VLOOKUP(A662,'Subbu- Mini Project EXcel Clean'!A661:R1661,15,FALSE)</f>
        <v>1.5</v>
      </c>
    </row>
    <row r="663" spans="1:8" x14ac:dyDescent="0.25">
      <c r="A663" t="s">
        <v>691</v>
      </c>
      <c r="B663">
        <f>_xlfn.XLOOKUP(A663,'Subbu- Mini Project EXcel Clean'!A663:A1662,'Subbu- Mini Project EXcel Clean'!I663:I1662,"Entry Level",0)</f>
        <v>2</v>
      </c>
      <c r="C663" t="str">
        <f>_xlfn.XLOOKUP(A663,'Subbu- Mini Project EXcel Clean'!A663:A1662,'Subbu- Mini Project EXcel Clean'!J663:J1662," ",0)</f>
        <v>Consistent</v>
      </c>
      <c r="D663">
        <f>_xlfn.XLOOKUP(A663,'Subbu- Mini Project EXcel Clean'!A663:A1662,'Subbu- Mini Project EXcel Clean'!N663:N1662,"entry Level",0)</f>
        <v>6.7</v>
      </c>
      <c r="E663">
        <f>_xlfn.XLOOKUP(A663,'Subbu- Mini Project EXcel Clean'!A663:A1662,'Subbu- Mini Project EXcel Clean'!M663:M1662," ",0)</f>
        <v>71.599999999999994</v>
      </c>
      <c r="F663">
        <f>_xlfn.XLOOKUP(A663,'Subbu- Mini Project EXcel Clean'!A663:A1662,'Subbu- Mini Project EXcel Clean'!P663:P1662," ",0)</f>
        <v>4</v>
      </c>
      <c r="G663" t="str">
        <f>_xlfn.XLOOKUP(A663,'Subbu- Mini Project EXcel Clean'!A663:A1662,'Subbu- Mini Project EXcel Clean'!Q663:Q1662," ",0)</f>
        <v>Moderate</v>
      </c>
      <c r="H663">
        <f>VLOOKUP(A663,'Subbu- Mini Project EXcel Clean'!A662:R1662,15,FALSE)</f>
        <v>5.7</v>
      </c>
    </row>
    <row r="664" spans="1:8" x14ac:dyDescent="0.25">
      <c r="A664" t="s">
        <v>692</v>
      </c>
      <c r="B664">
        <f>_xlfn.XLOOKUP(A664,'Subbu- Mini Project EXcel Clean'!A664:A1663,'Subbu- Mini Project EXcel Clean'!I664:I1663,"Entry Level",0)</f>
        <v>2</v>
      </c>
      <c r="C664" t="str">
        <f>_xlfn.XLOOKUP(A664,'Subbu- Mini Project EXcel Clean'!A664:A1663,'Subbu- Mini Project EXcel Clean'!J664:J1663," ",0)</f>
        <v>Consistent</v>
      </c>
      <c r="D664">
        <f>_xlfn.XLOOKUP(A664,'Subbu- Mini Project EXcel Clean'!A664:A1663,'Subbu- Mini Project EXcel Clean'!N664:N1663,"entry Level",0)</f>
        <v>6.2</v>
      </c>
      <c r="E664">
        <f>_xlfn.XLOOKUP(A664,'Subbu- Mini Project EXcel Clean'!A664:A1663,'Subbu- Mini Project EXcel Clean'!M664:M1663," ",0)</f>
        <v>71.5</v>
      </c>
      <c r="F664">
        <f>_xlfn.XLOOKUP(A664,'Subbu- Mini Project EXcel Clean'!A664:A1663,'Subbu- Mini Project EXcel Clean'!P664:P1663," ",0)</f>
        <v>2</v>
      </c>
      <c r="G664" t="str">
        <f>_xlfn.XLOOKUP(A664,'Subbu- Mini Project EXcel Clean'!A664:A1663,'Subbu- Mini Project EXcel Clean'!Q664:Q1663," ",0)</f>
        <v>Low</v>
      </c>
      <c r="H664">
        <f>VLOOKUP(A664,'Subbu- Mini Project EXcel Clean'!A663:R1663,15,FALSE)</f>
        <v>5.6</v>
      </c>
    </row>
    <row r="665" spans="1:8" x14ac:dyDescent="0.25">
      <c r="A665" t="s">
        <v>693</v>
      </c>
      <c r="B665">
        <f>_xlfn.XLOOKUP(A665,'Subbu- Mini Project EXcel Clean'!A665:A1664,'Subbu- Mini Project EXcel Clean'!I665:I1664,"Entry Level",0)</f>
        <v>3</v>
      </c>
      <c r="C665" t="str">
        <f>_xlfn.XLOOKUP(A665,'Subbu- Mini Project EXcel Clean'!A665:A1664,'Subbu- Mini Project EXcel Clean'!J665:J1664," ",0)</f>
        <v>Consistent</v>
      </c>
      <c r="D665">
        <f>_xlfn.XLOOKUP(A665,'Subbu- Mini Project EXcel Clean'!A665:A1664,'Subbu- Mini Project EXcel Clean'!N665:N1664,"entry Level",0)</f>
        <v>7.9</v>
      </c>
      <c r="E665">
        <f>_xlfn.XLOOKUP(A665,'Subbu- Mini Project EXcel Clean'!A665:A1664,'Subbu- Mini Project EXcel Clean'!M665:M1664," ",0)</f>
        <v>81.2</v>
      </c>
      <c r="F665">
        <f>_xlfn.XLOOKUP(A665,'Subbu- Mini Project EXcel Clean'!A665:A1664,'Subbu- Mini Project EXcel Clean'!P665:P1664," ",0)</f>
        <v>2</v>
      </c>
      <c r="G665" t="str">
        <f>_xlfn.XLOOKUP(A665,'Subbu- Mini Project EXcel Clean'!A665:A1664,'Subbu- Mini Project EXcel Clean'!Q665:Q1664," ",0)</f>
        <v>Low</v>
      </c>
      <c r="H665">
        <f>VLOOKUP(A665,'Subbu- Mini Project EXcel Clean'!A664:R1664,15,FALSE)</f>
        <v>3.6</v>
      </c>
    </row>
    <row r="666" spans="1:8" x14ac:dyDescent="0.25">
      <c r="A666" t="s">
        <v>694</v>
      </c>
      <c r="B666">
        <f>_xlfn.XLOOKUP(A666,'Subbu- Mini Project EXcel Clean'!A666:A1665,'Subbu- Mini Project EXcel Clean'!I666:I1665,"Entry Level",0)</f>
        <v>4</v>
      </c>
      <c r="C666" t="str">
        <f>_xlfn.XLOOKUP(A666,'Subbu- Mini Project EXcel Clean'!A666:A1665,'Subbu- Mini Project EXcel Clean'!J666:J1665," ",0)</f>
        <v>Excellent</v>
      </c>
      <c r="D666">
        <f>_xlfn.XLOOKUP(A666,'Subbu- Mini Project EXcel Clean'!A666:A1665,'Subbu- Mini Project EXcel Clean'!N666:N1665,"entry Level",0)</f>
        <v>5.8</v>
      </c>
      <c r="E666">
        <f>_xlfn.XLOOKUP(A666,'Subbu- Mini Project EXcel Clean'!A666:A1665,'Subbu- Mini Project EXcel Clean'!M666:M1665," ",0)</f>
        <v>97.2</v>
      </c>
      <c r="F666">
        <f>_xlfn.XLOOKUP(A666,'Subbu- Mini Project EXcel Clean'!A666:A1665,'Subbu- Mini Project EXcel Clean'!P666:P1665," ",0)</f>
        <v>3</v>
      </c>
      <c r="G666" t="str">
        <f>_xlfn.XLOOKUP(A666,'Subbu- Mini Project EXcel Clean'!A666:A1665,'Subbu- Mini Project EXcel Clean'!Q666:Q1665," ",0)</f>
        <v>Moderate</v>
      </c>
      <c r="H666">
        <f>VLOOKUP(A666,'Subbu- Mini Project EXcel Clean'!A665:R1665,15,FALSE)</f>
        <v>4.5999999999999996</v>
      </c>
    </row>
    <row r="667" spans="1:8" x14ac:dyDescent="0.25">
      <c r="A667" t="s">
        <v>695</v>
      </c>
      <c r="B667">
        <f>_xlfn.XLOOKUP(A667,'Subbu- Mini Project EXcel Clean'!A667:A1666,'Subbu- Mini Project EXcel Clean'!I667:I1666,"Entry Level",0)</f>
        <v>2</v>
      </c>
      <c r="C667" t="str">
        <f>_xlfn.XLOOKUP(A667,'Subbu- Mini Project EXcel Clean'!A667:A1666,'Subbu- Mini Project EXcel Clean'!J667:J1666," ",0)</f>
        <v>Consistent</v>
      </c>
      <c r="D667">
        <f>_xlfn.XLOOKUP(A667,'Subbu- Mini Project EXcel Clean'!A667:A1666,'Subbu- Mini Project EXcel Clean'!N667:N1666,"entry Level",0)</f>
        <v>6.3</v>
      </c>
      <c r="E667">
        <f>_xlfn.XLOOKUP(A667,'Subbu- Mini Project EXcel Clean'!A667:A1666,'Subbu- Mini Project EXcel Clean'!M667:M1666," ",0)</f>
        <v>71.2</v>
      </c>
      <c r="F667">
        <f>_xlfn.XLOOKUP(A667,'Subbu- Mini Project EXcel Clean'!A667:A1666,'Subbu- Mini Project EXcel Clean'!P667:P1666," ",0)</f>
        <v>2</v>
      </c>
      <c r="G667" t="str">
        <f>_xlfn.XLOOKUP(A667,'Subbu- Mini Project EXcel Clean'!A667:A1666,'Subbu- Mini Project EXcel Clean'!Q667:Q1666," ",0)</f>
        <v>Low</v>
      </c>
      <c r="H667">
        <f>VLOOKUP(A667,'Subbu- Mini Project EXcel Clean'!A666:R1666,15,FALSE)</f>
        <v>3.2</v>
      </c>
    </row>
    <row r="668" spans="1:8" x14ac:dyDescent="0.25">
      <c r="A668" t="s">
        <v>696</v>
      </c>
      <c r="B668">
        <f>_xlfn.XLOOKUP(A668,'Subbu- Mini Project EXcel Clean'!A668:A1667,'Subbu- Mini Project EXcel Clean'!I668:I1667,"Entry Level",0)</f>
        <v>3</v>
      </c>
      <c r="C668" t="str">
        <f>_xlfn.XLOOKUP(A668,'Subbu- Mini Project EXcel Clean'!A668:A1667,'Subbu- Mini Project EXcel Clean'!J668:J1667," ",0)</f>
        <v>Consistent</v>
      </c>
      <c r="D668">
        <f>_xlfn.XLOOKUP(A668,'Subbu- Mini Project EXcel Clean'!A668:A1667,'Subbu- Mini Project EXcel Clean'!N668:N1667,"entry Level",0)</f>
        <v>6.7</v>
      </c>
      <c r="E668">
        <f>_xlfn.XLOOKUP(A668,'Subbu- Mini Project EXcel Clean'!A668:A1667,'Subbu- Mini Project EXcel Clean'!M668:M1667," ",0)</f>
        <v>69.400000000000006</v>
      </c>
      <c r="F668">
        <f>_xlfn.XLOOKUP(A668,'Subbu- Mini Project EXcel Clean'!A668:A1667,'Subbu- Mini Project EXcel Clean'!P668:P1667," ",0)</f>
        <v>3</v>
      </c>
      <c r="G668" t="str">
        <f>_xlfn.XLOOKUP(A668,'Subbu- Mini Project EXcel Clean'!A668:A1667,'Subbu- Mini Project EXcel Clean'!Q668:Q1667," ",0)</f>
        <v>Low</v>
      </c>
      <c r="H668">
        <f>VLOOKUP(A668,'Subbu- Mini Project EXcel Clean'!A667:R1667,15,FALSE)</f>
        <v>4.2</v>
      </c>
    </row>
    <row r="669" spans="1:8" x14ac:dyDescent="0.25">
      <c r="A669" t="s">
        <v>697</v>
      </c>
      <c r="B669">
        <f>_xlfn.XLOOKUP(A669,'Subbu- Mini Project EXcel Clean'!A669:A1668,'Subbu- Mini Project EXcel Clean'!I669:I1668,"Entry Level",0)</f>
        <v>3</v>
      </c>
      <c r="C669" t="str">
        <f>_xlfn.XLOOKUP(A669,'Subbu- Mini Project EXcel Clean'!A669:A1668,'Subbu- Mini Project EXcel Clean'!J669:J1668," ",0)</f>
        <v>Consistent</v>
      </c>
      <c r="D669">
        <f>_xlfn.XLOOKUP(A669,'Subbu- Mini Project EXcel Clean'!A669:A1668,'Subbu- Mini Project EXcel Clean'!N669:N1668,"entry Level",0)</f>
        <v>8.3000000000000007</v>
      </c>
      <c r="E669">
        <f>_xlfn.XLOOKUP(A669,'Subbu- Mini Project EXcel Clean'!A669:A1668,'Subbu- Mini Project EXcel Clean'!M669:M1668," ",0)</f>
        <v>74.400000000000006</v>
      </c>
      <c r="F669">
        <f>_xlfn.XLOOKUP(A669,'Subbu- Mini Project EXcel Clean'!A669:A1668,'Subbu- Mini Project EXcel Clean'!P669:P1668," ",0)</f>
        <v>1</v>
      </c>
      <c r="G669" t="str">
        <f>_xlfn.XLOOKUP(A669,'Subbu- Mini Project EXcel Clean'!A669:A1668,'Subbu- Mini Project EXcel Clean'!Q669:Q1668," ",0)</f>
        <v>Low</v>
      </c>
      <c r="H669">
        <f>VLOOKUP(A669,'Subbu- Mini Project EXcel Clean'!A668:R1668,15,FALSE)</f>
        <v>2.7</v>
      </c>
    </row>
    <row r="670" spans="1:8" x14ac:dyDescent="0.25">
      <c r="A670" t="s">
        <v>698</v>
      </c>
      <c r="B670">
        <f>_xlfn.XLOOKUP(A670,'Subbu- Mini Project EXcel Clean'!A670:A1669,'Subbu- Mini Project EXcel Clean'!I670:I1669,"Entry Level",0)</f>
        <v>5</v>
      </c>
      <c r="C670" t="str">
        <f>_xlfn.XLOOKUP(A670,'Subbu- Mini Project EXcel Clean'!A670:A1669,'Subbu- Mini Project EXcel Clean'!J670:J1669," ",0)</f>
        <v>Good</v>
      </c>
      <c r="D670">
        <f>_xlfn.XLOOKUP(A670,'Subbu- Mini Project EXcel Clean'!A670:A1669,'Subbu- Mini Project EXcel Clean'!N670:N1669,"entry Level",0)</f>
        <v>7.1</v>
      </c>
      <c r="E670">
        <f>_xlfn.XLOOKUP(A670,'Subbu- Mini Project EXcel Clean'!A670:A1669,'Subbu- Mini Project EXcel Clean'!M670:M1669," ",0)</f>
        <v>100.6</v>
      </c>
      <c r="F670">
        <f>_xlfn.XLOOKUP(A670,'Subbu- Mini Project EXcel Clean'!A670:A1669,'Subbu- Mini Project EXcel Clean'!P670:P1669," ",0)</f>
        <v>5</v>
      </c>
      <c r="G670" t="str">
        <f>_xlfn.XLOOKUP(A670,'Subbu- Mini Project EXcel Clean'!A670:A1669,'Subbu- Mini Project EXcel Clean'!Q670:Q1669," ",0)</f>
        <v>Moderate</v>
      </c>
      <c r="H670">
        <f>VLOOKUP(A670,'Subbu- Mini Project EXcel Clean'!A669:R1669,15,FALSE)</f>
        <v>2.5</v>
      </c>
    </row>
    <row r="671" spans="1:8" x14ac:dyDescent="0.25">
      <c r="A671" t="s">
        <v>699</v>
      </c>
      <c r="B671">
        <f>_xlfn.XLOOKUP(A671,'Subbu- Mini Project EXcel Clean'!A671:A1670,'Subbu- Mini Project EXcel Clean'!I671:I1670,"Entry Level",0)</f>
        <v>5</v>
      </c>
      <c r="C671" t="str">
        <f>_xlfn.XLOOKUP(A671,'Subbu- Mini Project EXcel Clean'!A671:A1670,'Subbu- Mini Project EXcel Clean'!J671:J1670," ",0)</f>
        <v>Good</v>
      </c>
      <c r="D671">
        <f>_xlfn.XLOOKUP(A671,'Subbu- Mini Project EXcel Clean'!A671:A1670,'Subbu- Mini Project EXcel Clean'!N671:N1670,"entry Level",0)</f>
        <v>6.7</v>
      </c>
      <c r="E671">
        <f>_xlfn.XLOOKUP(A671,'Subbu- Mini Project EXcel Clean'!A671:A1670,'Subbu- Mini Project EXcel Clean'!M671:M1670," ",0)</f>
        <v>108.5</v>
      </c>
      <c r="F671">
        <f>_xlfn.XLOOKUP(A671,'Subbu- Mini Project EXcel Clean'!A671:A1670,'Subbu- Mini Project EXcel Clean'!P671:P1670," ",0)</f>
        <v>5</v>
      </c>
      <c r="G671" t="str">
        <f>_xlfn.XLOOKUP(A671,'Subbu- Mini Project EXcel Clean'!A671:A1670,'Subbu- Mini Project EXcel Clean'!Q671:Q1670," ",0)</f>
        <v>Moderate</v>
      </c>
      <c r="H671">
        <f>VLOOKUP(A671,'Subbu- Mini Project EXcel Clean'!A670:R1670,15,FALSE)</f>
        <v>3.9</v>
      </c>
    </row>
    <row r="672" spans="1:8" x14ac:dyDescent="0.25">
      <c r="A672" t="s">
        <v>700</v>
      </c>
      <c r="B672">
        <f>_xlfn.XLOOKUP(A672,'Subbu- Mini Project EXcel Clean'!A672:A1671,'Subbu- Mini Project EXcel Clean'!I672:I1671,"Entry Level",0)</f>
        <v>4</v>
      </c>
      <c r="C672" t="str">
        <f>_xlfn.XLOOKUP(A672,'Subbu- Mini Project EXcel Clean'!A672:A1671,'Subbu- Mini Project EXcel Clean'!J672:J1671," ",0)</f>
        <v>Good</v>
      </c>
      <c r="D672">
        <f>_xlfn.XLOOKUP(A672,'Subbu- Mini Project EXcel Clean'!A672:A1671,'Subbu- Mini Project EXcel Clean'!N672:N1671,"entry Level",0)</f>
        <v>6.2</v>
      </c>
      <c r="E672">
        <f>_xlfn.XLOOKUP(A672,'Subbu- Mini Project EXcel Clean'!A672:A1671,'Subbu- Mini Project EXcel Clean'!M672:M1671," ",0)</f>
        <v>85</v>
      </c>
      <c r="F672">
        <f>_xlfn.XLOOKUP(A672,'Subbu- Mini Project EXcel Clean'!A672:A1671,'Subbu- Mini Project EXcel Clean'!P672:P1671," ",0)</f>
        <v>5</v>
      </c>
      <c r="G672" t="str">
        <f>_xlfn.XLOOKUP(A672,'Subbu- Mini Project EXcel Clean'!A672:A1671,'Subbu- Mini Project EXcel Clean'!Q672:Q1671," ",0)</f>
        <v>Moderate</v>
      </c>
      <c r="H672">
        <f>VLOOKUP(A672,'Subbu- Mini Project EXcel Clean'!A671:R1671,15,FALSE)</f>
        <v>3.5</v>
      </c>
    </row>
    <row r="673" spans="1:8" x14ac:dyDescent="0.25">
      <c r="A673" t="s">
        <v>701</v>
      </c>
      <c r="B673">
        <f>_xlfn.XLOOKUP(A673,'Subbu- Mini Project EXcel Clean'!A673:A1672,'Subbu- Mini Project EXcel Clean'!I673:I1672,"Entry Level",0)</f>
        <v>2</v>
      </c>
      <c r="C673" t="str">
        <f>_xlfn.XLOOKUP(A673,'Subbu- Mini Project EXcel Clean'!A673:A1672,'Subbu- Mini Project EXcel Clean'!J673:J1672," ",0)</f>
        <v>Consistent</v>
      </c>
      <c r="D673">
        <f>_xlfn.XLOOKUP(A673,'Subbu- Mini Project EXcel Clean'!A673:A1672,'Subbu- Mini Project EXcel Clean'!N673:N1672,"entry Level",0)</f>
        <v>7.3</v>
      </c>
      <c r="E673">
        <f>_xlfn.XLOOKUP(A673,'Subbu- Mini Project EXcel Clean'!A673:A1672,'Subbu- Mini Project EXcel Clean'!M673:M1672," ",0)</f>
        <v>75.7</v>
      </c>
      <c r="F673">
        <f>_xlfn.XLOOKUP(A673,'Subbu- Mini Project EXcel Clean'!A673:A1672,'Subbu- Mini Project EXcel Clean'!P673:P1672," ",0)</f>
        <v>1</v>
      </c>
      <c r="G673" t="str">
        <f>_xlfn.XLOOKUP(A673,'Subbu- Mini Project EXcel Clean'!A673:A1672,'Subbu- Mini Project EXcel Clean'!Q673:Q1672," ",0)</f>
        <v>Low</v>
      </c>
      <c r="H673">
        <f>VLOOKUP(A673,'Subbu- Mini Project EXcel Clean'!A672:R1672,15,FALSE)</f>
        <v>3.9</v>
      </c>
    </row>
    <row r="674" spans="1:8" x14ac:dyDescent="0.25">
      <c r="A674" t="s">
        <v>702</v>
      </c>
      <c r="B674">
        <f>_xlfn.XLOOKUP(A674,'Subbu- Mini Project EXcel Clean'!A674:A1673,'Subbu- Mini Project EXcel Clean'!I674:I1673,"Entry Level",0)</f>
        <v>1</v>
      </c>
      <c r="C674" t="str">
        <f>_xlfn.XLOOKUP(A674,'Subbu- Mini Project EXcel Clean'!A674:A1673,'Subbu- Mini Project EXcel Clean'!J674:J1673," ",0)</f>
        <v>Consistent</v>
      </c>
      <c r="D674">
        <f>_xlfn.XLOOKUP(A674,'Subbu- Mini Project EXcel Clean'!A674:A1673,'Subbu- Mini Project EXcel Clean'!N674:N1673,"entry Level",0)</f>
        <v>7.7</v>
      </c>
      <c r="E674">
        <f>_xlfn.XLOOKUP(A674,'Subbu- Mini Project EXcel Clean'!A674:A1673,'Subbu- Mini Project EXcel Clean'!M674:M1673," ",0)</f>
        <v>63.6</v>
      </c>
      <c r="F674">
        <f>_xlfn.XLOOKUP(A674,'Subbu- Mini Project EXcel Clean'!A674:A1673,'Subbu- Mini Project EXcel Clean'!P674:P1673," ",0)</f>
        <v>3</v>
      </c>
      <c r="G674" t="str">
        <f>_xlfn.XLOOKUP(A674,'Subbu- Mini Project EXcel Clean'!A674:A1673,'Subbu- Mini Project EXcel Clean'!Q674:Q1673," ",0)</f>
        <v>Low</v>
      </c>
      <c r="H674">
        <f>VLOOKUP(A674,'Subbu- Mini Project EXcel Clean'!A673:R1673,15,FALSE)</f>
        <v>2.4</v>
      </c>
    </row>
    <row r="675" spans="1:8" x14ac:dyDescent="0.25">
      <c r="A675" t="s">
        <v>703</v>
      </c>
      <c r="B675">
        <f>_xlfn.XLOOKUP(A675,'Subbu- Mini Project EXcel Clean'!A675:A1674,'Subbu- Mini Project EXcel Clean'!I675:I1674,"Entry Level",0)</f>
        <v>2</v>
      </c>
      <c r="C675" t="str">
        <f>_xlfn.XLOOKUP(A675,'Subbu- Mini Project EXcel Clean'!A675:A1674,'Subbu- Mini Project EXcel Clean'!J675:J1674," ",0)</f>
        <v>Consistent</v>
      </c>
      <c r="D675">
        <f>_xlfn.XLOOKUP(A675,'Subbu- Mini Project EXcel Clean'!A675:A1674,'Subbu- Mini Project EXcel Clean'!N675:N1674,"entry Level",0)</f>
        <v>7.5</v>
      </c>
      <c r="E675">
        <f>_xlfn.XLOOKUP(A675,'Subbu- Mini Project EXcel Clean'!A675:A1674,'Subbu- Mini Project EXcel Clean'!M675:M1674," ",0)</f>
        <v>76.900000000000006</v>
      </c>
      <c r="F675">
        <f>_xlfn.XLOOKUP(A675,'Subbu- Mini Project EXcel Clean'!A675:A1674,'Subbu- Mini Project EXcel Clean'!P675:P1674," ",0)</f>
        <v>4</v>
      </c>
      <c r="G675" t="str">
        <f>_xlfn.XLOOKUP(A675,'Subbu- Mini Project EXcel Clean'!A675:A1674,'Subbu- Mini Project EXcel Clean'!Q675:Q1674," ",0)</f>
        <v>Moderate</v>
      </c>
      <c r="H675">
        <f>VLOOKUP(A675,'Subbu- Mini Project EXcel Clean'!A674:R1674,15,FALSE)</f>
        <v>2.8</v>
      </c>
    </row>
    <row r="676" spans="1:8" x14ac:dyDescent="0.25">
      <c r="A676" t="s">
        <v>704</v>
      </c>
      <c r="B676">
        <f>_xlfn.XLOOKUP(A676,'Subbu- Mini Project EXcel Clean'!A676:A1675,'Subbu- Mini Project EXcel Clean'!I676:I1675,"Entry Level",0)</f>
        <v>2</v>
      </c>
      <c r="C676" t="str">
        <f>_xlfn.XLOOKUP(A676,'Subbu- Mini Project EXcel Clean'!A676:A1675,'Subbu- Mini Project EXcel Clean'!J676:J1675," ",0)</f>
        <v>Consistent</v>
      </c>
      <c r="D676">
        <f>_xlfn.XLOOKUP(A676,'Subbu- Mini Project EXcel Clean'!A676:A1675,'Subbu- Mini Project EXcel Clean'!N676:N1675,"entry Level",0)</f>
        <v>7.3</v>
      </c>
      <c r="E676">
        <f>_xlfn.XLOOKUP(A676,'Subbu- Mini Project EXcel Clean'!A676:A1675,'Subbu- Mini Project EXcel Clean'!M676:M1675," ",0)</f>
        <v>70.2</v>
      </c>
      <c r="F676">
        <f>_xlfn.XLOOKUP(A676,'Subbu- Mini Project EXcel Clean'!A676:A1675,'Subbu- Mini Project EXcel Clean'!P676:P1675," ",0)</f>
        <v>6</v>
      </c>
      <c r="G676" t="str">
        <f>_xlfn.XLOOKUP(A676,'Subbu- Mini Project EXcel Clean'!A676:A1675,'Subbu- Mini Project EXcel Clean'!Q676:Q1675," ",0)</f>
        <v>High</v>
      </c>
      <c r="H676">
        <f>VLOOKUP(A676,'Subbu- Mini Project EXcel Clean'!A675:R1675,15,FALSE)</f>
        <v>1.4</v>
      </c>
    </row>
    <row r="677" spans="1:8" x14ac:dyDescent="0.25">
      <c r="A677" t="s">
        <v>705</v>
      </c>
      <c r="B677">
        <f>_xlfn.XLOOKUP(A677,'Subbu- Mini Project EXcel Clean'!A677:A1676,'Subbu- Mini Project EXcel Clean'!I677:I1676,"Entry Level",0)</f>
        <v>3</v>
      </c>
      <c r="C677" t="str">
        <f>_xlfn.XLOOKUP(A677,'Subbu- Mini Project EXcel Clean'!A677:A1676,'Subbu- Mini Project EXcel Clean'!J677:J1676," ",0)</f>
        <v>Consistent</v>
      </c>
      <c r="D677">
        <f>_xlfn.XLOOKUP(A677,'Subbu- Mini Project EXcel Clean'!A677:A1676,'Subbu- Mini Project EXcel Clean'!N677:N1676,"entry Level",0)</f>
        <v>7.3</v>
      </c>
      <c r="E677">
        <f>_xlfn.XLOOKUP(A677,'Subbu- Mini Project EXcel Clean'!A677:A1676,'Subbu- Mini Project EXcel Clean'!M677:M1676," ",0)</f>
        <v>76</v>
      </c>
      <c r="F677">
        <f>_xlfn.XLOOKUP(A677,'Subbu- Mini Project EXcel Clean'!A677:A1676,'Subbu- Mini Project EXcel Clean'!P677:P1676," ",0)</f>
        <v>8</v>
      </c>
      <c r="G677" t="str">
        <f>_xlfn.XLOOKUP(A677,'Subbu- Mini Project EXcel Clean'!A677:A1676,'Subbu- Mini Project EXcel Clean'!Q677:Q1676," ",0)</f>
        <v>High</v>
      </c>
      <c r="H677">
        <f>VLOOKUP(A677,'Subbu- Mini Project EXcel Clean'!A676:R1676,15,FALSE)</f>
        <v>1.3</v>
      </c>
    </row>
    <row r="678" spans="1:8" x14ac:dyDescent="0.25">
      <c r="A678" t="s">
        <v>706</v>
      </c>
      <c r="B678">
        <f>_xlfn.XLOOKUP(A678,'Subbu- Mini Project EXcel Clean'!A678:A1677,'Subbu- Mini Project EXcel Clean'!I678:I1677,"Entry Level",0)</f>
        <v>4</v>
      </c>
      <c r="C678" t="str">
        <f>_xlfn.XLOOKUP(A678,'Subbu- Mini Project EXcel Clean'!A678:A1677,'Subbu- Mini Project EXcel Clean'!J678:J1677," ",0)</f>
        <v>Good</v>
      </c>
      <c r="D678">
        <f>_xlfn.XLOOKUP(A678,'Subbu- Mini Project EXcel Clean'!A678:A1677,'Subbu- Mini Project EXcel Clean'!N678:N1677,"entry Level",0)</f>
        <v>6.7</v>
      </c>
      <c r="E678">
        <f>_xlfn.XLOOKUP(A678,'Subbu- Mini Project EXcel Clean'!A678:A1677,'Subbu- Mini Project EXcel Clean'!M678:M1677," ",0)</f>
        <v>94.9</v>
      </c>
      <c r="F678">
        <f>_xlfn.XLOOKUP(A678,'Subbu- Mini Project EXcel Clean'!A678:A1677,'Subbu- Mini Project EXcel Clean'!P678:P1677," ",0)</f>
        <v>5</v>
      </c>
      <c r="G678" t="str">
        <f>_xlfn.XLOOKUP(A678,'Subbu- Mini Project EXcel Clean'!A678:A1677,'Subbu- Mini Project EXcel Clean'!Q678:Q1677," ",0)</f>
        <v>Moderate</v>
      </c>
      <c r="H678">
        <f>VLOOKUP(A678,'Subbu- Mini Project EXcel Clean'!A677:R1677,15,FALSE)</f>
        <v>2.2999999999999998</v>
      </c>
    </row>
    <row r="679" spans="1:8" x14ac:dyDescent="0.25">
      <c r="A679" t="s">
        <v>707</v>
      </c>
      <c r="B679">
        <f>_xlfn.XLOOKUP(A679,'Subbu- Mini Project EXcel Clean'!A679:A1678,'Subbu- Mini Project EXcel Clean'!I679:I1678,"Entry Level",0)</f>
        <v>4</v>
      </c>
      <c r="C679" t="str">
        <f>_xlfn.XLOOKUP(A679,'Subbu- Mini Project EXcel Clean'!A679:A1678,'Subbu- Mini Project EXcel Clean'!J679:J1678," ",0)</f>
        <v>Good</v>
      </c>
      <c r="D679">
        <f>_xlfn.XLOOKUP(A679,'Subbu- Mini Project EXcel Clean'!A679:A1678,'Subbu- Mini Project EXcel Clean'!N679:N1678,"entry Level",0)</f>
        <v>7.6</v>
      </c>
      <c r="E679">
        <f>_xlfn.XLOOKUP(A679,'Subbu- Mini Project EXcel Clean'!A679:A1678,'Subbu- Mini Project EXcel Clean'!M679:M1678," ",0)</f>
        <v>97.6</v>
      </c>
      <c r="F679">
        <f>_xlfn.XLOOKUP(A679,'Subbu- Mini Project EXcel Clean'!A679:A1678,'Subbu- Mini Project EXcel Clean'!P679:P1678," ",0)</f>
        <v>4</v>
      </c>
      <c r="G679" t="str">
        <f>_xlfn.XLOOKUP(A679,'Subbu- Mini Project EXcel Clean'!A679:A1678,'Subbu- Mini Project EXcel Clean'!Q679:Q1678," ",0)</f>
        <v>Moderate</v>
      </c>
      <c r="H679">
        <f>VLOOKUP(A679,'Subbu- Mini Project EXcel Clean'!A678:R1678,15,FALSE)</f>
        <v>1.4</v>
      </c>
    </row>
    <row r="680" spans="1:8" x14ac:dyDescent="0.25">
      <c r="A680" t="s">
        <v>708</v>
      </c>
      <c r="B680">
        <f>_xlfn.XLOOKUP(A680,'Subbu- Mini Project EXcel Clean'!A680:A1679,'Subbu- Mini Project EXcel Clean'!I680:I1679,"Entry Level",0)</f>
        <v>4</v>
      </c>
      <c r="C680" t="str">
        <f>_xlfn.XLOOKUP(A680,'Subbu- Mini Project EXcel Clean'!A680:A1679,'Subbu- Mini Project EXcel Clean'!J680:J1679," ",0)</f>
        <v>Good</v>
      </c>
      <c r="D680">
        <f>_xlfn.XLOOKUP(A680,'Subbu- Mini Project EXcel Clean'!A680:A1679,'Subbu- Mini Project EXcel Clean'!N680:N1679,"entry Level",0)</f>
        <v>7</v>
      </c>
      <c r="E680">
        <f>_xlfn.XLOOKUP(A680,'Subbu- Mini Project EXcel Clean'!A680:A1679,'Subbu- Mini Project EXcel Clean'!M680:M1679," ",0)</f>
        <v>98.7</v>
      </c>
      <c r="F680">
        <f>_xlfn.XLOOKUP(A680,'Subbu- Mini Project EXcel Clean'!A680:A1679,'Subbu- Mini Project EXcel Clean'!P680:P1679," ",0)</f>
        <v>1</v>
      </c>
      <c r="G680" t="str">
        <f>_xlfn.XLOOKUP(A680,'Subbu- Mini Project EXcel Clean'!A680:A1679,'Subbu- Mini Project EXcel Clean'!Q680:Q1679," ",0)</f>
        <v>Low</v>
      </c>
      <c r="H680">
        <f>VLOOKUP(A680,'Subbu- Mini Project EXcel Clean'!A679:R1679,15,FALSE)</f>
        <v>1.5</v>
      </c>
    </row>
    <row r="681" spans="1:8" x14ac:dyDescent="0.25">
      <c r="A681" t="s">
        <v>709</v>
      </c>
      <c r="B681">
        <f>_xlfn.XLOOKUP(A681,'Subbu- Mini Project EXcel Clean'!A681:A1680,'Subbu- Mini Project EXcel Clean'!I681:I1680,"Entry Level",0)</f>
        <v>2</v>
      </c>
      <c r="C681" t="str">
        <f>_xlfn.XLOOKUP(A681,'Subbu- Mini Project EXcel Clean'!A681:A1680,'Subbu- Mini Project EXcel Clean'!J681:J1680," ",0)</f>
        <v>Consistent</v>
      </c>
      <c r="D681">
        <f>_xlfn.XLOOKUP(A681,'Subbu- Mini Project EXcel Clean'!A681:A1680,'Subbu- Mini Project EXcel Clean'!N681:N1680,"entry Level",0)</f>
        <v>5.9</v>
      </c>
      <c r="E681">
        <f>_xlfn.XLOOKUP(A681,'Subbu- Mini Project EXcel Clean'!A681:A1680,'Subbu- Mini Project EXcel Clean'!M681:M1680," ",0)</f>
        <v>74.3</v>
      </c>
      <c r="F681">
        <f>_xlfn.XLOOKUP(A681,'Subbu- Mini Project EXcel Clean'!A681:A1680,'Subbu- Mini Project EXcel Clean'!P681:P1680," ",0)</f>
        <v>2</v>
      </c>
      <c r="G681" t="str">
        <f>_xlfn.XLOOKUP(A681,'Subbu- Mini Project EXcel Clean'!A681:A1680,'Subbu- Mini Project EXcel Clean'!Q681:Q1680," ",0)</f>
        <v>Low</v>
      </c>
      <c r="H681">
        <f>VLOOKUP(A681,'Subbu- Mini Project EXcel Clean'!A680:R1680,15,FALSE)</f>
        <v>5.0999999999999996</v>
      </c>
    </row>
    <row r="682" spans="1:8" x14ac:dyDescent="0.25">
      <c r="A682" t="s">
        <v>710</v>
      </c>
      <c r="B682">
        <f>_xlfn.XLOOKUP(A682,'Subbu- Mini Project EXcel Clean'!A682:A1681,'Subbu- Mini Project EXcel Clean'!I682:I1681,"Entry Level",0)</f>
        <v>4</v>
      </c>
      <c r="C682" t="str">
        <f>_xlfn.XLOOKUP(A682,'Subbu- Mini Project EXcel Clean'!A682:A1681,'Subbu- Mini Project EXcel Clean'!J682:J1681," ",0)</f>
        <v>Excellent</v>
      </c>
      <c r="D682">
        <f>_xlfn.XLOOKUP(A682,'Subbu- Mini Project EXcel Clean'!A682:A1681,'Subbu- Mini Project EXcel Clean'!N682:N1681,"entry Level",0)</f>
        <v>7.4</v>
      </c>
      <c r="E682">
        <f>_xlfn.XLOOKUP(A682,'Subbu- Mini Project EXcel Clean'!A682:A1681,'Subbu- Mini Project EXcel Clean'!M682:M1681," ",0)</f>
        <v>84.5</v>
      </c>
      <c r="F682">
        <f>_xlfn.XLOOKUP(A682,'Subbu- Mini Project EXcel Clean'!A682:A1681,'Subbu- Mini Project EXcel Clean'!P682:P1681," ",0)</f>
        <v>5</v>
      </c>
      <c r="G682" t="str">
        <f>_xlfn.XLOOKUP(A682,'Subbu- Mini Project EXcel Clean'!A682:A1681,'Subbu- Mini Project EXcel Clean'!Q682:Q1681," ",0)</f>
        <v>Moderate</v>
      </c>
      <c r="H682">
        <f>VLOOKUP(A682,'Subbu- Mini Project EXcel Clean'!A681:R1681,15,FALSE)</f>
        <v>1.2</v>
      </c>
    </row>
    <row r="683" spans="1:8" x14ac:dyDescent="0.25">
      <c r="A683" t="s">
        <v>711</v>
      </c>
      <c r="B683">
        <f>_xlfn.XLOOKUP(A683,'Subbu- Mini Project EXcel Clean'!A683:A1682,'Subbu- Mini Project EXcel Clean'!I683:I1682,"Entry Level",0)</f>
        <v>2</v>
      </c>
      <c r="C683" t="str">
        <f>_xlfn.XLOOKUP(A683,'Subbu- Mini Project EXcel Clean'!A683:A1682,'Subbu- Mini Project EXcel Clean'!J683:J1682," ",0)</f>
        <v>Consistent</v>
      </c>
      <c r="D683">
        <f>_xlfn.XLOOKUP(A683,'Subbu- Mini Project EXcel Clean'!A683:A1682,'Subbu- Mini Project EXcel Clean'!N683:N1682,"entry Level",0)</f>
        <v>6.5</v>
      </c>
      <c r="E683">
        <f>_xlfn.XLOOKUP(A683,'Subbu- Mini Project EXcel Clean'!A683:A1682,'Subbu- Mini Project EXcel Clean'!M683:M1682," ",0)</f>
        <v>64.7</v>
      </c>
      <c r="F683">
        <f>_xlfn.XLOOKUP(A683,'Subbu- Mini Project EXcel Clean'!A683:A1682,'Subbu- Mini Project EXcel Clean'!P683:P1682," ",0)</f>
        <v>1</v>
      </c>
      <c r="G683" t="str">
        <f>_xlfn.XLOOKUP(A683,'Subbu- Mini Project EXcel Clean'!A683:A1682,'Subbu- Mini Project EXcel Clean'!Q683:Q1682," ",0)</f>
        <v>Low</v>
      </c>
      <c r="H683">
        <f>VLOOKUP(A683,'Subbu- Mini Project EXcel Clean'!A682:R1682,15,FALSE)</f>
        <v>4.3</v>
      </c>
    </row>
    <row r="684" spans="1:8" x14ac:dyDescent="0.25">
      <c r="A684" t="s">
        <v>712</v>
      </c>
      <c r="B684">
        <f>_xlfn.XLOOKUP(A684,'Subbu- Mini Project EXcel Clean'!A684:A1683,'Subbu- Mini Project EXcel Clean'!I684:I1683,"Entry Level",0)</f>
        <v>1</v>
      </c>
      <c r="C684" t="str">
        <f>_xlfn.XLOOKUP(A684,'Subbu- Mini Project EXcel Clean'!A684:A1683,'Subbu- Mini Project EXcel Clean'!J684:J1683," ",0)</f>
        <v>Consistent</v>
      </c>
      <c r="D684">
        <f>_xlfn.XLOOKUP(A684,'Subbu- Mini Project EXcel Clean'!A684:A1683,'Subbu- Mini Project EXcel Clean'!N684:N1683,"entry Level",0)</f>
        <v>7</v>
      </c>
      <c r="E684">
        <f>_xlfn.XLOOKUP(A684,'Subbu- Mini Project EXcel Clean'!A684:A1683,'Subbu- Mini Project EXcel Clean'!M684:M1683," ",0)</f>
        <v>66.5</v>
      </c>
      <c r="F684">
        <f>_xlfn.XLOOKUP(A684,'Subbu- Mini Project EXcel Clean'!A684:A1683,'Subbu- Mini Project EXcel Clean'!P684:P1683," ",0)</f>
        <v>2</v>
      </c>
      <c r="G684" t="str">
        <f>_xlfn.XLOOKUP(A684,'Subbu- Mini Project EXcel Clean'!A684:A1683,'Subbu- Mini Project EXcel Clean'!Q684:Q1683," ",0)</f>
        <v>Low</v>
      </c>
      <c r="H684">
        <f>VLOOKUP(A684,'Subbu- Mini Project EXcel Clean'!A683:R1683,15,FALSE)</f>
        <v>2.4</v>
      </c>
    </row>
    <row r="685" spans="1:8" x14ac:dyDescent="0.25">
      <c r="A685" t="s">
        <v>713</v>
      </c>
      <c r="B685">
        <f>_xlfn.XLOOKUP(A685,'Subbu- Mini Project EXcel Clean'!A685:A1684,'Subbu- Mini Project EXcel Clean'!I685:I1684,"Entry Level",0)</f>
        <v>4</v>
      </c>
      <c r="C685" t="str">
        <f>_xlfn.XLOOKUP(A685,'Subbu- Mini Project EXcel Clean'!A685:A1684,'Subbu- Mini Project EXcel Clean'!J685:J1684," ",0)</f>
        <v>Excellent</v>
      </c>
      <c r="D685">
        <f>_xlfn.XLOOKUP(A685,'Subbu- Mini Project EXcel Clean'!A685:A1684,'Subbu- Mini Project EXcel Clean'!N685:N1684,"entry Level",0)</f>
        <v>6.6</v>
      </c>
      <c r="E685">
        <f>_xlfn.XLOOKUP(A685,'Subbu- Mini Project EXcel Clean'!A685:A1684,'Subbu- Mini Project EXcel Clean'!M685:M1684," ",0)</f>
        <v>90.2</v>
      </c>
      <c r="F685">
        <f>_xlfn.XLOOKUP(A685,'Subbu- Mini Project EXcel Clean'!A685:A1684,'Subbu- Mini Project EXcel Clean'!P685:P1684," ",0)</f>
        <v>1</v>
      </c>
      <c r="G685" t="str">
        <f>_xlfn.XLOOKUP(A685,'Subbu- Mini Project EXcel Clean'!A685:A1684,'Subbu- Mini Project EXcel Clean'!Q685:Q1684," ",0)</f>
        <v>Low</v>
      </c>
      <c r="H685">
        <f>VLOOKUP(A685,'Subbu- Mini Project EXcel Clean'!A684:R1684,15,FALSE)</f>
        <v>5.4</v>
      </c>
    </row>
    <row r="686" spans="1:8" x14ac:dyDescent="0.25">
      <c r="A686" t="s">
        <v>714</v>
      </c>
      <c r="B686">
        <f>_xlfn.XLOOKUP(A686,'Subbu- Mini Project EXcel Clean'!A686:A1685,'Subbu- Mini Project EXcel Clean'!I686:I1685,"Entry Level",0)</f>
        <v>1</v>
      </c>
      <c r="C686" t="str">
        <f>_xlfn.XLOOKUP(A686,'Subbu- Mini Project EXcel Clean'!A686:A1685,'Subbu- Mini Project EXcel Clean'!J686:J1685," ",0)</f>
        <v>Average</v>
      </c>
      <c r="D686">
        <f>_xlfn.XLOOKUP(A686,'Subbu- Mini Project EXcel Clean'!A686:A1685,'Subbu- Mini Project EXcel Clean'!N686:N1685,"entry Level",0)</f>
        <v>7</v>
      </c>
      <c r="E686">
        <f>_xlfn.XLOOKUP(A686,'Subbu- Mini Project EXcel Clean'!A686:A1685,'Subbu- Mini Project EXcel Clean'!M686:M1685," ",0)</f>
        <v>55.6</v>
      </c>
      <c r="F686">
        <f>_xlfn.XLOOKUP(A686,'Subbu- Mini Project EXcel Clean'!A686:A1685,'Subbu- Mini Project EXcel Clean'!P686:P1685," ",0)</f>
        <v>5</v>
      </c>
      <c r="G686" t="str">
        <f>_xlfn.XLOOKUP(A686,'Subbu- Mini Project EXcel Clean'!A686:A1685,'Subbu- Mini Project EXcel Clean'!Q686:Q1685," ",0)</f>
        <v>Moderate</v>
      </c>
      <c r="H686">
        <f>VLOOKUP(A686,'Subbu- Mini Project EXcel Clean'!A685:R1685,15,FALSE)</f>
        <v>3.4</v>
      </c>
    </row>
    <row r="687" spans="1:8" x14ac:dyDescent="0.25">
      <c r="A687" t="s">
        <v>715</v>
      </c>
      <c r="B687">
        <f>_xlfn.XLOOKUP(A687,'Subbu- Mini Project EXcel Clean'!A687:A1686,'Subbu- Mini Project EXcel Clean'!I687:I1686,"Entry Level",0)</f>
        <v>3</v>
      </c>
      <c r="C687" t="str">
        <f>_xlfn.XLOOKUP(A687,'Subbu- Mini Project EXcel Clean'!A687:A1686,'Subbu- Mini Project EXcel Clean'!J687:J1686," ",0)</f>
        <v>Consistent</v>
      </c>
      <c r="D687">
        <f>_xlfn.XLOOKUP(A687,'Subbu- Mini Project EXcel Clean'!A687:A1686,'Subbu- Mini Project EXcel Clean'!N687:N1686,"entry Level",0)</f>
        <v>7.1</v>
      </c>
      <c r="E687">
        <f>_xlfn.XLOOKUP(A687,'Subbu- Mini Project EXcel Clean'!A687:A1686,'Subbu- Mini Project EXcel Clean'!M687:M1686," ",0)</f>
        <v>73.7</v>
      </c>
      <c r="F687">
        <f>_xlfn.XLOOKUP(A687,'Subbu- Mini Project EXcel Clean'!A687:A1686,'Subbu- Mini Project EXcel Clean'!P687:P1686," ",0)</f>
        <v>4</v>
      </c>
      <c r="G687" t="str">
        <f>_xlfn.XLOOKUP(A687,'Subbu- Mini Project EXcel Clean'!A687:A1686,'Subbu- Mini Project EXcel Clean'!Q687:Q1686," ",0)</f>
        <v>Moderate</v>
      </c>
      <c r="H687">
        <f>VLOOKUP(A687,'Subbu- Mini Project EXcel Clean'!A686:R1686,15,FALSE)</f>
        <v>2.5</v>
      </c>
    </row>
    <row r="688" spans="1:8" x14ac:dyDescent="0.25">
      <c r="A688" t="s">
        <v>716</v>
      </c>
      <c r="B688">
        <f>_xlfn.XLOOKUP(A688,'Subbu- Mini Project EXcel Clean'!A688:A1687,'Subbu- Mini Project EXcel Clean'!I688:I1687,"Entry Level",0)</f>
        <v>2</v>
      </c>
      <c r="C688" t="str">
        <f>_xlfn.XLOOKUP(A688,'Subbu- Mini Project EXcel Clean'!A688:A1687,'Subbu- Mini Project EXcel Clean'!J688:J1687," ",0)</f>
        <v>Consistent</v>
      </c>
      <c r="D688">
        <f>_xlfn.XLOOKUP(A688,'Subbu- Mini Project EXcel Clean'!A688:A1687,'Subbu- Mini Project EXcel Clean'!N688:N1687,"entry Level",0)</f>
        <v>7</v>
      </c>
      <c r="E688">
        <f>_xlfn.XLOOKUP(A688,'Subbu- Mini Project EXcel Clean'!A688:A1687,'Subbu- Mini Project EXcel Clean'!M688:M1687," ",0)</f>
        <v>70.8</v>
      </c>
      <c r="F688">
        <f>_xlfn.XLOOKUP(A688,'Subbu- Mini Project EXcel Clean'!A688:A1687,'Subbu- Mini Project EXcel Clean'!P688:P1687," ",0)</f>
        <v>1</v>
      </c>
      <c r="G688" t="str">
        <f>_xlfn.XLOOKUP(A688,'Subbu- Mini Project EXcel Clean'!A688:A1687,'Subbu- Mini Project EXcel Clean'!Q688:Q1687," ",0)</f>
        <v>Low</v>
      </c>
      <c r="H688">
        <f>VLOOKUP(A688,'Subbu- Mini Project EXcel Clean'!A687:R1687,15,FALSE)</f>
        <v>3.6</v>
      </c>
    </row>
    <row r="689" spans="1:8" x14ac:dyDescent="0.25">
      <c r="A689" t="s">
        <v>717</v>
      </c>
      <c r="B689">
        <f>_xlfn.XLOOKUP(A689,'Subbu- Mini Project EXcel Clean'!A689:A1688,'Subbu- Mini Project EXcel Clean'!I689:I1688,"Entry Level",0)</f>
        <v>4</v>
      </c>
      <c r="C689" t="str">
        <f>_xlfn.XLOOKUP(A689,'Subbu- Mini Project EXcel Clean'!A689:A1688,'Subbu- Mini Project EXcel Clean'!J689:J1688," ",0)</f>
        <v>Excellent</v>
      </c>
      <c r="D689">
        <f>_xlfn.XLOOKUP(A689,'Subbu- Mini Project EXcel Clean'!A689:A1688,'Subbu- Mini Project EXcel Clean'!N689:N1688,"entry Level",0)</f>
        <v>6.6</v>
      </c>
      <c r="E689">
        <f>_xlfn.XLOOKUP(A689,'Subbu- Mini Project EXcel Clean'!A689:A1688,'Subbu- Mini Project EXcel Clean'!M689:M1688," ",0)</f>
        <v>80.3</v>
      </c>
      <c r="F689">
        <f>_xlfn.XLOOKUP(A689,'Subbu- Mini Project EXcel Clean'!A689:A1688,'Subbu- Mini Project EXcel Clean'!P689:P1688," ",0)</f>
        <v>2</v>
      </c>
      <c r="G689" t="str">
        <f>_xlfn.XLOOKUP(A689,'Subbu- Mini Project EXcel Clean'!A689:A1688,'Subbu- Mini Project EXcel Clean'!Q689:Q1688," ",0)</f>
        <v>Low</v>
      </c>
      <c r="H689">
        <f>VLOOKUP(A689,'Subbu- Mini Project EXcel Clean'!A688:R1688,15,FALSE)</f>
        <v>2.9</v>
      </c>
    </row>
    <row r="690" spans="1:8" x14ac:dyDescent="0.25">
      <c r="A690" t="s">
        <v>718</v>
      </c>
      <c r="B690">
        <f>_xlfn.XLOOKUP(A690,'Subbu- Mini Project EXcel Clean'!A690:A1689,'Subbu- Mini Project EXcel Clean'!I690:I1689,"Entry Level",0)</f>
        <v>4</v>
      </c>
      <c r="C690" t="str">
        <f>_xlfn.XLOOKUP(A690,'Subbu- Mini Project EXcel Clean'!A690:A1689,'Subbu- Mini Project EXcel Clean'!J690:J1689," ",0)</f>
        <v>Good</v>
      </c>
      <c r="D690">
        <f>_xlfn.XLOOKUP(A690,'Subbu- Mini Project EXcel Clean'!A690:A1689,'Subbu- Mini Project EXcel Clean'!N690:N1689,"entry Level",0)</f>
        <v>6.9</v>
      </c>
      <c r="E690">
        <f>_xlfn.XLOOKUP(A690,'Subbu- Mini Project EXcel Clean'!A690:A1689,'Subbu- Mini Project EXcel Clean'!M690:M1689," ",0)</f>
        <v>86.6</v>
      </c>
      <c r="F690">
        <f>_xlfn.XLOOKUP(A690,'Subbu- Mini Project EXcel Clean'!A690:A1689,'Subbu- Mini Project EXcel Clean'!P690:P1689," ",0)</f>
        <v>5</v>
      </c>
      <c r="G690" t="str">
        <f>_xlfn.XLOOKUP(A690,'Subbu- Mini Project EXcel Clean'!A690:A1689,'Subbu- Mini Project EXcel Clean'!Q690:Q1689," ",0)</f>
        <v>Moderate</v>
      </c>
      <c r="H690">
        <f>VLOOKUP(A690,'Subbu- Mini Project EXcel Clean'!A689:R1689,15,FALSE)</f>
        <v>3.8</v>
      </c>
    </row>
    <row r="691" spans="1:8" x14ac:dyDescent="0.25">
      <c r="A691" t="s">
        <v>719</v>
      </c>
      <c r="B691">
        <f>_xlfn.XLOOKUP(A691,'Subbu- Mini Project EXcel Clean'!A691:A1690,'Subbu- Mini Project EXcel Clean'!I691:I1690,"Entry Level",0)</f>
        <v>2</v>
      </c>
      <c r="C691" t="str">
        <f>_xlfn.XLOOKUP(A691,'Subbu- Mini Project EXcel Clean'!A691:A1690,'Subbu- Mini Project EXcel Clean'!J691:J1690," ",0)</f>
        <v>Consistent</v>
      </c>
      <c r="D691">
        <f>_xlfn.XLOOKUP(A691,'Subbu- Mini Project EXcel Clean'!A691:A1690,'Subbu- Mini Project EXcel Clean'!N691:N1690,"entry Level",0)</f>
        <v>7.6</v>
      </c>
      <c r="E691">
        <f>_xlfn.XLOOKUP(A691,'Subbu- Mini Project EXcel Clean'!A691:A1690,'Subbu- Mini Project EXcel Clean'!M691:M1690," ",0)</f>
        <v>66.5</v>
      </c>
      <c r="F691">
        <f>_xlfn.XLOOKUP(A691,'Subbu- Mini Project EXcel Clean'!A691:A1690,'Subbu- Mini Project EXcel Clean'!P691:P1690," ",0)</f>
        <v>2</v>
      </c>
      <c r="G691" t="str">
        <f>_xlfn.XLOOKUP(A691,'Subbu- Mini Project EXcel Clean'!A691:A1690,'Subbu- Mini Project EXcel Clean'!Q691:Q1690," ",0)</f>
        <v>Low</v>
      </c>
      <c r="H691">
        <f>VLOOKUP(A691,'Subbu- Mini Project EXcel Clean'!A690:R1690,15,FALSE)</f>
        <v>1.6</v>
      </c>
    </row>
    <row r="692" spans="1:8" x14ac:dyDescent="0.25">
      <c r="A692" t="s">
        <v>720</v>
      </c>
      <c r="B692">
        <f>_xlfn.XLOOKUP(A692,'Subbu- Mini Project EXcel Clean'!A692:A1691,'Subbu- Mini Project EXcel Clean'!I692:I1691,"Entry Level",0)</f>
        <v>4</v>
      </c>
      <c r="C692" t="str">
        <f>_xlfn.XLOOKUP(A692,'Subbu- Mini Project EXcel Clean'!A692:A1691,'Subbu- Mini Project EXcel Clean'!J692:J1691," ",0)</f>
        <v>Good</v>
      </c>
      <c r="D692">
        <f>_xlfn.XLOOKUP(A692,'Subbu- Mini Project EXcel Clean'!A692:A1691,'Subbu- Mini Project EXcel Clean'!N692:N1691,"entry Level",0)</f>
        <v>5.5</v>
      </c>
      <c r="E692">
        <f>_xlfn.XLOOKUP(A692,'Subbu- Mini Project EXcel Clean'!A692:A1691,'Subbu- Mini Project EXcel Clean'!M692:M1691," ",0)</f>
        <v>90.4</v>
      </c>
      <c r="F692">
        <f>_xlfn.XLOOKUP(A692,'Subbu- Mini Project EXcel Clean'!A692:A1691,'Subbu- Mini Project EXcel Clean'!P692:P1691," ",0)</f>
        <v>1</v>
      </c>
      <c r="G692" t="str">
        <f>_xlfn.XLOOKUP(A692,'Subbu- Mini Project EXcel Clean'!A692:A1691,'Subbu- Mini Project EXcel Clean'!Q692:Q1691," ",0)</f>
        <v>Low</v>
      </c>
      <c r="H692">
        <f>VLOOKUP(A692,'Subbu- Mini Project EXcel Clean'!A691:R1691,15,FALSE)</f>
        <v>6</v>
      </c>
    </row>
    <row r="693" spans="1:8" x14ac:dyDescent="0.25">
      <c r="A693" t="s">
        <v>721</v>
      </c>
      <c r="B693">
        <f>_xlfn.XLOOKUP(A693,'Subbu- Mini Project EXcel Clean'!A693:A1692,'Subbu- Mini Project EXcel Clean'!I693:I1692,"Entry Level",0)</f>
        <v>2</v>
      </c>
      <c r="C693" t="str">
        <f>_xlfn.XLOOKUP(A693,'Subbu- Mini Project EXcel Clean'!A693:A1692,'Subbu- Mini Project EXcel Clean'!J693:J1692," ",0)</f>
        <v>Consistent</v>
      </c>
      <c r="D693">
        <f>_xlfn.XLOOKUP(A693,'Subbu- Mini Project EXcel Clean'!A693:A1692,'Subbu- Mini Project EXcel Clean'!N693:N1692,"entry Level",0)</f>
        <v>7.6</v>
      </c>
      <c r="E693">
        <f>_xlfn.XLOOKUP(A693,'Subbu- Mini Project EXcel Clean'!A693:A1692,'Subbu- Mini Project EXcel Clean'!M693:M1692," ",0)</f>
        <v>68.099999999999994</v>
      </c>
      <c r="F693">
        <f>_xlfn.XLOOKUP(A693,'Subbu- Mini Project EXcel Clean'!A693:A1692,'Subbu- Mini Project EXcel Clean'!P693:P1692," ",0)</f>
        <v>5</v>
      </c>
      <c r="G693" t="str">
        <f>_xlfn.XLOOKUP(A693,'Subbu- Mini Project EXcel Clean'!A693:A1692,'Subbu- Mini Project EXcel Clean'!Q693:Q1692," ",0)</f>
        <v>Moderate</v>
      </c>
      <c r="H693">
        <f>VLOOKUP(A693,'Subbu- Mini Project EXcel Clean'!A692:R1692,15,FALSE)</f>
        <v>3.1</v>
      </c>
    </row>
    <row r="694" spans="1:8" x14ac:dyDescent="0.25">
      <c r="A694" t="s">
        <v>722</v>
      </c>
      <c r="B694">
        <f>_xlfn.XLOOKUP(A694,'Subbu- Mini Project EXcel Clean'!A694:A1693,'Subbu- Mini Project EXcel Clean'!I694:I1693,"Entry Level",0)</f>
        <v>3</v>
      </c>
      <c r="C694" t="str">
        <f>_xlfn.XLOOKUP(A694,'Subbu- Mini Project EXcel Clean'!A694:A1693,'Subbu- Mini Project EXcel Clean'!J694:J1693," ",0)</f>
        <v>Consistent</v>
      </c>
      <c r="D694">
        <f>_xlfn.XLOOKUP(A694,'Subbu- Mini Project EXcel Clean'!A694:A1693,'Subbu- Mini Project EXcel Clean'!N694:N1693,"entry Level",0)</f>
        <v>6.7</v>
      </c>
      <c r="E694">
        <f>_xlfn.XLOOKUP(A694,'Subbu- Mini Project EXcel Clean'!A694:A1693,'Subbu- Mini Project EXcel Clean'!M694:M1693," ",0)</f>
        <v>69.7</v>
      </c>
      <c r="F694">
        <f>_xlfn.XLOOKUP(A694,'Subbu- Mini Project EXcel Clean'!A694:A1693,'Subbu- Mini Project EXcel Clean'!P694:P1693," ",0)</f>
        <v>5</v>
      </c>
      <c r="G694" t="str">
        <f>_xlfn.XLOOKUP(A694,'Subbu- Mini Project EXcel Clean'!A694:A1693,'Subbu- Mini Project EXcel Clean'!Q694:Q1693," ",0)</f>
        <v>Moderate</v>
      </c>
      <c r="H694">
        <f>VLOOKUP(A694,'Subbu- Mini Project EXcel Clean'!A693:R1693,15,FALSE)</f>
        <v>2.7</v>
      </c>
    </row>
    <row r="695" spans="1:8" x14ac:dyDescent="0.25">
      <c r="A695" t="s">
        <v>723</v>
      </c>
      <c r="B695">
        <f>_xlfn.XLOOKUP(A695,'Subbu- Mini Project EXcel Clean'!A695:A1694,'Subbu- Mini Project EXcel Clean'!I695:I1694,"Entry Level",0)</f>
        <v>4</v>
      </c>
      <c r="C695" t="str">
        <f>_xlfn.XLOOKUP(A695,'Subbu- Mini Project EXcel Clean'!A695:A1694,'Subbu- Mini Project EXcel Clean'!J695:J1694," ",0)</f>
        <v>Excellent</v>
      </c>
      <c r="D695">
        <f>_xlfn.XLOOKUP(A695,'Subbu- Mini Project EXcel Clean'!A695:A1694,'Subbu- Mini Project EXcel Clean'!N695:N1694,"entry Level",0)</f>
        <v>6.7</v>
      </c>
      <c r="E695">
        <f>_xlfn.XLOOKUP(A695,'Subbu- Mini Project EXcel Clean'!A695:A1694,'Subbu- Mini Project EXcel Clean'!M695:M1694," ",0)</f>
        <v>99.2</v>
      </c>
      <c r="F695">
        <f>_xlfn.XLOOKUP(A695,'Subbu- Mini Project EXcel Clean'!A695:A1694,'Subbu- Mini Project EXcel Clean'!P695:P1694," ",0)</f>
        <v>1</v>
      </c>
      <c r="G695" t="str">
        <f>_xlfn.XLOOKUP(A695,'Subbu- Mini Project EXcel Clean'!A695:A1694,'Subbu- Mini Project EXcel Clean'!Q695:Q1694," ",0)</f>
        <v>Low</v>
      </c>
      <c r="H695">
        <f>VLOOKUP(A695,'Subbu- Mini Project EXcel Clean'!A694:R1694,15,FALSE)</f>
        <v>4.5999999999999996</v>
      </c>
    </row>
    <row r="696" spans="1:8" x14ac:dyDescent="0.25">
      <c r="A696" t="s">
        <v>724</v>
      </c>
      <c r="B696">
        <f>_xlfn.XLOOKUP(A696,'Subbu- Mini Project EXcel Clean'!A696:A1695,'Subbu- Mini Project EXcel Clean'!I696:I1695,"Entry Level",0)</f>
        <v>4</v>
      </c>
      <c r="C696" t="str">
        <f>_xlfn.XLOOKUP(A696,'Subbu- Mini Project EXcel Clean'!A696:A1695,'Subbu- Mini Project EXcel Clean'!J696:J1695," ",0)</f>
        <v>Excellent</v>
      </c>
      <c r="D696">
        <f>_xlfn.XLOOKUP(A696,'Subbu- Mini Project EXcel Clean'!A696:A1695,'Subbu- Mini Project EXcel Clean'!N696:N1695,"entry Level",0)</f>
        <v>7.7</v>
      </c>
      <c r="E696">
        <f>_xlfn.XLOOKUP(A696,'Subbu- Mini Project EXcel Clean'!A696:A1695,'Subbu- Mini Project EXcel Clean'!M696:M1695," ",0)</f>
        <v>94</v>
      </c>
      <c r="F696">
        <f>_xlfn.XLOOKUP(A696,'Subbu- Mini Project EXcel Clean'!A696:A1695,'Subbu- Mini Project EXcel Clean'!P696:P1695," ",0)</f>
        <v>5</v>
      </c>
      <c r="G696" t="str">
        <f>_xlfn.XLOOKUP(A696,'Subbu- Mini Project EXcel Clean'!A696:A1695,'Subbu- Mini Project EXcel Clean'!Q696:Q1695," ",0)</f>
        <v>Moderate</v>
      </c>
      <c r="H696">
        <f>VLOOKUP(A696,'Subbu- Mini Project EXcel Clean'!A695:R1695,15,FALSE)</f>
        <v>2.8</v>
      </c>
    </row>
    <row r="697" spans="1:8" x14ac:dyDescent="0.25">
      <c r="A697" t="s">
        <v>725</v>
      </c>
      <c r="B697">
        <f>_xlfn.XLOOKUP(A697,'Subbu- Mini Project EXcel Clean'!A697:A1696,'Subbu- Mini Project EXcel Clean'!I697:I1696,"Entry Level",0)</f>
        <v>5</v>
      </c>
      <c r="C697" t="str">
        <f>_xlfn.XLOOKUP(A697,'Subbu- Mini Project EXcel Clean'!A697:A1696,'Subbu- Mini Project EXcel Clean'!J697:J1696," ",0)</f>
        <v>Good</v>
      </c>
      <c r="D697">
        <f>_xlfn.XLOOKUP(A697,'Subbu- Mini Project EXcel Clean'!A697:A1696,'Subbu- Mini Project EXcel Clean'!N697:N1696,"entry Level",0)</f>
        <v>6.9</v>
      </c>
      <c r="E697">
        <f>_xlfn.XLOOKUP(A697,'Subbu- Mini Project EXcel Clean'!A697:A1696,'Subbu- Mini Project EXcel Clean'!M697:M1696," ",0)</f>
        <v>95.6</v>
      </c>
      <c r="F697">
        <f>_xlfn.XLOOKUP(A697,'Subbu- Mini Project EXcel Clean'!A697:A1696,'Subbu- Mini Project EXcel Clean'!P697:P1696," ",0)</f>
        <v>1</v>
      </c>
      <c r="G697" t="str">
        <f>_xlfn.XLOOKUP(A697,'Subbu- Mini Project EXcel Clean'!A697:A1696,'Subbu- Mini Project EXcel Clean'!Q697:Q1696," ",0)</f>
        <v>Low</v>
      </c>
      <c r="H697">
        <f>VLOOKUP(A697,'Subbu- Mini Project EXcel Clean'!A696:R1696,15,FALSE)</f>
        <v>5.2</v>
      </c>
    </row>
    <row r="698" spans="1:8" x14ac:dyDescent="0.25">
      <c r="A698" t="s">
        <v>726</v>
      </c>
      <c r="B698">
        <f>_xlfn.XLOOKUP(A698,'Subbu- Mini Project EXcel Clean'!A698:A1697,'Subbu- Mini Project EXcel Clean'!I698:I1697,"Entry Level",0)</f>
        <v>2</v>
      </c>
      <c r="C698" t="str">
        <f>_xlfn.XLOOKUP(A698,'Subbu- Mini Project EXcel Clean'!A698:A1697,'Subbu- Mini Project EXcel Clean'!J698:J1697," ",0)</f>
        <v>Consistent</v>
      </c>
      <c r="D698">
        <f>_xlfn.XLOOKUP(A698,'Subbu- Mini Project EXcel Clean'!A698:A1697,'Subbu- Mini Project EXcel Clean'!N698:N1697,"entry Level",0)</f>
        <v>7</v>
      </c>
      <c r="E698">
        <f>_xlfn.XLOOKUP(A698,'Subbu- Mini Project EXcel Clean'!A698:A1697,'Subbu- Mini Project EXcel Clean'!M698:M1697," ",0)</f>
        <v>70.400000000000006</v>
      </c>
      <c r="F698">
        <f>_xlfn.XLOOKUP(A698,'Subbu- Mini Project EXcel Clean'!A698:A1697,'Subbu- Mini Project EXcel Clean'!P698:P1697," ",0)</f>
        <v>2</v>
      </c>
      <c r="G698" t="str">
        <f>_xlfn.XLOOKUP(A698,'Subbu- Mini Project EXcel Clean'!A698:A1697,'Subbu- Mini Project EXcel Clean'!Q698:Q1697," ",0)</f>
        <v>Low</v>
      </c>
      <c r="H698">
        <f>VLOOKUP(A698,'Subbu- Mini Project EXcel Clean'!A697:R1697,15,FALSE)</f>
        <v>3.3</v>
      </c>
    </row>
    <row r="699" spans="1:8" x14ac:dyDescent="0.25">
      <c r="A699" t="s">
        <v>727</v>
      </c>
      <c r="B699">
        <f>_xlfn.XLOOKUP(A699,'Subbu- Mini Project EXcel Clean'!A699:A1698,'Subbu- Mini Project EXcel Clean'!I699:I1698,"Entry Level",0)</f>
        <v>4</v>
      </c>
      <c r="C699" t="str">
        <f>_xlfn.XLOOKUP(A699,'Subbu- Mini Project EXcel Clean'!A699:A1698,'Subbu- Mini Project EXcel Clean'!J699:J1698," ",0)</f>
        <v>Excellent</v>
      </c>
      <c r="D699">
        <f>_xlfn.XLOOKUP(A699,'Subbu- Mini Project EXcel Clean'!A699:A1698,'Subbu- Mini Project EXcel Clean'!N699:N1698,"entry Level",0)</f>
        <v>6.4</v>
      </c>
      <c r="E699">
        <f>_xlfn.XLOOKUP(A699,'Subbu- Mini Project EXcel Clean'!A699:A1698,'Subbu- Mini Project EXcel Clean'!M699:M1698," ",0)</f>
        <v>88.6</v>
      </c>
      <c r="F699">
        <f>_xlfn.XLOOKUP(A699,'Subbu- Mini Project EXcel Clean'!A699:A1698,'Subbu- Mini Project EXcel Clean'!P699:P1698," ",0)</f>
        <v>2</v>
      </c>
      <c r="G699" t="str">
        <f>_xlfn.XLOOKUP(A699,'Subbu- Mini Project EXcel Clean'!A699:A1698,'Subbu- Mini Project EXcel Clean'!Q699:Q1698," ",0)</f>
        <v>Low</v>
      </c>
      <c r="H699">
        <f>VLOOKUP(A699,'Subbu- Mini Project EXcel Clean'!A698:R1698,15,FALSE)</f>
        <v>4.5999999999999996</v>
      </c>
    </row>
    <row r="700" spans="1:8" x14ac:dyDescent="0.25">
      <c r="A700" t="s">
        <v>728</v>
      </c>
      <c r="B700">
        <f>_xlfn.XLOOKUP(A700,'Subbu- Mini Project EXcel Clean'!A700:A1699,'Subbu- Mini Project EXcel Clean'!I700:I1699,"Entry Level",0)</f>
        <v>3</v>
      </c>
      <c r="C700" t="str">
        <f>_xlfn.XLOOKUP(A700,'Subbu- Mini Project EXcel Clean'!A700:A1699,'Subbu- Mini Project EXcel Clean'!J700:J1699," ",0)</f>
        <v>Excellent</v>
      </c>
      <c r="D700">
        <f>_xlfn.XLOOKUP(A700,'Subbu- Mini Project EXcel Clean'!A700:A1699,'Subbu- Mini Project EXcel Clean'!N700:N1699,"entry Level",0)</f>
        <v>8</v>
      </c>
      <c r="E700">
        <f>_xlfn.XLOOKUP(A700,'Subbu- Mini Project EXcel Clean'!A700:A1699,'Subbu- Mini Project EXcel Clean'!M700:M1699," ",0)</f>
        <v>90.3</v>
      </c>
      <c r="F700">
        <f>_xlfn.XLOOKUP(A700,'Subbu- Mini Project EXcel Clean'!A700:A1699,'Subbu- Mini Project EXcel Clean'!P700:P1699," ",0)</f>
        <v>4</v>
      </c>
      <c r="G700" t="str">
        <f>_xlfn.XLOOKUP(A700,'Subbu- Mini Project EXcel Clean'!A700:A1699,'Subbu- Mini Project EXcel Clean'!Q700:Q1699," ",0)</f>
        <v>Moderate</v>
      </c>
      <c r="H700">
        <f>VLOOKUP(A700,'Subbu- Mini Project EXcel Clean'!A699:R1699,15,FALSE)</f>
        <v>1.5</v>
      </c>
    </row>
    <row r="701" spans="1:8" x14ac:dyDescent="0.25">
      <c r="A701" t="s">
        <v>729</v>
      </c>
      <c r="B701">
        <f>_xlfn.XLOOKUP(A701,'Subbu- Mini Project EXcel Clean'!A701:A1700,'Subbu- Mini Project EXcel Clean'!I701:I1700,"Entry Level",0)</f>
        <v>5</v>
      </c>
      <c r="C701" t="str">
        <f>_xlfn.XLOOKUP(A701,'Subbu- Mini Project EXcel Clean'!A701:A1700,'Subbu- Mini Project EXcel Clean'!J701:J1700," ",0)</f>
        <v>Good</v>
      </c>
      <c r="D701">
        <f>_xlfn.XLOOKUP(A701,'Subbu- Mini Project EXcel Clean'!A701:A1700,'Subbu- Mini Project EXcel Clean'!N701:N1700,"entry Level",0)</f>
        <v>6.8</v>
      </c>
      <c r="E701">
        <f>_xlfn.XLOOKUP(A701,'Subbu- Mini Project EXcel Clean'!A701:A1700,'Subbu- Mini Project EXcel Clean'!M701:M1700," ",0)</f>
        <v>92.5</v>
      </c>
      <c r="F701">
        <f>_xlfn.XLOOKUP(A701,'Subbu- Mini Project EXcel Clean'!A701:A1700,'Subbu- Mini Project EXcel Clean'!P701:P1700," ",0)</f>
        <v>3</v>
      </c>
      <c r="G701" t="str">
        <f>_xlfn.XLOOKUP(A701,'Subbu- Mini Project EXcel Clean'!A701:A1700,'Subbu- Mini Project EXcel Clean'!Q701:Q1700," ",0)</f>
        <v>Low</v>
      </c>
      <c r="H701">
        <f>VLOOKUP(A701,'Subbu- Mini Project EXcel Clean'!A700:R1700,15,FALSE)</f>
        <v>5.2</v>
      </c>
    </row>
    <row r="702" spans="1:8" x14ac:dyDescent="0.25">
      <c r="A702" t="s">
        <v>730</v>
      </c>
      <c r="B702">
        <f>_xlfn.XLOOKUP(A702,'Subbu- Mini Project EXcel Clean'!A702:A1701,'Subbu- Mini Project EXcel Clean'!I702:I1701,"Entry Level",0)</f>
        <v>2</v>
      </c>
      <c r="C702" t="str">
        <f>_xlfn.XLOOKUP(A702,'Subbu- Mini Project EXcel Clean'!A702:A1701,'Subbu- Mini Project EXcel Clean'!J702:J1701," ",0)</f>
        <v>Consistent</v>
      </c>
      <c r="D702">
        <f>_xlfn.XLOOKUP(A702,'Subbu- Mini Project EXcel Clean'!A702:A1701,'Subbu- Mini Project EXcel Clean'!N702:N1701,"entry Level",0)</f>
        <v>6.3</v>
      </c>
      <c r="E702">
        <f>_xlfn.XLOOKUP(A702,'Subbu- Mini Project EXcel Clean'!A702:A1701,'Subbu- Mini Project EXcel Clean'!M702:M1701," ",0)</f>
        <v>71.7</v>
      </c>
      <c r="F702">
        <f>_xlfn.XLOOKUP(A702,'Subbu- Mini Project EXcel Clean'!A702:A1701,'Subbu- Mini Project EXcel Clean'!P702:P1701," ",0)</f>
        <v>1</v>
      </c>
      <c r="G702" t="str">
        <f>_xlfn.XLOOKUP(A702,'Subbu- Mini Project EXcel Clean'!A702:A1701,'Subbu- Mini Project EXcel Clean'!Q702:Q1701," ",0)</f>
        <v>Low</v>
      </c>
      <c r="H702">
        <f>VLOOKUP(A702,'Subbu- Mini Project EXcel Clean'!A701:R1701,15,FALSE)</f>
        <v>4.7</v>
      </c>
    </row>
    <row r="703" spans="1:8" x14ac:dyDescent="0.25">
      <c r="A703" t="s">
        <v>731</v>
      </c>
      <c r="B703">
        <f>_xlfn.XLOOKUP(A703,'Subbu- Mini Project EXcel Clean'!A703:A1702,'Subbu- Mini Project EXcel Clean'!I703:I1702,"Entry Level",0)</f>
        <v>4</v>
      </c>
      <c r="C703" t="str">
        <f>_xlfn.XLOOKUP(A703,'Subbu- Mini Project EXcel Clean'!A703:A1702,'Subbu- Mini Project EXcel Clean'!J703:J1702," ",0)</f>
        <v>Excellent</v>
      </c>
      <c r="D703">
        <f>_xlfn.XLOOKUP(A703,'Subbu- Mini Project EXcel Clean'!A703:A1702,'Subbu- Mini Project EXcel Clean'!N703:N1702,"entry Level",0)</f>
        <v>7</v>
      </c>
      <c r="E703">
        <f>_xlfn.XLOOKUP(A703,'Subbu- Mini Project EXcel Clean'!A703:A1702,'Subbu- Mini Project EXcel Clean'!M703:M1702," ",0)</f>
        <v>87.3</v>
      </c>
      <c r="F703">
        <f>_xlfn.XLOOKUP(A703,'Subbu- Mini Project EXcel Clean'!A703:A1702,'Subbu- Mini Project EXcel Clean'!P703:P1702," ",0)</f>
        <v>6</v>
      </c>
      <c r="G703" t="str">
        <f>_xlfn.XLOOKUP(A703,'Subbu- Mini Project EXcel Clean'!A703:A1702,'Subbu- Mini Project EXcel Clean'!Q703:Q1702," ",0)</f>
        <v>High</v>
      </c>
      <c r="H703">
        <f>VLOOKUP(A703,'Subbu- Mini Project EXcel Clean'!A702:R1702,15,FALSE)</f>
        <v>2.1</v>
      </c>
    </row>
    <row r="704" spans="1:8" x14ac:dyDescent="0.25">
      <c r="A704" t="s">
        <v>732</v>
      </c>
      <c r="B704">
        <f>_xlfn.XLOOKUP(A704,'Subbu- Mini Project EXcel Clean'!A704:A1703,'Subbu- Mini Project EXcel Clean'!I704:I1703,"Entry Level",0)</f>
        <v>3</v>
      </c>
      <c r="C704" t="str">
        <f>_xlfn.XLOOKUP(A704,'Subbu- Mini Project EXcel Clean'!A704:A1703,'Subbu- Mini Project EXcel Clean'!J704:J1703," ",0)</f>
        <v>Excellent</v>
      </c>
      <c r="D704">
        <f>_xlfn.XLOOKUP(A704,'Subbu- Mini Project EXcel Clean'!A704:A1703,'Subbu- Mini Project EXcel Clean'!N704:N1703,"entry Level",0)</f>
        <v>6.4</v>
      </c>
      <c r="E704">
        <f>_xlfn.XLOOKUP(A704,'Subbu- Mini Project EXcel Clean'!A704:A1703,'Subbu- Mini Project EXcel Clean'!M704:M1703," ",0)</f>
        <v>76.099999999999994</v>
      </c>
      <c r="F704">
        <f>_xlfn.XLOOKUP(A704,'Subbu- Mini Project EXcel Clean'!A704:A1703,'Subbu- Mini Project EXcel Clean'!P704:P1703," ",0)</f>
        <v>5</v>
      </c>
      <c r="G704" t="str">
        <f>_xlfn.XLOOKUP(A704,'Subbu- Mini Project EXcel Clean'!A704:A1703,'Subbu- Mini Project EXcel Clean'!Q704:Q1703," ",0)</f>
        <v>Moderate</v>
      </c>
      <c r="H704">
        <f>VLOOKUP(A704,'Subbu- Mini Project EXcel Clean'!A703:R1703,15,FALSE)</f>
        <v>1.7</v>
      </c>
    </row>
    <row r="705" spans="1:8" x14ac:dyDescent="0.25">
      <c r="A705" t="s">
        <v>733</v>
      </c>
      <c r="B705">
        <f>_xlfn.XLOOKUP(A705,'Subbu- Mini Project EXcel Clean'!A705:A1704,'Subbu- Mini Project EXcel Clean'!I705:I1704,"Entry Level",0)</f>
        <v>2</v>
      </c>
      <c r="C705" t="str">
        <f>_xlfn.XLOOKUP(A705,'Subbu- Mini Project EXcel Clean'!A705:A1704,'Subbu- Mini Project EXcel Clean'!J705:J1704," ",0)</f>
        <v>Consistent</v>
      </c>
      <c r="D705">
        <f>_xlfn.XLOOKUP(A705,'Subbu- Mini Project EXcel Clean'!A705:A1704,'Subbu- Mini Project EXcel Clean'!N705:N1704,"entry Level",0)</f>
        <v>7.3</v>
      </c>
      <c r="E705">
        <f>_xlfn.XLOOKUP(A705,'Subbu- Mini Project EXcel Clean'!A705:A1704,'Subbu- Mini Project EXcel Clean'!M705:M1704," ",0)</f>
        <v>74.599999999999994</v>
      </c>
      <c r="F705">
        <f>_xlfn.XLOOKUP(A705,'Subbu- Mini Project EXcel Clean'!A705:A1704,'Subbu- Mini Project EXcel Clean'!P705:P1704," ",0)</f>
        <v>4</v>
      </c>
      <c r="G705" t="str">
        <f>_xlfn.XLOOKUP(A705,'Subbu- Mini Project EXcel Clean'!A705:A1704,'Subbu- Mini Project EXcel Clean'!Q705:Q1704," ",0)</f>
        <v>Moderate</v>
      </c>
      <c r="H705">
        <f>VLOOKUP(A705,'Subbu- Mini Project EXcel Clean'!A704:R1704,15,FALSE)</f>
        <v>2.6</v>
      </c>
    </row>
    <row r="706" spans="1:8" x14ac:dyDescent="0.25">
      <c r="A706" t="s">
        <v>734</v>
      </c>
      <c r="B706">
        <f>_xlfn.XLOOKUP(A706,'Subbu- Mini Project EXcel Clean'!A706:A1705,'Subbu- Mini Project EXcel Clean'!I706:I1705,"Entry Level",0)</f>
        <v>3</v>
      </c>
      <c r="C706" t="str">
        <f>_xlfn.XLOOKUP(A706,'Subbu- Mini Project EXcel Clean'!A706:A1705,'Subbu- Mini Project EXcel Clean'!J706:J1705," ",0)</f>
        <v>Consistent</v>
      </c>
      <c r="D706">
        <f>_xlfn.XLOOKUP(A706,'Subbu- Mini Project EXcel Clean'!A706:A1705,'Subbu- Mini Project EXcel Clean'!N706:N1705,"entry Level",0)</f>
        <v>6.2</v>
      </c>
      <c r="E706">
        <f>_xlfn.XLOOKUP(A706,'Subbu- Mini Project EXcel Clean'!A706:A1705,'Subbu- Mini Project EXcel Clean'!M706:M1705," ",0)</f>
        <v>85.4</v>
      </c>
      <c r="F706">
        <f>_xlfn.XLOOKUP(A706,'Subbu- Mini Project EXcel Clean'!A706:A1705,'Subbu- Mini Project EXcel Clean'!P706:P1705," ",0)</f>
        <v>7</v>
      </c>
      <c r="G706" t="str">
        <f>_xlfn.XLOOKUP(A706,'Subbu- Mini Project EXcel Clean'!A706:A1705,'Subbu- Mini Project EXcel Clean'!Q706:Q1705," ",0)</f>
        <v>High</v>
      </c>
      <c r="H706">
        <f>VLOOKUP(A706,'Subbu- Mini Project EXcel Clean'!A705:R1705,15,FALSE)</f>
        <v>5.9</v>
      </c>
    </row>
    <row r="707" spans="1:8" x14ac:dyDescent="0.25">
      <c r="A707" t="s">
        <v>735</v>
      </c>
      <c r="B707">
        <f>_xlfn.XLOOKUP(A707,'Subbu- Mini Project EXcel Clean'!A707:A1706,'Subbu- Mini Project EXcel Clean'!I707:I1706,"Entry Level",0)</f>
        <v>2</v>
      </c>
      <c r="C707" t="str">
        <f>_xlfn.XLOOKUP(A707,'Subbu- Mini Project EXcel Clean'!A707:A1706,'Subbu- Mini Project EXcel Clean'!J707:J1706," ",0)</f>
        <v>Consistent</v>
      </c>
      <c r="D707">
        <f>_xlfn.XLOOKUP(A707,'Subbu- Mini Project EXcel Clean'!A707:A1706,'Subbu- Mini Project EXcel Clean'!N707:N1706,"entry Level",0)</f>
        <v>7.9</v>
      </c>
      <c r="E707">
        <f>_xlfn.XLOOKUP(A707,'Subbu- Mini Project EXcel Clean'!A707:A1706,'Subbu- Mini Project EXcel Clean'!M707:M1706," ",0)</f>
        <v>86.3</v>
      </c>
      <c r="F707">
        <f>_xlfn.XLOOKUP(A707,'Subbu- Mini Project EXcel Clean'!A707:A1706,'Subbu- Mini Project EXcel Clean'!P707:P1706," ",0)</f>
        <v>1</v>
      </c>
      <c r="G707" t="str">
        <f>_xlfn.XLOOKUP(A707,'Subbu- Mini Project EXcel Clean'!A707:A1706,'Subbu- Mini Project EXcel Clean'!Q707:Q1706," ",0)</f>
        <v>Low</v>
      </c>
      <c r="H707">
        <f>VLOOKUP(A707,'Subbu- Mini Project EXcel Clean'!A706:R1706,15,FALSE)</f>
        <v>2.2999999999999998</v>
      </c>
    </row>
    <row r="708" spans="1:8" x14ac:dyDescent="0.25">
      <c r="A708" t="s">
        <v>736</v>
      </c>
      <c r="B708">
        <f>_xlfn.XLOOKUP(A708,'Subbu- Mini Project EXcel Clean'!A708:A1707,'Subbu- Mini Project EXcel Clean'!I708:I1707,"Entry Level",0)</f>
        <v>3</v>
      </c>
      <c r="C708" t="str">
        <f>_xlfn.XLOOKUP(A708,'Subbu- Mini Project EXcel Clean'!A708:A1707,'Subbu- Mini Project EXcel Clean'!J708:J1707," ",0)</f>
        <v>Excellent</v>
      </c>
      <c r="D708">
        <f>_xlfn.XLOOKUP(A708,'Subbu- Mini Project EXcel Clean'!A708:A1707,'Subbu- Mini Project EXcel Clean'!N708:N1707,"entry Level",0)</f>
        <v>7.2</v>
      </c>
      <c r="E708">
        <f>_xlfn.XLOOKUP(A708,'Subbu- Mini Project EXcel Clean'!A708:A1707,'Subbu- Mini Project EXcel Clean'!M708:M1707," ",0)</f>
        <v>77.2</v>
      </c>
      <c r="F708">
        <f>_xlfn.XLOOKUP(A708,'Subbu- Mini Project EXcel Clean'!A708:A1707,'Subbu- Mini Project EXcel Clean'!P708:P1707," ",0)</f>
        <v>5</v>
      </c>
      <c r="G708" t="str">
        <f>_xlfn.XLOOKUP(A708,'Subbu- Mini Project EXcel Clean'!A708:A1707,'Subbu- Mini Project EXcel Clean'!Q708:Q1707," ",0)</f>
        <v>Moderate</v>
      </c>
      <c r="H708">
        <f>VLOOKUP(A708,'Subbu- Mini Project EXcel Clean'!A707:R1707,15,FALSE)</f>
        <v>3.3</v>
      </c>
    </row>
    <row r="709" spans="1:8" x14ac:dyDescent="0.25">
      <c r="A709" t="s">
        <v>737</v>
      </c>
      <c r="B709">
        <f>_xlfn.XLOOKUP(A709,'Subbu- Mini Project EXcel Clean'!A709:A1708,'Subbu- Mini Project EXcel Clean'!I709:I1708,"Entry Level",0)</f>
        <v>5</v>
      </c>
      <c r="C709" t="str">
        <f>_xlfn.XLOOKUP(A709,'Subbu- Mini Project EXcel Clean'!A709:A1708,'Subbu- Mini Project EXcel Clean'!J709:J1708," ",0)</f>
        <v>Good</v>
      </c>
      <c r="D709">
        <f>_xlfn.XLOOKUP(A709,'Subbu- Mini Project EXcel Clean'!A709:A1708,'Subbu- Mini Project EXcel Clean'!N709:N1708,"entry Level",0)</f>
        <v>8.3000000000000007</v>
      </c>
      <c r="E709">
        <f>_xlfn.XLOOKUP(A709,'Subbu- Mini Project EXcel Clean'!A709:A1708,'Subbu- Mini Project EXcel Clean'!M709:M1708," ",0)</f>
        <v>99.1</v>
      </c>
      <c r="F709">
        <f>_xlfn.XLOOKUP(A709,'Subbu- Mini Project EXcel Clean'!A709:A1708,'Subbu- Mini Project EXcel Clean'!P709:P1708," ",0)</f>
        <v>1</v>
      </c>
      <c r="G709" t="str">
        <f>_xlfn.XLOOKUP(A709,'Subbu- Mini Project EXcel Clean'!A709:A1708,'Subbu- Mini Project EXcel Clean'!Q709:Q1708," ",0)</f>
        <v>Low</v>
      </c>
      <c r="H709">
        <f>VLOOKUP(A709,'Subbu- Mini Project EXcel Clean'!A708:R1708,15,FALSE)</f>
        <v>1.2</v>
      </c>
    </row>
    <row r="710" spans="1:8" x14ac:dyDescent="0.25">
      <c r="A710" t="s">
        <v>738</v>
      </c>
      <c r="B710">
        <f>_xlfn.XLOOKUP(A710,'Subbu- Mini Project EXcel Clean'!A710:A1709,'Subbu- Mini Project EXcel Clean'!I710:I1709,"Entry Level",0)</f>
        <v>3</v>
      </c>
      <c r="C710" t="str">
        <f>_xlfn.XLOOKUP(A710,'Subbu- Mini Project EXcel Clean'!A710:A1709,'Subbu- Mini Project EXcel Clean'!J710:J1709," ",0)</f>
        <v>Excellent</v>
      </c>
      <c r="D710">
        <f>_xlfn.XLOOKUP(A710,'Subbu- Mini Project EXcel Clean'!A710:A1709,'Subbu- Mini Project EXcel Clean'!N710:N1709,"entry Level",0)</f>
        <v>6.8</v>
      </c>
      <c r="E710">
        <f>_xlfn.XLOOKUP(A710,'Subbu- Mini Project EXcel Clean'!A710:A1709,'Subbu- Mini Project EXcel Clean'!M710:M1709," ",0)</f>
        <v>80.7</v>
      </c>
      <c r="F710">
        <f>_xlfn.XLOOKUP(A710,'Subbu- Mini Project EXcel Clean'!A710:A1709,'Subbu- Mini Project EXcel Clean'!P710:P1709," ",0)</f>
        <v>6</v>
      </c>
      <c r="G710" t="str">
        <f>_xlfn.XLOOKUP(A710,'Subbu- Mini Project EXcel Clean'!A710:A1709,'Subbu- Mini Project EXcel Clean'!Q710:Q1709," ",0)</f>
        <v>High</v>
      </c>
      <c r="H710">
        <f>VLOOKUP(A710,'Subbu- Mini Project EXcel Clean'!A709:R1709,15,FALSE)</f>
        <v>3</v>
      </c>
    </row>
    <row r="711" spans="1:8" x14ac:dyDescent="0.25">
      <c r="A711" t="s">
        <v>739</v>
      </c>
      <c r="B711">
        <f>_xlfn.XLOOKUP(A711,'Subbu- Mini Project EXcel Clean'!A711:A1710,'Subbu- Mini Project EXcel Clean'!I711:I1710,"Entry Level",0)</f>
        <v>4</v>
      </c>
      <c r="C711" t="str">
        <f>_xlfn.XLOOKUP(A711,'Subbu- Mini Project EXcel Clean'!A711:A1710,'Subbu- Mini Project EXcel Clean'!J711:J1710," ",0)</f>
        <v>Excellent</v>
      </c>
      <c r="D711">
        <f>_xlfn.XLOOKUP(A711,'Subbu- Mini Project EXcel Clean'!A711:A1710,'Subbu- Mini Project EXcel Clean'!N711:N1710,"entry Level",0)</f>
        <v>7.4</v>
      </c>
      <c r="E711">
        <f>_xlfn.XLOOKUP(A711,'Subbu- Mini Project EXcel Clean'!A711:A1710,'Subbu- Mini Project EXcel Clean'!M711:M1710," ",0)</f>
        <v>89.2</v>
      </c>
      <c r="F711">
        <f>_xlfn.XLOOKUP(A711,'Subbu- Mini Project EXcel Clean'!A711:A1710,'Subbu- Mini Project EXcel Clean'!P711:P1710," ",0)</f>
        <v>1</v>
      </c>
      <c r="G711" t="str">
        <f>_xlfn.XLOOKUP(A711,'Subbu- Mini Project EXcel Clean'!A711:A1710,'Subbu- Mini Project EXcel Clean'!Q711:Q1710," ",0)</f>
        <v>Low</v>
      </c>
      <c r="H711">
        <f>VLOOKUP(A711,'Subbu- Mini Project EXcel Clean'!A710:R1710,15,FALSE)</f>
        <v>3.9</v>
      </c>
    </row>
    <row r="712" spans="1:8" x14ac:dyDescent="0.25">
      <c r="A712" t="s">
        <v>740</v>
      </c>
      <c r="B712">
        <f>_xlfn.XLOOKUP(A712,'Subbu- Mini Project EXcel Clean'!A712:A1711,'Subbu- Mini Project EXcel Clean'!I712:I1711,"Entry Level",0)</f>
        <v>3</v>
      </c>
      <c r="C712" t="str">
        <f>_xlfn.XLOOKUP(A712,'Subbu- Mini Project EXcel Clean'!A712:A1711,'Subbu- Mini Project EXcel Clean'!J712:J1711," ",0)</f>
        <v>Excellent</v>
      </c>
      <c r="D712">
        <f>_xlfn.XLOOKUP(A712,'Subbu- Mini Project EXcel Clean'!A712:A1711,'Subbu- Mini Project EXcel Clean'!N712:N1711,"entry Level",0)</f>
        <v>6</v>
      </c>
      <c r="E712">
        <f>_xlfn.XLOOKUP(A712,'Subbu- Mini Project EXcel Clean'!A712:A1711,'Subbu- Mini Project EXcel Clean'!M712:M1711," ",0)</f>
        <v>73.400000000000006</v>
      </c>
      <c r="F712">
        <f>_xlfn.XLOOKUP(A712,'Subbu- Mini Project EXcel Clean'!A712:A1711,'Subbu- Mini Project EXcel Clean'!P712:P1711," ",0)</f>
        <v>6</v>
      </c>
      <c r="G712" t="str">
        <f>_xlfn.XLOOKUP(A712,'Subbu- Mini Project EXcel Clean'!A712:A1711,'Subbu- Mini Project EXcel Clean'!Q712:Q1711," ",0)</f>
        <v>Moderate</v>
      </c>
      <c r="H712">
        <f>VLOOKUP(A712,'Subbu- Mini Project EXcel Clean'!A711:R1711,15,FALSE)</f>
        <v>5.8</v>
      </c>
    </row>
    <row r="713" spans="1:8" x14ac:dyDescent="0.25">
      <c r="A713" t="s">
        <v>741</v>
      </c>
      <c r="B713">
        <f>_xlfn.XLOOKUP(A713,'Subbu- Mini Project EXcel Clean'!A713:A1712,'Subbu- Mini Project EXcel Clean'!I713:I1712,"Entry Level",0)</f>
        <v>1</v>
      </c>
      <c r="C713" t="str">
        <f>_xlfn.XLOOKUP(A713,'Subbu- Mini Project EXcel Clean'!A713:A1712,'Subbu- Mini Project EXcel Clean'!J713:J1712," ",0)</f>
        <v>Consistent</v>
      </c>
      <c r="D713">
        <f>_xlfn.XLOOKUP(A713,'Subbu- Mini Project EXcel Clean'!A713:A1712,'Subbu- Mini Project EXcel Clean'!N713:N1712,"entry Level",0)</f>
        <v>7.3</v>
      </c>
      <c r="E713">
        <f>_xlfn.XLOOKUP(A713,'Subbu- Mini Project EXcel Clean'!A713:A1712,'Subbu- Mini Project EXcel Clean'!M713:M1712," ",0)</f>
        <v>55.7</v>
      </c>
      <c r="F713">
        <f>_xlfn.XLOOKUP(A713,'Subbu- Mini Project EXcel Clean'!A713:A1712,'Subbu- Mini Project EXcel Clean'!P713:P1712," ",0)</f>
        <v>1</v>
      </c>
      <c r="G713" t="str">
        <f>_xlfn.XLOOKUP(A713,'Subbu- Mini Project EXcel Clean'!A713:A1712,'Subbu- Mini Project EXcel Clean'!Q713:Q1712," ",0)</f>
        <v>Low</v>
      </c>
      <c r="H713">
        <f>VLOOKUP(A713,'Subbu- Mini Project EXcel Clean'!A712:R1712,15,FALSE)</f>
        <v>3.6</v>
      </c>
    </row>
    <row r="714" spans="1:8" x14ac:dyDescent="0.25">
      <c r="A714" t="s">
        <v>742</v>
      </c>
      <c r="B714">
        <f>_xlfn.XLOOKUP(A714,'Subbu- Mini Project EXcel Clean'!A714:A1713,'Subbu- Mini Project EXcel Clean'!I714:I1713,"Entry Level",0)</f>
        <v>2</v>
      </c>
      <c r="C714" t="str">
        <f>_xlfn.XLOOKUP(A714,'Subbu- Mini Project EXcel Clean'!A714:A1713,'Subbu- Mini Project EXcel Clean'!J714:J1713," ",0)</f>
        <v>Consistent</v>
      </c>
      <c r="D714">
        <f>_xlfn.XLOOKUP(A714,'Subbu- Mini Project EXcel Clean'!A714:A1713,'Subbu- Mini Project EXcel Clean'!N714:N1713,"entry Level",0)</f>
        <v>5.7</v>
      </c>
      <c r="E714">
        <f>_xlfn.XLOOKUP(A714,'Subbu- Mini Project EXcel Clean'!A714:A1713,'Subbu- Mini Project EXcel Clean'!M714:M1713," ",0)</f>
        <v>65.400000000000006</v>
      </c>
      <c r="F714">
        <f>_xlfn.XLOOKUP(A714,'Subbu- Mini Project EXcel Clean'!A714:A1713,'Subbu- Mini Project EXcel Clean'!P714:P1713," ",0)</f>
        <v>2</v>
      </c>
      <c r="G714" t="str">
        <f>_xlfn.XLOOKUP(A714,'Subbu- Mini Project EXcel Clean'!A714:A1713,'Subbu- Mini Project EXcel Clean'!Q714:Q1713," ",0)</f>
        <v>Low</v>
      </c>
      <c r="H714">
        <f>VLOOKUP(A714,'Subbu- Mini Project EXcel Clean'!A713:R1713,15,FALSE)</f>
        <v>5.0999999999999996</v>
      </c>
    </row>
    <row r="715" spans="1:8" x14ac:dyDescent="0.25">
      <c r="A715" t="s">
        <v>743</v>
      </c>
      <c r="B715">
        <f>_xlfn.XLOOKUP(A715,'Subbu- Mini Project EXcel Clean'!A715:A1714,'Subbu- Mini Project EXcel Clean'!I715:I1714,"Entry Level",0)</f>
        <v>3</v>
      </c>
      <c r="C715" t="str">
        <f>_xlfn.XLOOKUP(A715,'Subbu- Mini Project EXcel Clean'!A715:A1714,'Subbu- Mini Project EXcel Clean'!J715:J1714," ",0)</f>
        <v>Consistent</v>
      </c>
      <c r="D715">
        <f>_xlfn.XLOOKUP(A715,'Subbu- Mini Project EXcel Clean'!A715:A1714,'Subbu- Mini Project EXcel Clean'!N715:N1714,"entry Level",0)</f>
        <v>7</v>
      </c>
      <c r="E715">
        <f>_xlfn.XLOOKUP(A715,'Subbu- Mini Project EXcel Clean'!A715:A1714,'Subbu- Mini Project EXcel Clean'!M715:M1714," ",0)</f>
        <v>80.099999999999994</v>
      </c>
      <c r="F715">
        <f>_xlfn.XLOOKUP(A715,'Subbu- Mini Project EXcel Clean'!A715:A1714,'Subbu- Mini Project EXcel Clean'!P715:P1714," ",0)</f>
        <v>6</v>
      </c>
      <c r="G715" t="str">
        <f>_xlfn.XLOOKUP(A715,'Subbu- Mini Project EXcel Clean'!A715:A1714,'Subbu- Mini Project EXcel Clean'!Q715:Q1714," ",0)</f>
        <v>High</v>
      </c>
      <c r="H715">
        <f>VLOOKUP(A715,'Subbu- Mini Project EXcel Clean'!A714:R1714,15,FALSE)</f>
        <v>3.7</v>
      </c>
    </row>
    <row r="716" spans="1:8" x14ac:dyDescent="0.25">
      <c r="A716" t="s">
        <v>744</v>
      </c>
      <c r="B716">
        <f>_xlfn.XLOOKUP(A716,'Subbu- Mini Project EXcel Clean'!A716:A1715,'Subbu- Mini Project EXcel Clean'!I716:I1715,"Entry Level",0)</f>
        <v>2</v>
      </c>
      <c r="C716" t="str">
        <f>_xlfn.XLOOKUP(A716,'Subbu- Mini Project EXcel Clean'!A716:A1715,'Subbu- Mini Project EXcel Clean'!J716:J1715," ",0)</f>
        <v>Consistent</v>
      </c>
      <c r="D716">
        <f>_xlfn.XLOOKUP(A716,'Subbu- Mini Project EXcel Clean'!A716:A1715,'Subbu- Mini Project EXcel Clean'!N716:N1715,"entry Level",0)</f>
        <v>6.6</v>
      </c>
      <c r="E716">
        <f>_xlfn.XLOOKUP(A716,'Subbu- Mini Project EXcel Clean'!A716:A1715,'Subbu- Mini Project EXcel Clean'!M716:M1715," ",0)</f>
        <v>69.2</v>
      </c>
      <c r="F716">
        <f>_xlfn.XLOOKUP(A716,'Subbu- Mini Project EXcel Clean'!A716:A1715,'Subbu- Mini Project EXcel Clean'!P716:P1715," ",0)</f>
        <v>1</v>
      </c>
      <c r="G716" t="str">
        <f>_xlfn.XLOOKUP(A716,'Subbu- Mini Project EXcel Clean'!A716:A1715,'Subbu- Mini Project EXcel Clean'!Q716:Q1715," ",0)</f>
        <v>Low</v>
      </c>
      <c r="H716">
        <f>VLOOKUP(A716,'Subbu- Mini Project EXcel Clean'!A715:R1715,15,FALSE)</f>
        <v>1.2</v>
      </c>
    </row>
    <row r="717" spans="1:8" x14ac:dyDescent="0.25">
      <c r="A717" t="s">
        <v>745</v>
      </c>
      <c r="B717">
        <f>_xlfn.XLOOKUP(A717,'Subbu- Mini Project EXcel Clean'!A717:A1716,'Subbu- Mini Project EXcel Clean'!I717:I1716,"Entry Level",0)</f>
        <v>2</v>
      </c>
      <c r="C717" t="str">
        <f>_xlfn.XLOOKUP(A717,'Subbu- Mini Project EXcel Clean'!A717:A1716,'Subbu- Mini Project EXcel Clean'!J717:J1716," ",0)</f>
        <v>Consistent</v>
      </c>
      <c r="D717">
        <f>_xlfn.XLOOKUP(A717,'Subbu- Mini Project EXcel Clean'!A717:A1716,'Subbu- Mini Project EXcel Clean'!N717:N1716,"entry Level",0)</f>
        <v>7.1</v>
      </c>
      <c r="E717">
        <f>_xlfn.XLOOKUP(A717,'Subbu- Mini Project EXcel Clean'!A717:A1716,'Subbu- Mini Project EXcel Clean'!M717:M1716," ",0)</f>
        <v>70.599999999999994</v>
      </c>
      <c r="F717">
        <f>_xlfn.XLOOKUP(A717,'Subbu- Mini Project EXcel Clean'!A717:A1716,'Subbu- Mini Project EXcel Clean'!P717:P1716," ",0)</f>
        <v>4</v>
      </c>
      <c r="G717" t="str">
        <f>_xlfn.XLOOKUP(A717,'Subbu- Mini Project EXcel Clean'!A717:A1716,'Subbu- Mini Project EXcel Clean'!Q717:Q1716," ",0)</f>
        <v>Moderate</v>
      </c>
      <c r="H717">
        <f>VLOOKUP(A717,'Subbu- Mini Project EXcel Clean'!A716:R1716,15,FALSE)</f>
        <v>2.6</v>
      </c>
    </row>
    <row r="718" spans="1:8" x14ac:dyDescent="0.25">
      <c r="A718" t="s">
        <v>746</v>
      </c>
      <c r="B718">
        <f>_xlfn.XLOOKUP(A718,'Subbu- Mini Project EXcel Clean'!A718:A1717,'Subbu- Mini Project EXcel Clean'!I718:I1717,"Entry Level",0)</f>
        <v>3</v>
      </c>
      <c r="C718" t="str">
        <f>_xlfn.XLOOKUP(A718,'Subbu- Mini Project EXcel Clean'!A718:A1717,'Subbu- Mini Project EXcel Clean'!J718:J1717," ",0)</f>
        <v>Consistent</v>
      </c>
      <c r="D718">
        <f>_xlfn.XLOOKUP(A718,'Subbu- Mini Project EXcel Clean'!A718:A1717,'Subbu- Mini Project EXcel Clean'!N718:N1717,"entry Level",0)</f>
        <v>7.1</v>
      </c>
      <c r="E718">
        <f>_xlfn.XLOOKUP(A718,'Subbu- Mini Project EXcel Clean'!A718:A1717,'Subbu- Mini Project EXcel Clean'!M718:M1717," ",0)</f>
        <v>85.3</v>
      </c>
      <c r="F718">
        <f>_xlfn.XLOOKUP(A718,'Subbu- Mini Project EXcel Clean'!A718:A1717,'Subbu- Mini Project EXcel Clean'!P718:P1717," ",0)</f>
        <v>3</v>
      </c>
      <c r="G718" t="str">
        <f>_xlfn.XLOOKUP(A718,'Subbu- Mini Project EXcel Clean'!A718:A1717,'Subbu- Mini Project EXcel Clean'!Q718:Q1717," ",0)</f>
        <v>Moderate</v>
      </c>
      <c r="H718">
        <f>VLOOKUP(A718,'Subbu- Mini Project EXcel Clean'!A717:R1717,15,FALSE)</f>
        <v>3.9</v>
      </c>
    </row>
    <row r="719" spans="1:8" x14ac:dyDescent="0.25">
      <c r="A719" t="s">
        <v>747</v>
      </c>
      <c r="B719">
        <f>_xlfn.XLOOKUP(A719,'Subbu- Mini Project EXcel Clean'!A719:A1718,'Subbu- Mini Project EXcel Clean'!I719:I1718,"Entry Level",0)</f>
        <v>2</v>
      </c>
      <c r="C719" t="str">
        <f>_xlfn.XLOOKUP(A719,'Subbu- Mini Project EXcel Clean'!A719:A1718,'Subbu- Mini Project EXcel Clean'!J719:J1718," ",0)</f>
        <v>Consistent</v>
      </c>
      <c r="D719">
        <f>_xlfn.XLOOKUP(A719,'Subbu- Mini Project EXcel Clean'!A719:A1718,'Subbu- Mini Project EXcel Clean'!N719:N1718,"entry Level",0)</f>
        <v>6</v>
      </c>
      <c r="E719">
        <f>_xlfn.XLOOKUP(A719,'Subbu- Mini Project EXcel Clean'!A719:A1718,'Subbu- Mini Project EXcel Clean'!M719:M1718," ",0)</f>
        <v>75.900000000000006</v>
      </c>
      <c r="F719">
        <f>_xlfn.XLOOKUP(A719,'Subbu- Mini Project EXcel Clean'!A719:A1718,'Subbu- Mini Project EXcel Clean'!P719:P1718," ",0)</f>
        <v>1</v>
      </c>
      <c r="G719" t="str">
        <f>_xlfn.XLOOKUP(A719,'Subbu- Mini Project EXcel Clean'!A719:A1718,'Subbu- Mini Project EXcel Clean'!Q719:Q1718," ",0)</f>
        <v>Low</v>
      </c>
      <c r="H719">
        <f>VLOOKUP(A719,'Subbu- Mini Project EXcel Clean'!A718:R1718,15,FALSE)</f>
        <v>5.8</v>
      </c>
    </row>
    <row r="720" spans="1:8" x14ac:dyDescent="0.25">
      <c r="A720" t="s">
        <v>748</v>
      </c>
      <c r="B720">
        <f>_xlfn.XLOOKUP(A720,'Subbu- Mini Project EXcel Clean'!A720:A1719,'Subbu- Mini Project EXcel Clean'!I720:I1719,"Entry Level",0)</f>
        <v>2</v>
      </c>
      <c r="C720" t="str">
        <f>_xlfn.XLOOKUP(A720,'Subbu- Mini Project EXcel Clean'!A720:A1719,'Subbu- Mini Project EXcel Clean'!J720:J1719," ",0)</f>
        <v>Consistent</v>
      </c>
      <c r="D720">
        <f>_xlfn.XLOOKUP(A720,'Subbu- Mini Project EXcel Clean'!A720:A1719,'Subbu- Mini Project EXcel Clean'!N720:N1719,"entry Level",0)</f>
        <v>5.9</v>
      </c>
      <c r="E720">
        <f>_xlfn.XLOOKUP(A720,'Subbu- Mini Project EXcel Clean'!A720:A1719,'Subbu- Mini Project EXcel Clean'!M720:M1719," ",0)</f>
        <v>78.400000000000006</v>
      </c>
      <c r="F720">
        <f>_xlfn.XLOOKUP(A720,'Subbu- Mini Project EXcel Clean'!A720:A1719,'Subbu- Mini Project EXcel Clean'!P720:P1719," ",0)</f>
        <v>1</v>
      </c>
      <c r="G720" t="str">
        <f>_xlfn.XLOOKUP(A720,'Subbu- Mini Project EXcel Clean'!A720:A1719,'Subbu- Mini Project EXcel Clean'!Q720:Q1719," ",0)</f>
        <v>Low</v>
      </c>
      <c r="H720">
        <f>VLOOKUP(A720,'Subbu- Mini Project EXcel Clean'!A719:R1719,15,FALSE)</f>
        <v>5.3</v>
      </c>
    </row>
    <row r="721" spans="1:8" x14ac:dyDescent="0.25">
      <c r="A721" t="s">
        <v>749</v>
      </c>
      <c r="B721">
        <f>_xlfn.XLOOKUP(A721,'Subbu- Mini Project EXcel Clean'!A721:A1720,'Subbu- Mini Project EXcel Clean'!I721:I1720,"Entry Level",0)</f>
        <v>3</v>
      </c>
      <c r="C721" t="str">
        <f>_xlfn.XLOOKUP(A721,'Subbu- Mini Project EXcel Clean'!A721:A1720,'Subbu- Mini Project EXcel Clean'!J721:J1720," ",0)</f>
        <v>Consistent</v>
      </c>
      <c r="D721">
        <f>_xlfn.XLOOKUP(A721,'Subbu- Mini Project EXcel Clean'!A721:A1720,'Subbu- Mini Project EXcel Clean'!N721:N1720,"entry Level",0)</f>
        <v>7.8</v>
      </c>
      <c r="E721">
        <f>_xlfn.XLOOKUP(A721,'Subbu- Mini Project EXcel Clean'!A721:A1720,'Subbu- Mini Project EXcel Clean'!M721:M1720," ",0)</f>
        <v>80.599999999999994</v>
      </c>
      <c r="F721">
        <f>_xlfn.XLOOKUP(A721,'Subbu- Mini Project EXcel Clean'!A721:A1720,'Subbu- Mini Project EXcel Clean'!P721:P1720," ",0)</f>
        <v>1</v>
      </c>
      <c r="G721" t="str">
        <f>_xlfn.XLOOKUP(A721,'Subbu- Mini Project EXcel Clean'!A721:A1720,'Subbu- Mini Project EXcel Clean'!Q721:Q1720," ",0)</f>
        <v>Low</v>
      </c>
      <c r="H721">
        <f>VLOOKUP(A721,'Subbu- Mini Project EXcel Clean'!A720:R1720,15,FALSE)</f>
        <v>2.1</v>
      </c>
    </row>
    <row r="722" spans="1:8" x14ac:dyDescent="0.25">
      <c r="A722" t="s">
        <v>750</v>
      </c>
      <c r="B722">
        <f>_xlfn.XLOOKUP(A722,'Subbu- Mini Project EXcel Clean'!A722:A1721,'Subbu- Mini Project EXcel Clean'!I722:I1721,"Entry Level",0)</f>
        <v>2</v>
      </c>
      <c r="C722" t="str">
        <f>_xlfn.XLOOKUP(A722,'Subbu- Mini Project EXcel Clean'!A722:A1721,'Subbu- Mini Project EXcel Clean'!J722:J1721," ",0)</f>
        <v>Consistent</v>
      </c>
      <c r="D722">
        <f>_xlfn.XLOOKUP(A722,'Subbu- Mini Project EXcel Clean'!A722:A1721,'Subbu- Mini Project EXcel Clean'!N722:N1721,"entry Level",0)</f>
        <v>7.3</v>
      </c>
      <c r="E722">
        <f>_xlfn.XLOOKUP(A722,'Subbu- Mini Project EXcel Clean'!A722:A1721,'Subbu- Mini Project EXcel Clean'!M722:M1721," ",0)</f>
        <v>59.2</v>
      </c>
      <c r="F722">
        <f>_xlfn.XLOOKUP(A722,'Subbu- Mini Project EXcel Clean'!A722:A1721,'Subbu- Mini Project EXcel Clean'!P722:P1721," ",0)</f>
        <v>3</v>
      </c>
      <c r="G722" t="str">
        <f>_xlfn.XLOOKUP(A722,'Subbu- Mini Project EXcel Clean'!A722:A1721,'Subbu- Mini Project EXcel Clean'!Q722:Q1721," ",0)</f>
        <v>Low</v>
      </c>
      <c r="H722">
        <f>VLOOKUP(A722,'Subbu- Mini Project EXcel Clean'!A721:R1721,15,FALSE)</f>
        <v>2.1</v>
      </c>
    </row>
    <row r="723" spans="1:8" x14ac:dyDescent="0.25">
      <c r="A723" t="s">
        <v>751</v>
      </c>
      <c r="B723">
        <f>_xlfn.XLOOKUP(A723,'Subbu- Mini Project EXcel Clean'!A723:A1722,'Subbu- Mini Project EXcel Clean'!I723:I1722,"Entry Level",0)</f>
        <v>5</v>
      </c>
      <c r="C723" t="str">
        <f>_xlfn.XLOOKUP(A723,'Subbu- Mini Project EXcel Clean'!A723:A1722,'Subbu- Mini Project EXcel Clean'!J723:J1722," ",0)</f>
        <v>Good</v>
      </c>
      <c r="D723">
        <f>_xlfn.XLOOKUP(A723,'Subbu- Mini Project EXcel Clean'!A723:A1722,'Subbu- Mini Project EXcel Clean'!N723:N1722,"entry Level",0)</f>
        <v>7.2</v>
      </c>
      <c r="E723">
        <f>_xlfn.XLOOKUP(A723,'Subbu- Mini Project EXcel Clean'!A723:A1722,'Subbu- Mini Project EXcel Clean'!M723:M1722," ",0)</f>
        <v>103.9</v>
      </c>
      <c r="F723">
        <f>_xlfn.XLOOKUP(A723,'Subbu- Mini Project EXcel Clean'!A723:A1722,'Subbu- Mini Project EXcel Clean'!P723:P1722," ",0)</f>
        <v>5</v>
      </c>
      <c r="G723" t="str">
        <f>_xlfn.XLOOKUP(A723,'Subbu- Mini Project EXcel Clean'!A723:A1722,'Subbu- Mini Project EXcel Clean'!Q723:Q1722," ",0)</f>
        <v>Moderate</v>
      </c>
      <c r="H723">
        <f>VLOOKUP(A723,'Subbu- Mini Project EXcel Clean'!A722:R1722,15,FALSE)</f>
        <v>2</v>
      </c>
    </row>
    <row r="724" spans="1:8" x14ac:dyDescent="0.25">
      <c r="A724" t="s">
        <v>752</v>
      </c>
      <c r="B724">
        <f>_xlfn.XLOOKUP(A724,'Subbu- Mini Project EXcel Clean'!A724:A1723,'Subbu- Mini Project EXcel Clean'!I724:I1723,"Entry Level",0)</f>
        <v>5</v>
      </c>
      <c r="C724" t="str">
        <f>_xlfn.XLOOKUP(A724,'Subbu- Mini Project EXcel Clean'!A724:A1723,'Subbu- Mini Project EXcel Clean'!J724:J1723," ",0)</f>
        <v>Good</v>
      </c>
      <c r="D724">
        <f>_xlfn.XLOOKUP(A724,'Subbu- Mini Project EXcel Clean'!A724:A1723,'Subbu- Mini Project EXcel Clean'!N724:N1723,"entry Level",0)</f>
        <v>6.3</v>
      </c>
      <c r="E724">
        <f>_xlfn.XLOOKUP(A724,'Subbu- Mini Project EXcel Clean'!A724:A1723,'Subbu- Mini Project EXcel Clean'!M724:M1723," ",0)</f>
        <v>91.7</v>
      </c>
      <c r="F724">
        <f>_xlfn.XLOOKUP(A724,'Subbu- Mini Project EXcel Clean'!A724:A1723,'Subbu- Mini Project EXcel Clean'!P724:P1723," ",0)</f>
        <v>6</v>
      </c>
      <c r="G724" t="str">
        <f>_xlfn.XLOOKUP(A724,'Subbu- Mini Project EXcel Clean'!A724:A1723,'Subbu- Mini Project EXcel Clean'!Q724:Q1723," ",0)</f>
        <v>High</v>
      </c>
      <c r="H724">
        <f>VLOOKUP(A724,'Subbu- Mini Project EXcel Clean'!A723:R1723,15,FALSE)</f>
        <v>5.6</v>
      </c>
    </row>
    <row r="725" spans="1:8" x14ac:dyDescent="0.25">
      <c r="A725" t="s">
        <v>753</v>
      </c>
      <c r="B725">
        <f>_xlfn.XLOOKUP(A725,'Subbu- Mini Project EXcel Clean'!A725:A1724,'Subbu- Mini Project EXcel Clean'!I725:I1724,"Entry Level",0)</f>
        <v>4</v>
      </c>
      <c r="C725" t="str">
        <f>_xlfn.XLOOKUP(A725,'Subbu- Mini Project EXcel Clean'!A725:A1724,'Subbu- Mini Project EXcel Clean'!J725:J1724," ",0)</f>
        <v>Excellent</v>
      </c>
      <c r="D725">
        <f>_xlfn.XLOOKUP(A725,'Subbu- Mini Project EXcel Clean'!A725:A1724,'Subbu- Mini Project EXcel Clean'!N725:N1724,"entry Level",0)</f>
        <v>7.7</v>
      </c>
      <c r="E725">
        <f>_xlfn.XLOOKUP(A725,'Subbu- Mini Project EXcel Clean'!A725:A1724,'Subbu- Mini Project EXcel Clean'!M725:M1724," ",0)</f>
        <v>92.9</v>
      </c>
      <c r="F725">
        <f>_xlfn.XLOOKUP(A725,'Subbu- Mini Project EXcel Clean'!A725:A1724,'Subbu- Mini Project EXcel Clean'!P725:P1724," ",0)</f>
        <v>3</v>
      </c>
      <c r="G725" t="str">
        <f>_xlfn.XLOOKUP(A725,'Subbu- Mini Project EXcel Clean'!A725:A1724,'Subbu- Mini Project EXcel Clean'!Q725:Q1724," ",0)</f>
        <v>Moderate</v>
      </c>
      <c r="H725">
        <f>VLOOKUP(A725,'Subbu- Mini Project EXcel Clean'!A724:R1724,15,FALSE)</f>
        <v>5.3</v>
      </c>
    </row>
    <row r="726" spans="1:8" x14ac:dyDescent="0.25">
      <c r="A726" t="s">
        <v>754</v>
      </c>
      <c r="B726">
        <f>_xlfn.XLOOKUP(A726,'Subbu- Mini Project EXcel Clean'!A726:A1725,'Subbu- Mini Project EXcel Clean'!I726:I1725,"Entry Level",0)</f>
        <v>1</v>
      </c>
      <c r="C726" t="str">
        <f>_xlfn.XLOOKUP(A726,'Subbu- Mini Project EXcel Clean'!A726:A1725,'Subbu- Mini Project EXcel Clean'!J726:J1725," ",0)</f>
        <v>Consistent</v>
      </c>
      <c r="D726">
        <f>_xlfn.XLOOKUP(A726,'Subbu- Mini Project EXcel Clean'!A726:A1725,'Subbu- Mini Project EXcel Clean'!N726:N1725,"entry Level",0)</f>
        <v>7.1</v>
      </c>
      <c r="E726">
        <f>_xlfn.XLOOKUP(A726,'Subbu- Mini Project EXcel Clean'!A726:A1725,'Subbu- Mini Project EXcel Clean'!M726:M1725," ",0)</f>
        <v>72.099999999999994</v>
      </c>
      <c r="F726">
        <f>_xlfn.XLOOKUP(A726,'Subbu- Mini Project EXcel Clean'!A726:A1725,'Subbu- Mini Project EXcel Clean'!P726:P1725," ",0)</f>
        <v>1</v>
      </c>
      <c r="G726" t="str">
        <f>_xlfn.XLOOKUP(A726,'Subbu- Mini Project EXcel Clean'!A726:A1725,'Subbu- Mini Project EXcel Clean'!Q726:Q1725," ",0)</f>
        <v>Low</v>
      </c>
      <c r="H726">
        <f>VLOOKUP(A726,'Subbu- Mini Project EXcel Clean'!A725:R1725,15,FALSE)</f>
        <v>4.9000000000000004</v>
      </c>
    </row>
    <row r="727" spans="1:8" x14ac:dyDescent="0.25">
      <c r="A727" t="s">
        <v>755</v>
      </c>
      <c r="B727">
        <f>_xlfn.XLOOKUP(A727,'Subbu- Mini Project EXcel Clean'!A727:A1726,'Subbu- Mini Project EXcel Clean'!I727:I1726,"Entry Level",0)</f>
        <v>4</v>
      </c>
      <c r="C727" t="str">
        <f>_xlfn.XLOOKUP(A727,'Subbu- Mini Project EXcel Clean'!A727:A1726,'Subbu- Mini Project EXcel Clean'!J727:J1726," ",0)</f>
        <v>Good</v>
      </c>
      <c r="D727">
        <f>_xlfn.XLOOKUP(A727,'Subbu- Mini Project EXcel Clean'!A727:A1726,'Subbu- Mini Project EXcel Clean'!N727:N1726,"entry Level",0)</f>
        <v>7.7</v>
      </c>
      <c r="E727">
        <f>_xlfn.XLOOKUP(A727,'Subbu- Mini Project EXcel Clean'!A727:A1726,'Subbu- Mini Project EXcel Clean'!M727:M1726," ",0)</f>
        <v>93.3</v>
      </c>
      <c r="F727">
        <f>_xlfn.XLOOKUP(A727,'Subbu- Mini Project EXcel Clean'!A727:A1726,'Subbu- Mini Project EXcel Clean'!P727:P1726," ",0)</f>
        <v>6</v>
      </c>
      <c r="G727" t="str">
        <f>_xlfn.XLOOKUP(A727,'Subbu- Mini Project EXcel Clean'!A727:A1726,'Subbu- Mini Project EXcel Clean'!Q727:Q1726," ",0)</f>
        <v>Moderate</v>
      </c>
      <c r="H727">
        <f>VLOOKUP(A727,'Subbu- Mini Project EXcel Clean'!A726:R1726,15,FALSE)</f>
        <v>3</v>
      </c>
    </row>
    <row r="728" spans="1:8" x14ac:dyDescent="0.25">
      <c r="A728" t="s">
        <v>756</v>
      </c>
      <c r="B728">
        <f>_xlfn.XLOOKUP(A728,'Subbu- Mini Project EXcel Clean'!A728:A1727,'Subbu- Mini Project EXcel Clean'!I728:I1727,"Entry Level",0)</f>
        <v>4</v>
      </c>
      <c r="C728" t="str">
        <f>_xlfn.XLOOKUP(A728,'Subbu- Mini Project EXcel Clean'!A728:A1727,'Subbu- Mini Project EXcel Clean'!J728:J1727," ",0)</f>
        <v>Good</v>
      </c>
      <c r="D728">
        <f>_xlfn.XLOOKUP(A728,'Subbu- Mini Project EXcel Clean'!A728:A1727,'Subbu- Mini Project EXcel Clean'!N728:N1727,"entry Level",0)</f>
        <v>7.2</v>
      </c>
      <c r="E728">
        <f>_xlfn.XLOOKUP(A728,'Subbu- Mini Project EXcel Clean'!A728:A1727,'Subbu- Mini Project EXcel Clean'!M728:M1727," ",0)</f>
        <v>84.8</v>
      </c>
      <c r="F728">
        <f>_xlfn.XLOOKUP(A728,'Subbu- Mini Project EXcel Clean'!A728:A1727,'Subbu- Mini Project EXcel Clean'!P728:P1727," ",0)</f>
        <v>1</v>
      </c>
      <c r="G728" t="str">
        <f>_xlfn.XLOOKUP(A728,'Subbu- Mini Project EXcel Clean'!A728:A1727,'Subbu- Mini Project EXcel Clean'!Q728:Q1727," ",0)</f>
        <v>Low</v>
      </c>
      <c r="H728">
        <f>VLOOKUP(A728,'Subbu- Mini Project EXcel Clean'!A727:R1727,15,FALSE)</f>
        <v>3.5</v>
      </c>
    </row>
    <row r="729" spans="1:8" x14ac:dyDescent="0.25">
      <c r="A729" t="s">
        <v>757</v>
      </c>
      <c r="B729">
        <f>_xlfn.XLOOKUP(A729,'Subbu- Mini Project EXcel Clean'!A729:A1728,'Subbu- Mini Project EXcel Clean'!I729:I1728,"Entry Level",0)</f>
        <v>4</v>
      </c>
      <c r="C729" t="str">
        <f>_xlfn.XLOOKUP(A729,'Subbu- Mini Project EXcel Clean'!A729:A1728,'Subbu- Mini Project EXcel Clean'!J729:J1728," ",0)</f>
        <v>Good</v>
      </c>
      <c r="D729">
        <f>_xlfn.XLOOKUP(A729,'Subbu- Mini Project EXcel Clean'!A729:A1728,'Subbu- Mini Project EXcel Clean'!N729:N1728,"entry Level",0)</f>
        <v>7.1</v>
      </c>
      <c r="E729">
        <f>_xlfn.XLOOKUP(A729,'Subbu- Mini Project EXcel Clean'!A729:A1728,'Subbu- Mini Project EXcel Clean'!M729:M1728," ",0)</f>
        <v>86.1</v>
      </c>
      <c r="F729">
        <f>_xlfn.XLOOKUP(A729,'Subbu- Mini Project EXcel Clean'!A729:A1728,'Subbu- Mini Project EXcel Clean'!P729:P1728," ",0)</f>
        <v>4</v>
      </c>
      <c r="G729" t="str">
        <f>_xlfn.XLOOKUP(A729,'Subbu- Mini Project EXcel Clean'!A729:A1728,'Subbu- Mini Project EXcel Clean'!Q729:Q1728," ",0)</f>
        <v>Moderate</v>
      </c>
      <c r="H729">
        <f>VLOOKUP(A729,'Subbu- Mini Project EXcel Clean'!A728:R1728,15,FALSE)</f>
        <v>3.3</v>
      </c>
    </row>
    <row r="730" spans="1:8" x14ac:dyDescent="0.25">
      <c r="A730" t="s">
        <v>758</v>
      </c>
      <c r="B730">
        <f>_xlfn.XLOOKUP(A730,'Subbu- Mini Project EXcel Clean'!A730:A1729,'Subbu- Mini Project EXcel Clean'!I730:I1729,"Entry Level",0)</f>
        <v>2</v>
      </c>
      <c r="C730" t="str">
        <f>_xlfn.XLOOKUP(A730,'Subbu- Mini Project EXcel Clean'!A730:A1729,'Subbu- Mini Project EXcel Clean'!J730:J1729," ",0)</f>
        <v>Consistent</v>
      </c>
      <c r="D730">
        <f>_xlfn.XLOOKUP(A730,'Subbu- Mini Project EXcel Clean'!A730:A1729,'Subbu- Mini Project EXcel Clean'!N730:N1729,"entry Level",0)</f>
        <v>6.1</v>
      </c>
      <c r="E730">
        <f>_xlfn.XLOOKUP(A730,'Subbu- Mini Project EXcel Clean'!A730:A1729,'Subbu- Mini Project EXcel Clean'!M730:M1729," ",0)</f>
        <v>71.2</v>
      </c>
      <c r="F730">
        <f>_xlfn.XLOOKUP(A730,'Subbu- Mini Project EXcel Clean'!A730:A1729,'Subbu- Mini Project EXcel Clean'!P730:P1729," ",0)</f>
        <v>4</v>
      </c>
      <c r="G730" t="str">
        <f>_xlfn.XLOOKUP(A730,'Subbu- Mini Project EXcel Clean'!A730:A1729,'Subbu- Mini Project EXcel Clean'!Q730:Q1729," ",0)</f>
        <v>Moderate</v>
      </c>
      <c r="H730">
        <f>VLOOKUP(A730,'Subbu- Mini Project EXcel Clean'!A729:R1729,15,FALSE)</f>
        <v>2.2999999999999998</v>
      </c>
    </row>
    <row r="731" spans="1:8" x14ac:dyDescent="0.25">
      <c r="A731" t="s">
        <v>759</v>
      </c>
      <c r="B731">
        <f>_xlfn.XLOOKUP(A731,'Subbu- Mini Project EXcel Clean'!A731:A1730,'Subbu- Mini Project EXcel Clean'!I731:I1730,"Entry Level",0)</f>
        <v>4</v>
      </c>
      <c r="C731" t="str">
        <f>_xlfn.XLOOKUP(A731,'Subbu- Mini Project EXcel Clean'!A731:A1730,'Subbu- Mini Project EXcel Clean'!J731:J1730," ",0)</f>
        <v>Excellent</v>
      </c>
      <c r="D731">
        <f>_xlfn.XLOOKUP(A731,'Subbu- Mini Project EXcel Clean'!A731:A1730,'Subbu- Mini Project EXcel Clean'!N731:N1730,"entry Level",0)</f>
        <v>6.6</v>
      </c>
      <c r="E731">
        <f>_xlfn.XLOOKUP(A731,'Subbu- Mini Project EXcel Clean'!A731:A1730,'Subbu- Mini Project EXcel Clean'!M731:M1730," ",0)</f>
        <v>84.9</v>
      </c>
      <c r="F731">
        <f>_xlfn.XLOOKUP(A731,'Subbu- Mini Project EXcel Clean'!A731:A1730,'Subbu- Mini Project EXcel Clean'!P731:P1730," ",0)</f>
        <v>3</v>
      </c>
      <c r="G731" t="str">
        <f>_xlfn.XLOOKUP(A731,'Subbu- Mini Project EXcel Clean'!A731:A1730,'Subbu- Mini Project EXcel Clean'!Q731:Q1730," ",0)</f>
        <v>Low</v>
      </c>
      <c r="H731">
        <f>VLOOKUP(A731,'Subbu- Mini Project EXcel Clean'!A730:R1730,15,FALSE)</f>
        <v>3.5</v>
      </c>
    </row>
    <row r="732" spans="1:8" x14ac:dyDescent="0.25">
      <c r="A732" t="s">
        <v>760</v>
      </c>
      <c r="B732">
        <f>_xlfn.XLOOKUP(A732,'Subbu- Mini Project EXcel Clean'!A732:A1731,'Subbu- Mini Project EXcel Clean'!I732:I1731,"Entry Level",0)</f>
        <v>4</v>
      </c>
      <c r="C732" t="str">
        <f>_xlfn.XLOOKUP(A732,'Subbu- Mini Project EXcel Clean'!A732:A1731,'Subbu- Mini Project EXcel Clean'!J732:J1731," ",0)</f>
        <v>Good</v>
      </c>
      <c r="D732">
        <f>_xlfn.XLOOKUP(A732,'Subbu- Mini Project EXcel Clean'!A732:A1731,'Subbu- Mini Project EXcel Clean'!N732:N1731,"entry Level",0)</f>
        <v>7.4</v>
      </c>
      <c r="E732">
        <f>_xlfn.XLOOKUP(A732,'Subbu- Mini Project EXcel Clean'!A732:A1731,'Subbu- Mini Project EXcel Clean'!M732:M1731," ",0)</f>
        <v>93.8</v>
      </c>
      <c r="F732">
        <f>_xlfn.XLOOKUP(A732,'Subbu- Mini Project EXcel Clean'!A732:A1731,'Subbu- Mini Project EXcel Clean'!P732:P1731," ",0)</f>
        <v>2</v>
      </c>
      <c r="G732" t="str">
        <f>_xlfn.XLOOKUP(A732,'Subbu- Mini Project EXcel Clean'!A732:A1731,'Subbu- Mini Project EXcel Clean'!Q732:Q1731," ",0)</f>
        <v>Low</v>
      </c>
      <c r="H732">
        <f>VLOOKUP(A732,'Subbu- Mini Project EXcel Clean'!A731:R1731,15,FALSE)</f>
        <v>1.2</v>
      </c>
    </row>
    <row r="733" spans="1:8" x14ac:dyDescent="0.25">
      <c r="A733" t="s">
        <v>761</v>
      </c>
      <c r="B733">
        <f>_xlfn.XLOOKUP(A733,'Subbu- Mini Project EXcel Clean'!A733:A1732,'Subbu- Mini Project EXcel Clean'!I733:I1732,"Entry Level",0)</f>
        <v>3</v>
      </c>
      <c r="C733" t="str">
        <f>_xlfn.XLOOKUP(A733,'Subbu- Mini Project EXcel Clean'!A733:A1732,'Subbu- Mini Project EXcel Clean'!J733:J1732," ",0)</f>
        <v>Excellent</v>
      </c>
      <c r="D733">
        <f>_xlfn.XLOOKUP(A733,'Subbu- Mini Project EXcel Clean'!A733:A1732,'Subbu- Mini Project EXcel Clean'!N733:N1732,"entry Level",0)</f>
        <v>6.6</v>
      </c>
      <c r="E733">
        <f>_xlfn.XLOOKUP(A733,'Subbu- Mini Project EXcel Clean'!A733:A1732,'Subbu- Mini Project EXcel Clean'!M733:M1732," ",0)</f>
        <v>86.9</v>
      </c>
      <c r="F733">
        <f>_xlfn.XLOOKUP(A733,'Subbu- Mini Project EXcel Clean'!A733:A1732,'Subbu- Mini Project EXcel Clean'!P733:P1732," ",0)</f>
        <v>1</v>
      </c>
      <c r="G733" t="str">
        <f>_xlfn.XLOOKUP(A733,'Subbu- Mini Project EXcel Clean'!A733:A1732,'Subbu- Mini Project EXcel Clean'!Q733:Q1732," ",0)</f>
        <v>Low</v>
      </c>
      <c r="H733">
        <f>VLOOKUP(A733,'Subbu- Mini Project EXcel Clean'!A732:R1732,15,FALSE)</f>
        <v>1.7</v>
      </c>
    </row>
    <row r="734" spans="1:8" x14ac:dyDescent="0.25">
      <c r="A734" t="s">
        <v>762</v>
      </c>
      <c r="B734">
        <f>_xlfn.XLOOKUP(A734,'Subbu- Mini Project EXcel Clean'!A734:A1733,'Subbu- Mini Project EXcel Clean'!I734:I1733,"Entry Level",0)</f>
        <v>4</v>
      </c>
      <c r="C734" t="str">
        <f>_xlfn.XLOOKUP(A734,'Subbu- Mini Project EXcel Clean'!A734:A1733,'Subbu- Mini Project EXcel Clean'!J734:J1733," ",0)</f>
        <v>Excellent</v>
      </c>
      <c r="D734">
        <f>_xlfn.XLOOKUP(A734,'Subbu- Mini Project EXcel Clean'!A734:A1733,'Subbu- Mini Project EXcel Clean'!N734:N1733,"entry Level",0)</f>
        <v>5.8</v>
      </c>
      <c r="E734">
        <f>_xlfn.XLOOKUP(A734,'Subbu- Mini Project EXcel Clean'!A734:A1733,'Subbu- Mini Project EXcel Clean'!M734:M1733," ",0)</f>
        <v>89.3</v>
      </c>
      <c r="F734">
        <f>_xlfn.XLOOKUP(A734,'Subbu- Mini Project EXcel Clean'!A734:A1733,'Subbu- Mini Project EXcel Clean'!P734:P1733," ",0)</f>
        <v>3</v>
      </c>
      <c r="G734" t="str">
        <f>_xlfn.XLOOKUP(A734,'Subbu- Mini Project EXcel Clean'!A734:A1733,'Subbu- Mini Project EXcel Clean'!Q734:Q1733," ",0)</f>
        <v>Moderate</v>
      </c>
      <c r="H734">
        <f>VLOOKUP(A734,'Subbu- Mini Project EXcel Clean'!A733:R1733,15,FALSE)</f>
        <v>5.4</v>
      </c>
    </row>
    <row r="735" spans="1:8" x14ac:dyDescent="0.25">
      <c r="A735" t="s">
        <v>763</v>
      </c>
      <c r="B735">
        <f>_xlfn.XLOOKUP(A735,'Subbu- Mini Project EXcel Clean'!A735:A1734,'Subbu- Mini Project EXcel Clean'!I735:I1734,"Entry Level",0)</f>
        <v>3</v>
      </c>
      <c r="C735" t="str">
        <f>_xlfn.XLOOKUP(A735,'Subbu- Mini Project EXcel Clean'!A735:A1734,'Subbu- Mini Project EXcel Clean'!J735:J1734," ",0)</f>
        <v>Consistent</v>
      </c>
      <c r="D735">
        <f>_xlfn.XLOOKUP(A735,'Subbu- Mini Project EXcel Clean'!A735:A1734,'Subbu- Mini Project EXcel Clean'!N735:N1734,"entry Level",0)</f>
        <v>5.6</v>
      </c>
      <c r="E735">
        <f>_xlfn.XLOOKUP(A735,'Subbu- Mini Project EXcel Clean'!A735:A1734,'Subbu- Mini Project EXcel Clean'!M735:M1734," ",0)</f>
        <v>79.7</v>
      </c>
      <c r="F735">
        <f>_xlfn.XLOOKUP(A735,'Subbu- Mini Project EXcel Clean'!A735:A1734,'Subbu- Mini Project EXcel Clean'!P735:P1734," ",0)</f>
        <v>1</v>
      </c>
      <c r="G735" t="str">
        <f>_xlfn.XLOOKUP(A735,'Subbu- Mini Project EXcel Clean'!A735:A1734,'Subbu- Mini Project EXcel Clean'!Q735:Q1734," ",0)</f>
        <v>Low</v>
      </c>
      <c r="H735">
        <f>VLOOKUP(A735,'Subbu- Mini Project EXcel Clean'!A734:R1734,15,FALSE)</f>
        <v>4.8</v>
      </c>
    </row>
    <row r="736" spans="1:8" x14ac:dyDescent="0.25">
      <c r="A736" t="s">
        <v>764</v>
      </c>
      <c r="B736">
        <f>_xlfn.XLOOKUP(A736,'Subbu- Mini Project EXcel Clean'!A736:A1735,'Subbu- Mini Project EXcel Clean'!I736:I1735,"Entry Level",0)</f>
        <v>3</v>
      </c>
      <c r="C736" t="str">
        <f>_xlfn.XLOOKUP(A736,'Subbu- Mini Project EXcel Clean'!A736:A1735,'Subbu- Mini Project EXcel Clean'!J736:J1735," ",0)</f>
        <v>Excellent</v>
      </c>
      <c r="D736">
        <f>_xlfn.XLOOKUP(A736,'Subbu- Mini Project EXcel Clean'!A736:A1735,'Subbu- Mini Project EXcel Clean'!N736:N1735,"entry Level",0)</f>
        <v>7</v>
      </c>
      <c r="E736">
        <f>_xlfn.XLOOKUP(A736,'Subbu- Mini Project EXcel Clean'!A736:A1735,'Subbu- Mini Project EXcel Clean'!M736:M1735," ",0)</f>
        <v>80.099999999999994</v>
      </c>
      <c r="F736">
        <f>_xlfn.XLOOKUP(A736,'Subbu- Mini Project EXcel Clean'!A736:A1735,'Subbu- Mini Project EXcel Clean'!P736:P1735," ",0)</f>
        <v>7</v>
      </c>
      <c r="G736" t="str">
        <f>_xlfn.XLOOKUP(A736,'Subbu- Mini Project EXcel Clean'!A736:A1735,'Subbu- Mini Project EXcel Clean'!Q736:Q1735," ",0)</f>
        <v>High</v>
      </c>
      <c r="H736">
        <f>VLOOKUP(A736,'Subbu- Mini Project EXcel Clean'!A735:R1735,15,FALSE)</f>
        <v>3.1</v>
      </c>
    </row>
    <row r="737" spans="1:8" x14ac:dyDescent="0.25">
      <c r="A737" t="s">
        <v>765</v>
      </c>
      <c r="B737">
        <f>_xlfn.XLOOKUP(A737,'Subbu- Mini Project EXcel Clean'!A737:A1736,'Subbu- Mini Project EXcel Clean'!I737:I1736,"Entry Level",0)</f>
        <v>1</v>
      </c>
      <c r="C737" t="str">
        <f>_xlfn.XLOOKUP(A737,'Subbu- Mini Project EXcel Clean'!A737:A1736,'Subbu- Mini Project EXcel Clean'!J737:J1736," ",0)</f>
        <v>Consistent</v>
      </c>
      <c r="D737">
        <f>_xlfn.XLOOKUP(A737,'Subbu- Mini Project EXcel Clean'!A737:A1736,'Subbu- Mini Project EXcel Clean'!N737:N1736,"entry Level",0)</f>
        <v>7.3</v>
      </c>
      <c r="E737">
        <f>_xlfn.XLOOKUP(A737,'Subbu- Mini Project EXcel Clean'!A737:A1736,'Subbu- Mini Project EXcel Clean'!M737:M1736," ",0)</f>
        <v>59.8</v>
      </c>
      <c r="F737">
        <f>_xlfn.XLOOKUP(A737,'Subbu- Mini Project EXcel Clean'!A737:A1736,'Subbu- Mini Project EXcel Clean'!P737:P1736," ",0)</f>
        <v>4</v>
      </c>
      <c r="G737" t="str">
        <f>_xlfn.XLOOKUP(A737,'Subbu- Mini Project EXcel Clean'!A737:A1736,'Subbu- Mini Project EXcel Clean'!Q737:Q1736," ",0)</f>
        <v>Moderate</v>
      </c>
      <c r="H737">
        <f>VLOOKUP(A737,'Subbu- Mini Project EXcel Clean'!A736:R1736,15,FALSE)</f>
        <v>3.6</v>
      </c>
    </row>
    <row r="738" spans="1:8" x14ac:dyDescent="0.25">
      <c r="A738" t="s">
        <v>766</v>
      </c>
      <c r="B738">
        <f>_xlfn.XLOOKUP(A738,'Subbu- Mini Project EXcel Clean'!A738:A1737,'Subbu- Mini Project EXcel Clean'!I738:I1737,"Entry Level",0)</f>
        <v>4</v>
      </c>
      <c r="C738" t="str">
        <f>_xlfn.XLOOKUP(A738,'Subbu- Mini Project EXcel Clean'!A738:A1737,'Subbu- Mini Project EXcel Clean'!J738:J1737," ",0)</f>
        <v>Excellent</v>
      </c>
      <c r="D738">
        <f>_xlfn.XLOOKUP(A738,'Subbu- Mini Project EXcel Clean'!A738:A1737,'Subbu- Mini Project EXcel Clean'!N738:N1737,"entry Level",0)</f>
        <v>7.7</v>
      </c>
      <c r="E738">
        <f>_xlfn.XLOOKUP(A738,'Subbu- Mini Project EXcel Clean'!A738:A1737,'Subbu- Mini Project EXcel Clean'!M738:M1737," ",0)</f>
        <v>89.8</v>
      </c>
      <c r="F738">
        <f>_xlfn.XLOOKUP(A738,'Subbu- Mini Project EXcel Clean'!A738:A1737,'Subbu- Mini Project EXcel Clean'!P738:P1737," ",0)</f>
        <v>2</v>
      </c>
      <c r="G738" t="str">
        <f>_xlfn.XLOOKUP(A738,'Subbu- Mini Project EXcel Clean'!A738:A1737,'Subbu- Mini Project EXcel Clean'!Q738:Q1737," ",0)</f>
        <v>Low</v>
      </c>
      <c r="H738">
        <f>VLOOKUP(A738,'Subbu- Mini Project EXcel Clean'!A737:R1737,15,FALSE)</f>
        <v>2.8</v>
      </c>
    </row>
    <row r="739" spans="1:8" x14ac:dyDescent="0.25">
      <c r="A739" t="s">
        <v>767</v>
      </c>
      <c r="B739">
        <f>_xlfn.XLOOKUP(A739,'Subbu- Mini Project EXcel Clean'!A739:A1738,'Subbu- Mini Project EXcel Clean'!I739:I1738,"Entry Level",0)</f>
        <v>1</v>
      </c>
      <c r="C739" t="str">
        <f>_xlfn.XLOOKUP(A739,'Subbu- Mini Project EXcel Clean'!A739:A1738,'Subbu- Mini Project EXcel Clean'!J739:J1738," ",0)</f>
        <v>Consistent</v>
      </c>
      <c r="D739">
        <f>_xlfn.XLOOKUP(A739,'Subbu- Mini Project EXcel Clean'!A739:A1738,'Subbu- Mini Project EXcel Clean'!N739:N1738,"entry Level",0)</f>
        <v>6.8</v>
      </c>
      <c r="E739">
        <f>_xlfn.XLOOKUP(A739,'Subbu- Mini Project EXcel Clean'!A739:A1738,'Subbu- Mini Project EXcel Clean'!M739:M1738," ",0)</f>
        <v>66</v>
      </c>
      <c r="F739">
        <f>_xlfn.XLOOKUP(A739,'Subbu- Mini Project EXcel Clean'!A739:A1738,'Subbu- Mini Project EXcel Clean'!P739:P1738," ",0)</f>
        <v>2</v>
      </c>
      <c r="G739" t="str">
        <f>_xlfn.XLOOKUP(A739,'Subbu- Mini Project EXcel Clean'!A739:A1738,'Subbu- Mini Project EXcel Clean'!Q739:Q1738," ",0)</f>
        <v>Low</v>
      </c>
      <c r="H739">
        <f>VLOOKUP(A739,'Subbu- Mini Project EXcel Clean'!A738:R1738,15,FALSE)</f>
        <v>4.7</v>
      </c>
    </row>
    <row r="740" spans="1:8" x14ac:dyDescent="0.25">
      <c r="A740" t="s">
        <v>768</v>
      </c>
      <c r="B740">
        <f>_xlfn.XLOOKUP(A740,'Subbu- Mini Project EXcel Clean'!A740:A1739,'Subbu- Mini Project EXcel Clean'!I740:I1739,"Entry Level",0)</f>
        <v>3</v>
      </c>
      <c r="C740" t="str">
        <f>_xlfn.XLOOKUP(A740,'Subbu- Mini Project EXcel Clean'!A740:A1739,'Subbu- Mini Project EXcel Clean'!J740:J1739," ",0)</f>
        <v>Consistent</v>
      </c>
      <c r="D740">
        <f>_xlfn.XLOOKUP(A740,'Subbu- Mini Project EXcel Clean'!A740:A1739,'Subbu- Mini Project EXcel Clean'!N740:N1739,"entry Level",0)</f>
        <v>6</v>
      </c>
      <c r="E740">
        <f>_xlfn.XLOOKUP(A740,'Subbu- Mini Project EXcel Clean'!A740:A1739,'Subbu- Mini Project EXcel Clean'!M740:M1739," ",0)</f>
        <v>76.099999999999994</v>
      </c>
      <c r="F740">
        <f>_xlfn.XLOOKUP(A740,'Subbu- Mini Project EXcel Clean'!A740:A1739,'Subbu- Mini Project EXcel Clean'!P740:P1739," ",0)</f>
        <v>6</v>
      </c>
      <c r="G740" t="str">
        <f>_xlfn.XLOOKUP(A740,'Subbu- Mini Project EXcel Clean'!A740:A1739,'Subbu- Mini Project EXcel Clean'!Q740:Q1739," ",0)</f>
        <v>Moderate</v>
      </c>
      <c r="H740">
        <f>VLOOKUP(A740,'Subbu- Mini Project EXcel Clean'!A739:R1739,15,FALSE)</f>
        <v>4.9000000000000004</v>
      </c>
    </row>
    <row r="741" spans="1:8" x14ac:dyDescent="0.25">
      <c r="A741" t="s">
        <v>769</v>
      </c>
      <c r="B741">
        <f>_xlfn.XLOOKUP(A741,'Subbu- Mini Project EXcel Clean'!A741:A1740,'Subbu- Mini Project EXcel Clean'!I741:I1740,"Entry Level",0)</f>
        <v>2</v>
      </c>
      <c r="C741" t="str">
        <f>_xlfn.XLOOKUP(A741,'Subbu- Mini Project EXcel Clean'!A741:A1740,'Subbu- Mini Project EXcel Clean'!J741:J1740," ",0)</f>
        <v>Consistent</v>
      </c>
      <c r="D741">
        <f>_xlfn.XLOOKUP(A741,'Subbu- Mini Project EXcel Clean'!A741:A1740,'Subbu- Mini Project EXcel Clean'!N741:N1740,"entry Level",0)</f>
        <v>5.6</v>
      </c>
      <c r="E741">
        <f>_xlfn.XLOOKUP(A741,'Subbu- Mini Project EXcel Clean'!A741:A1740,'Subbu- Mini Project EXcel Clean'!M741:M1740," ",0)</f>
        <v>77.099999999999994</v>
      </c>
      <c r="F741">
        <f>_xlfn.XLOOKUP(A741,'Subbu- Mini Project EXcel Clean'!A741:A1740,'Subbu- Mini Project EXcel Clean'!P741:P1740," ",0)</f>
        <v>4</v>
      </c>
      <c r="G741" t="str">
        <f>_xlfn.XLOOKUP(A741,'Subbu- Mini Project EXcel Clean'!A741:A1740,'Subbu- Mini Project EXcel Clean'!Q741:Q1740," ",0)</f>
        <v>Moderate</v>
      </c>
      <c r="H741">
        <f>VLOOKUP(A741,'Subbu- Mini Project EXcel Clean'!A740:R1740,15,FALSE)</f>
        <v>4.8</v>
      </c>
    </row>
    <row r="742" spans="1:8" x14ac:dyDescent="0.25">
      <c r="A742" t="s">
        <v>770</v>
      </c>
      <c r="B742">
        <f>_xlfn.XLOOKUP(A742,'Subbu- Mini Project EXcel Clean'!A742:A1741,'Subbu- Mini Project EXcel Clean'!I742:I1741,"Entry Level",0)</f>
        <v>3</v>
      </c>
      <c r="C742" t="str">
        <f>_xlfn.XLOOKUP(A742,'Subbu- Mini Project EXcel Clean'!A742:A1741,'Subbu- Mini Project EXcel Clean'!J742:J1741," ",0)</f>
        <v>Excellent</v>
      </c>
      <c r="D742">
        <f>_xlfn.XLOOKUP(A742,'Subbu- Mini Project EXcel Clean'!A742:A1741,'Subbu- Mini Project EXcel Clean'!N742:N1741,"entry Level",0)</f>
        <v>5.7</v>
      </c>
      <c r="E742">
        <f>_xlfn.XLOOKUP(A742,'Subbu- Mini Project EXcel Clean'!A742:A1741,'Subbu- Mini Project EXcel Clean'!M742:M1741," ",0)</f>
        <v>81.2</v>
      </c>
      <c r="F742">
        <f>_xlfn.XLOOKUP(A742,'Subbu- Mini Project EXcel Clean'!A742:A1741,'Subbu- Mini Project EXcel Clean'!P742:P1741," ",0)</f>
        <v>4</v>
      </c>
      <c r="G742" t="str">
        <f>_xlfn.XLOOKUP(A742,'Subbu- Mini Project EXcel Clean'!A742:A1741,'Subbu- Mini Project EXcel Clean'!Q742:Q1741," ",0)</f>
        <v>Moderate</v>
      </c>
      <c r="H742">
        <f>VLOOKUP(A742,'Subbu- Mini Project EXcel Clean'!A741:R1741,15,FALSE)</f>
        <v>4.5999999999999996</v>
      </c>
    </row>
    <row r="743" spans="1:8" x14ac:dyDescent="0.25">
      <c r="A743" t="s">
        <v>771</v>
      </c>
      <c r="B743">
        <f>_xlfn.XLOOKUP(A743,'Subbu- Mini Project EXcel Clean'!A743:A1742,'Subbu- Mini Project EXcel Clean'!I743:I1742,"Entry Level",0)</f>
        <v>2</v>
      </c>
      <c r="C743" t="str">
        <f>_xlfn.XLOOKUP(A743,'Subbu- Mini Project EXcel Clean'!A743:A1742,'Subbu- Mini Project EXcel Clean'!J743:J1742," ",0)</f>
        <v>Consistent</v>
      </c>
      <c r="D743">
        <f>_xlfn.XLOOKUP(A743,'Subbu- Mini Project EXcel Clean'!A743:A1742,'Subbu- Mini Project EXcel Clean'!N743:N1742,"entry Level",0)</f>
        <v>6.8</v>
      </c>
      <c r="E743">
        <f>_xlfn.XLOOKUP(A743,'Subbu- Mini Project EXcel Clean'!A743:A1742,'Subbu- Mini Project EXcel Clean'!M743:M1742," ",0)</f>
        <v>61.1</v>
      </c>
      <c r="F743">
        <f>_xlfn.XLOOKUP(A743,'Subbu- Mini Project EXcel Clean'!A743:A1742,'Subbu- Mini Project EXcel Clean'!P743:P1742," ",0)</f>
        <v>4</v>
      </c>
      <c r="G743" t="str">
        <f>_xlfn.XLOOKUP(A743,'Subbu- Mini Project EXcel Clean'!A743:A1742,'Subbu- Mini Project EXcel Clean'!Q743:Q1742," ",0)</f>
        <v>Moderate</v>
      </c>
      <c r="H743">
        <f>VLOOKUP(A743,'Subbu- Mini Project EXcel Clean'!A742:R1742,15,FALSE)</f>
        <v>2</v>
      </c>
    </row>
    <row r="744" spans="1:8" x14ac:dyDescent="0.25">
      <c r="A744" t="s">
        <v>772</v>
      </c>
      <c r="B744">
        <f>_xlfn.XLOOKUP(A744,'Subbu- Mini Project EXcel Clean'!A744:A1743,'Subbu- Mini Project EXcel Clean'!I744:I1743,"Entry Level",0)</f>
        <v>4</v>
      </c>
      <c r="C744" t="str">
        <f>_xlfn.XLOOKUP(A744,'Subbu- Mini Project EXcel Clean'!A744:A1743,'Subbu- Mini Project EXcel Clean'!J744:J1743," ",0)</f>
        <v>Excellent</v>
      </c>
      <c r="D744">
        <f>_xlfn.XLOOKUP(A744,'Subbu- Mini Project EXcel Clean'!A744:A1743,'Subbu- Mini Project EXcel Clean'!N744:N1743,"entry Level",0)</f>
        <v>6.7</v>
      </c>
      <c r="E744">
        <f>_xlfn.XLOOKUP(A744,'Subbu- Mini Project EXcel Clean'!A744:A1743,'Subbu- Mini Project EXcel Clean'!M744:M1743," ",0)</f>
        <v>83.9</v>
      </c>
      <c r="F744">
        <f>_xlfn.XLOOKUP(A744,'Subbu- Mini Project EXcel Clean'!A744:A1743,'Subbu- Mini Project EXcel Clean'!P744:P1743," ",0)</f>
        <v>3</v>
      </c>
      <c r="G744" t="str">
        <f>_xlfn.XLOOKUP(A744,'Subbu- Mini Project EXcel Clean'!A744:A1743,'Subbu- Mini Project EXcel Clean'!Q744:Q1743," ",0)</f>
        <v>Low</v>
      </c>
      <c r="H744">
        <f>VLOOKUP(A744,'Subbu- Mini Project EXcel Clean'!A743:R1743,15,FALSE)</f>
        <v>2.7</v>
      </c>
    </row>
    <row r="745" spans="1:8" x14ac:dyDescent="0.25">
      <c r="A745" t="s">
        <v>773</v>
      </c>
      <c r="B745">
        <f>_xlfn.XLOOKUP(A745,'Subbu- Mini Project EXcel Clean'!A745:A1744,'Subbu- Mini Project EXcel Clean'!I745:I1744,"Entry Level",0)</f>
        <v>4</v>
      </c>
      <c r="C745" t="str">
        <f>_xlfn.XLOOKUP(A745,'Subbu- Mini Project EXcel Clean'!A745:A1744,'Subbu- Mini Project EXcel Clean'!J745:J1744," ",0)</f>
        <v>Good</v>
      </c>
      <c r="D745">
        <f>_xlfn.XLOOKUP(A745,'Subbu- Mini Project EXcel Clean'!A745:A1744,'Subbu- Mini Project EXcel Clean'!N745:N1744,"entry Level",0)</f>
        <v>6.9</v>
      </c>
      <c r="E745">
        <f>_xlfn.XLOOKUP(A745,'Subbu- Mini Project EXcel Clean'!A745:A1744,'Subbu- Mini Project EXcel Clean'!M745:M1744," ",0)</f>
        <v>86.9</v>
      </c>
      <c r="F745">
        <f>_xlfn.XLOOKUP(A745,'Subbu- Mini Project EXcel Clean'!A745:A1744,'Subbu- Mini Project EXcel Clean'!P745:P1744," ",0)</f>
        <v>4</v>
      </c>
      <c r="G745" t="str">
        <f>_xlfn.XLOOKUP(A745,'Subbu- Mini Project EXcel Clean'!A745:A1744,'Subbu- Mini Project EXcel Clean'!Q745:Q1744," ",0)</f>
        <v>Moderate</v>
      </c>
      <c r="H745">
        <f>VLOOKUP(A745,'Subbu- Mini Project EXcel Clean'!A744:R1744,15,FALSE)</f>
        <v>3.3</v>
      </c>
    </row>
    <row r="746" spans="1:8" x14ac:dyDescent="0.25">
      <c r="A746" t="s">
        <v>774</v>
      </c>
      <c r="B746">
        <f>_xlfn.XLOOKUP(A746,'Subbu- Mini Project EXcel Clean'!A746:A1745,'Subbu- Mini Project EXcel Clean'!I746:I1745,"Entry Level",0)</f>
        <v>2</v>
      </c>
      <c r="C746" t="str">
        <f>_xlfn.XLOOKUP(A746,'Subbu- Mini Project EXcel Clean'!A746:A1745,'Subbu- Mini Project EXcel Clean'!J746:J1745," ",0)</f>
        <v>Consistent</v>
      </c>
      <c r="D746">
        <f>_xlfn.XLOOKUP(A746,'Subbu- Mini Project EXcel Clean'!A746:A1745,'Subbu- Mini Project EXcel Clean'!N746:N1745,"entry Level",0)</f>
        <v>6.7</v>
      </c>
      <c r="E746">
        <f>_xlfn.XLOOKUP(A746,'Subbu- Mini Project EXcel Clean'!A746:A1745,'Subbu- Mini Project EXcel Clean'!M746:M1745," ",0)</f>
        <v>65.2</v>
      </c>
      <c r="F746">
        <f>_xlfn.XLOOKUP(A746,'Subbu- Mini Project EXcel Clean'!A746:A1745,'Subbu- Mini Project EXcel Clean'!P746:P1745," ",0)</f>
        <v>6</v>
      </c>
      <c r="G746" t="str">
        <f>_xlfn.XLOOKUP(A746,'Subbu- Mini Project EXcel Clean'!A746:A1745,'Subbu- Mini Project EXcel Clean'!Q746:Q1745," ",0)</f>
        <v>Moderate</v>
      </c>
      <c r="H746">
        <f>VLOOKUP(A746,'Subbu- Mini Project EXcel Clean'!A745:R1745,15,FALSE)</f>
        <v>2.7</v>
      </c>
    </row>
    <row r="747" spans="1:8" x14ac:dyDescent="0.25">
      <c r="A747" t="s">
        <v>775</v>
      </c>
      <c r="B747">
        <f>_xlfn.XLOOKUP(A747,'Subbu- Mini Project EXcel Clean'!A747:A1746,'Subbu- Mini Project EXcel Clean'!I747:I1746,"Entry Level",0)</f>
        <v>1</v>
      </c>
      <c r="C747" t="str">
        <f>_xlfn.XLOOKUP(A747,'Subbu- Mini Project EXcel Clean'!A747:A1746,'Subbu- Mini Project EXcel Clean'!J747:J1746," ",0)</f>
        <v>Consistent</v>
      </c>
      <c r="D747">
        <f>_xlfn.XLOOKUP(A747,'Subbu- Mini Project EXcel Clean'!A747:A1746,'Subbu- Mini Project EXcel Clean'!N747:N1746,"entry Level",0)</f>
        <v>6.7</v>
      </c>
      <c r="E747">
        <f>_xlfn.XLOOKUP(A747,'Subbu- Mini Project EXcel Clean'!A747:A1746,'Subbu- Mini Project EXcel Clean'!M747:M1746," ",0)</f>
        <v>70.3</v>
      </c>
      <c r="F747">
        <f>_xlfn.XLOOKUP(A747,'Subbu- Mini Project EXcel Clean'!A747:A1746,'Subbu- Mini Project EXcel Clean'!P747:P1746," ",0)</f>
        <v>1</v>
      </c>
      <c r="G747" t="str">
        <f>_xlfn.XLOOKUP(A747,'Subbu- Mini Project EXcel Clean'!A747:A1746,'Subbu- Mini Project EXcel Clean'!Q747:Q1746," ",0)</f>
        <v>Low</v>
      </c>
      <c r="H747">
        <f>VLOOKUP(A747,'Subbu- Mini Project EXcel Clean'!A746:R1746,15,FALSE)</f>
        <v>4.8</v>
      </c>
    </row>
    <row r="748" spans="1:8" x14ac:dyDescent="0.25">
      <c r="A748" t="s">
        <v>776</v>
      </c>
      <c r="B748">
        <f>_xlfn.XLOOKUP(A748,'Subbu- Mini Project EXcel Clean'!A748:A1747,'Subbu- Mini Project EXcel Clean'!I748:I1747,"Entry Level",0)</f>
        <v>2</v>
      </c>
      <c r="C748" t="str">
        <f>_xlfn.XLOOKUP(A748,'Subbu- Mini Project EXcel Clean'!A748:A1747,'Subbu- Mini Project EXcel Clean'!J748:J1747," ",0)</f>
        <v>Consistent</v>
      </c>
      <c r="D748">
        <f>_xlfn.XLOOKUP(A748,'Subbu- Mini Project EXcel Clean'!A748:A1747,'Subbu- Mini Project EXcel Clean'!N748:N1747,"entry Level",0)</f>
        <v>7.1</v>
      </c>
      <c r="E748">
        <f>_xlfn.XLOOKUP(A748,'Subbu- Mini Project EXcel Clean'!A748:A1747,'Subbu- Mini Project EXcel Clean'!M748:M1747," ",0)</f>
        <v>61.8</v>
      </c>
      <c r="F748">
        <f>_xlfn.XLOOKUP(A748,'Subbu- Mini Project EXcel Clean'!A748:A1747,'Subbu- Mini Project EXcel Clean'!P748:P1747," ",0)</f>
        <v>1</v>
      </c>
      <c r="G748" t="str">
        <f>_xlfn.XLOOKUP(A748,'Subbu- Mini Project EXcel Clean'!A748:A1747,'Subbu- Mini Project EXcel Clean'!Q748:Q1747," ",0)</f>
        <v>Low</v>
      </c>
      <c r="H748">
        <f>VLOOKUP(A748,'Subbu- Mini Project EXcel Clean'!A747:R1747,15,FALSE)</f>
        <v>2.6</v>
      </c>
    </row>
    <row r="749" spans="1:8" x14ac:dyDescent="0.25">
      <c r="A749" t="s">
        <v>777</v>
      </c>
      <c r="B749">
        <f>_xlfn.XLOOKUP(A749,'Subbu- Mini Project EXcel Clean'!A749:A1748,'Subbu- Mini Project EXcel Clean'!I749:I1748,"Entry Level",0)</f>
        <v>5</v>
      </c>
      <c r="C749" t="str">
        <f>_xlfn.XLOOKUP(A749,'Subbu- Mini Project EXcel Clean'!A749:A1748,'Subbu- Mini Project EXcel Clean'!J749:J1748," ",0)</f>
        <v>Good</v>
      </c>
      <c r="D749">
        <f>_xlfn.XLOOKUP(A749,'Subbu- Mini Project EXcel Clean'!A749:A1748,'Subbu- Mini Project EXcel Clean'!N749:N1748,"entry Level",0)</f>
        <v>7.5</v>
      </c>
      <c r="E749">
        <f>_xlfn.XLOOKUP(A749,'Subbu- Mini Project EXcel Clean'!A749:A1748,'Subbu- Mini Project EXcel Clean'!M749:M1748," ",0)</f>
        <v>96</v>
      </c>
      <c r="F749">
        <f>_xlfn.XLOOKUP(A749,'Subbu- Mini Project EXcel Clean'!A749:A1748,'Subbu- Mini Project EXcel Clean'!P749:P1748," ",0)</f>
        <v>5</v>
      </c>
      <c r="G749" t="str">
        <f>_xlfn.XLOOKUP(A749,'Subbu- Mini Project EXcel Clean'!A749:A1748,'Subbu- Mini Project EXcel Clean'!Q749:Q1748," ",0)</f>
        <v>Moderate</v>
      </c>
      <c r="H749">
        <f>VLOOKUP(A749,'Subbu- Mini Project EXcel Clean'!A748:R1748,15,FALSE)</f>
        <v>1.7</v>
      </c>
    </row>
    <row r="750" spans="1:8" x14ac:dyDescent="0.25">
      <c r="A750" t="s">
        <v>778</v>
      </c>
      <c r="B750">
        <f>_xlfn.XLOOKUP(A750,'Subbu- Mini Project EXcel Clean'!A750:A1749,'Subbu- Mini Project EXcel Clean'!I750:I1749,"Entry Level",0)</f>
        <v>3</v>
      </c>
      <c r="C750" t="str">
        <f>_xlfn.XLOOKUP(A750,'Subbu- Mini Project EXcel Clean'!A750:A1749,'Subbu- Mini Project EXcel Clean'!J750:J1749," ",0)</f>
        <v>Excellent</v>
      </c>
      <c r="D750">
        <f>_xlfn.XLOOKUP(A750,'Subbu- Mini Project EXcel Clean'!A750:A1749,'Subbu- Mini Project EXcel Clean'!N750:N1749,"entry Level",0)</f>
        <v>7.7</v>
      </c>
      <c r="E750">
        <f>_xlfn.XLOOKUP(A750,'Subbu- Mini Project EXcel Clean'!A750:A1749,'Subbu- Mini Project EXcel Clean'!M750:M1749," ",0)</f>
        <v>77.8</v>
      </c>
      <c r="F750">
        <f>_xlfn.XLOOKUP(A750,'Subbu- Mini Project EXcel Clean'!A750:A1749,'Subbu- Mini Project EXcel Clean'!P750:P1749," ",0)</f>
        <v>2</v>
      </c>
      <c r="G750" t="str">
        <f>_xlfn.XLOOKUP(A750,'Subbu- Mini Project EXcel Clean'!A750:A1749,'Subbu- Mini Project EXcel Clean'!Q750:Q1749," ",0)</f>
        <v>Low</v>
      </c>
      <c r="H750">
        <f>VLOOKUP(A750,'Subbu- Mini Project EXcel Clean'!A749:R1749,15,FALSE)</f>
        <v>3</v>
      </c>
    </row>
    <row r="751" spans="1:8" x14ac:dyDescent="0.25">
      <c r="A751" t="s">
        <v>779</v>
      </c>
      <c r="B751">
        <f>_xlfn.XLOOKUP(A751,'Subbu- Mini Project EXcel Clean'!A751:A1750,'Subbu- Mini Project EXcel Clean'!I751:I1750,"Entry Level",0)</f>
        <v>3</v>
      </c>
      <c r="C751" t="str">
        <f>_xlfn.XLOOKUP(A751,'Subbu- Mini Project EXcel Clean'!A751:A1750,'Subbu- Mini Project EXcel Clean'!J751:J1750," ",0)</f>
        <v>Consistent</v>
      </c>
      <c r="D751">
        <f>_xlfn.XLOOKUP(A751,'Subbu- Mini Project EXcel Clean'!A751:A1750,'Subbu- Mini Project EXcel Clean'!N751:N1750,"entry Level",0)</f>
        <v>5.6</v>
      </c>
      <c r="E751">
        <f>_xlfn.XLOOKUP(A751,'Subbu- Mini Project EXcel Clean'!A751:A1750,'Subbu- Mini Project EXcel Clean'!M751:M1750," ",0)</f>
        <v>77.400000000000006</v>
      </c>
      <c r="F751">
        <f>_xlfn.XLOOKUP(A751,'Subbu- Mini Project EXcel Clean'!A751:A1750,'Subbu- Mini Project EXcel Clean'!P751:P1750," ",0)</f>
        <v>7</v>
      </c>
      <c r="G751" t="str">
        <f>_xlfn.XLOOKUP(A751,'Subbu- Mini Project EXcel Clean'!A751:A1750,'Subbu- Mini Project EXcel Clean'!Q751:Q1750," ",0)</f>
        <v>High</v>
      </c>
      <c r="H751">
        <f>VLOOKUP(A751,'Subbu- Mini Project EXcel Clean'!A750:R1750,15,FALSE)</f>
        <v>5.9</v>
      </c>
    </row>
    <row r="752" spans="1:8" x14ac:dyDescent="0.25">
      <c r="A752" t="s">
        <v>780</v>
      </c>
      <c r="B752">
        <f>_xlfn.XLOOKUP(A752,'Subbu- Mini Project EXcel Clean'!A752:A1751,'Subbu- Mini Project EXcel Clean'!I752:I1751,"Entry Level",0)</f>
        <v>1</v>
      </c>
      <c r="C752" t="str">
        <f>_xlfn.XLOOKUP(A752,'Subbu- Mini Project EXcel Clean'!A752:A1751,'Subbu- Mini Project EXcel Clean'!J752:J1751," ",0)</f>
        <v>Consistent</v>
      </c>
      <c r="D752">
        <f>_xlfn.XLOOKUP(A752,'Subbu- Mini Project EXcel Clean'!A752:A1751,'Subbu- Mini Project EXcel Clean'!N752:N1751,"entry Level",0)</f>
        <v>7.6</v>
      </c>
      <c r="E752">
        <f>_xlfn.XLOOKUP(A752,'Subbu- Mini Project EXcel Clean'!A752:A1751,'Subbu- Mini Project EXcel Clean'!M752:M1751," ",0)</f>
        <v>56.7</v>
      </c>
      <c r="F752">
        <f>_xlfn.XLOOKUP(A752,'Subbu- Mini Project EXcel Clean'!A752:A1751,'Subbu- Mini Project EXcel Clean'!P752:P1751," ",0)</f>
        <v>3</v>
      </c>
      <c r="G752" t="str">
        <f>_xlfn.XLOOKUP(A752,'Subbu- Mini Project EXcel Clean'!A752:A1751,'Subbu- Mini Project EXcel Clean'!Q752:Q1751," ",0)</f>
        <v>Low</v>
      </c>
      <c r="H752">
        <f>VLOOKUP(A752,'Subbu- Mini Project EXcel Clean'!A751:R1751,15,FALSE)</f>
        <v>2.1</v>
      </c>
    </row>
    <row r="753" spans="1:8" x14ac:dyDescent="0.25">
      <c r="A753" t="s">
        <v>781</v>
      </c>
      <c r="B753">
        <f>_xlfn.XLOOKUP(A753,'Subbu- Mini Project EXcel Clean'!A753:A1752,'Subbu- Mini Project EXcel Clean'!I753:I1752,"Entry Level",0)</f>
        <v>4</v>
      </c>
      <c r="C753" t="str">
        <f>_xlfn.XLOOKUP(A753,'Subbu- Mini Project EXcel Clean'!A753:A1752,'Subbu- Mini Project EXcel Clean'!J753:J1752," ",0)</f>
        <v>Excellent</v>
      </c>
      <c r="D753">
        <f>_xlfn.XLOOKUP(A753,'Subbu- Mini Project EXcel Clean'!A753:A1752,'Subbu- Mini Project EXcel Clean'!N753:N1752,"entry Level",0)</f>
        <v>6.8</v>
      </c>
      <c r="E753">
        <f>_xlfn.XLOOKUP(A753,'Subbu- Mini Project EXcel Clean'!A753:A1752,'Subbu- Mini Project EXcel Clean'!M753:M1752," ",0)</f>
        <v>84.9</v>
      </c>
      <c r="F753">
        <f>_xlfn.XLOOKUP(A753,'Subbu- Mini Project EXcel Clean'!A753:A1752,'Subbu- Mini Project EXcel Clean'!P753:P1752," ",0)</f>
        <v>4</v>
      </c>
      <c r="G753" t="str">
        <f>_xlfn.XLOOKUP(A753,'Subbu- Mini Project EXcel Clean'!A753:A1752,'Subbu- Mini Project EXcel Clean'!Q753:Q1752," ",0)</f>
        <v>Moderate</v>
      </c>
      <c r="H753">
        <f>VLOOKUP(A753,'Subbu- Mini Project EXcel Clean'!A752:R1752,15,FALSE)</f>
        <v>4.0999999999999996</v>
      </c>
    </row>
    <row r="754" spans="1:8" x14ac:dyDescent="0.25">
      <c r="A754" t="s">
        <v>782</v>
      </c>
      <c r="B754">
        <f>_xlfn.XLOOKUP(A754,'Subbu- Mini Project EXcel Clean'!A754:A1753,'Subbu- Mini Project EXcel Clean'!I754:I1753,"Entry Level",0)</f>
        <v>5</v>
      </c>
      <c r="C754" t="str">
        <f>_xlfn.XLOOKUP(A754,'Subbu- Mini Project EXcel Clean'!A754:A1753,'Subbu- Mini Project EXcel Clean'!J754:J1753," ",0)</f>
        <v>Good</v>
      </c>
      <c r="D754">
        <f>_xlfn.XLOOKUP(A754,'Subbu- Mini Project EXcel Clean'!A754:A1753,'Subbu- Mini Project EXcel Clean'!N754:N1753,"entry Level",0)</f>
        <v>6.9</v>
      </c>
      <c r="E754">
        <f>_xlfn.XLOOKUP(A754,'Subbu- Mini Project EXcel Clean'!A754:A1753,'Subbu- Mini Project EXcel Clean'!M754:M1753," ",0)</f>
        <v>93.8</v>
      </c>
      <c r="F754">
        <f>_xlfn.XLOOKUP(A754,'Subbu- Mini Project EXcel Clean'!A754:A1753,'Subbu- Mini Project EXcel Clean'!P754:P1753," ",0)</f>
        <v>1</v>
      </c>
      <c r="G754" t="str">
        <f>_xlfn.XLOOKUP(A754,'Subbu- Mini Project EXcel Clean'!A754:A1753,'Subbu- Mini Project EXcel Clean'!Q754:Q1753," ",0)</f>
        <v>Low</v>
      </c>
      <c r="H754">
        <f>VLOOKUP(A754,'Subbu- Mini Project EXcel Clean'!A753:R1753,15,FALSE)</f>
        <v>3.2</v>
      </c>
    </row>
    <row r="755" spans="1:8" x14ac:dyDescent="0.25">
      <c r="A755" t="s">
        <v>783</v>
      </c>
      <c r="B755">
        <f>_xlfn.XLOOKUP(A755,'Subbu- Mini Project EXcel Clean'!A755:A1754,'Subbu- Mini Project EXcel Clean'!I755:I1754,"Entry Level",0)</f>
        <v>4</v>
      </c>
      <c r="C755" t="str">
        <f>_xlfn.XLOOKUP(A755,'Subbu- Mini Project EXcel Clean'!A755:A1754,'Subbu- Mini Project EXcel Clean'!J755:J1754," ",0)</f>
        <v>Good</v>
      </c>
      <c r="D755">
        <f>_xlfn.XLOOKUP(A755,'Subbu- Mini Project EXcel Clean'!A755:A1754,'Subbu- Mini Project EXcel Clean'!N755:N1754,"entry Level",0)</f>
        <v>8</v>
      </c>
      <c r="E755">
        <f>_xlfn.XLOOKUP(A755,'Subbu- Mini Project EXcel Clean'!A755:A1754,'Subbu- Mini Project EXcel Clean'!M755:M1754," ",0)</f>
        <v>95.8</v>
      </c>
      <c r="F755">
        <f>_xlfn.XLOOKUP(A755,'Subbu- Mini Project EXcel Clean'!A755:A1754,'Subbu- Mini Project EXcel Clean'!P755:P1754," ",0)</f>
        <v>3</v>
      </c>
      <c r="G755" t="str">
        <f>_xlfn.XLOOKUP(A755,'Subbu- Mini Project EXcel Clean'!A755:A1754,'Subbu- Mini Project EXcel Clean'!Q755:Q1754," ",0)</f>
        <v>Low</v>
      </c>
      <c r="H755">
        <f>VLOOKUP(A755,'Subbu- Mini Project EXcel Clean'!A754:R1754,15,FALSE)</f>
        <v>1.4</v>
      </c>
    </row>
    <row r="756" spans="1:8" x14ac:dyDescent="0.25">
      <c r="A756" t="s">
        <v>784</v>
      </c>
      <c r="B756">
        <f>_xlfn.XLOOKUP(A756,'Subbu- Mini Project EXcel Clean'!A756:A1755,'Subbu- Mini Project EXcel Clean'!I756:I1755,"Entry Level",0)</f>
        <v>4</v>
      </c>
      <c r="C756" t="str">
        <f>_xlfn.XLOOKUP(A756,'Subbu- Mini Project EXcel Clean'!A756:A1755,'Subbu- Mini Project EXcel Clean'!J756:J1755," ",0)</f>
        <v>Excellent</v>
      </c>
      <c r="D756">
        <f>_xlfn.XLOOKUP(A756,'Subbu- Mini Project EXcel Clean'!A756:A1755,'Subbu- Mini Project EXcel Clean'!N756:N1755,"entry Level",0)</f>
        <v>7.4</v>
      </c>
      <c r="E756">
        <f>_xlfn.XLOOKUP(A756,'Subbu- Mini Project EXcel Clean'!A756:A1755,'Subbu- Mini Project EXcel Clean'!M756:M1755," ",0)</f>
        <v>86.2</v>
      </c>
      <c r="F756">
        <f>_xlfn.XLOOKUP(A756,'Subbu- Mini Project EXcel Clean'!A756:A1755,'Subbu- Mini Project EXcel Clean'!P756:P1755," ",0)</f>
        <v>4</v>
      </c>
      <c r="G756" t="str">
        <f>_xlfn.XLOOKUP(A756,'Subbu- Mini Project EXcel Clean'!A756:A1755,'Subbu- Mini Project EXcel Clean'!Q756:Q1755," ",0)</f>
        <v>Moderate</v>
      </c>
      <c r="H756">
        <f>VLOOKUP(A756,'Subbu- Mini Project EXcel Clean'!A755:R1755,15,FALSE)</f>
        <v>3.4</v>
      </c>
    </row>
    <row r="757" spans="1:8" x14ac:dyDescent="0.25">
      <c r="A757" t="s">
        <v>785</v>
      </c>
      <c r="B757">
        <f>_xlfn.XLOOKUP(A757,'Subbu- Mini Project EXcel Clean'!A757:A1756,'Subbu- Mini Project EXcel Clean'!I757:I1756,"Entry Level",0)</f>
        <v>1</v>
      </c>
      <c r="C757" t="str">
        <f>_xlfn.XLOOKUP(A757,'Subbu- Mini Project EXcel Clean'!A757:A1756,'Subbu- Mini Project EXcel Clean'!J757:J1756," ",0)</f>
        <v>Consistent</v>
      </c>
      <c r="D757">
        <f>_xlfn.XLOOKUP(A757,'Subbu- Mini Project EXcel Clean'!A757:A1756,'Subbu- Mini Project EXcel Clean'!N757:N1756,"entry Level",0)</f>
        <v>6.2</v>
      </c>
      <c r="E757">
        <f>_xlfn.XLOOKUP(A757,'Subbu- Mini Project EXcel Clean'!A757:A1756,'Subbu- Mini Project EXcel Clean'!M757:M1756," ",0)</f>
        <v>57</v>
      </c>
      <c r="F757">
        <f>_xlfn.XLOOKUP(A757,'Subbu- Mini Project EXcel Clean'!A757:A1756,'Subbu- Mini Project EXcel Clean'!P757:P1756," ",0)</f>
        <v>1</v>
      </c>
      <c r="G757" t="str">
        <f>_xlfn.XLOOKUP(A757,'Subbu- Mini Project EXcel Clean'!A757:A1756,'Subbu- Mini Project EXcel Clean'!Q757:Q1756," ",0)</f>
        <v>Low</v>
      </c>
      <c r="H757">
        <f>VLOOKUP(A757,'Subbu- Mini Project EXcel Clean'!A756:R1756,15,FALSE)</f>
        <v>4.5</v>
      </c>
    </row>
    <row r="758" spans="1:8" x14ac:dyDescent="0.25">
      <c r="A758" t="s">
        <v>786</v>
      </c>
      <c r="B758">
        <f>_xlfn.XLOOKUP(A758,'Subbu- Mini Project EXcel Clean'!A758:A1757,'Subbu- Mini Project EXcel Clean'!I758:I1757,"Entry Level",0)</f>
        <v>1</v>
      </c>
      <c r="C758" t="str">
        <f>_xlfn.XLOOKUP(A758,'Subbu- Mini Project EXcel Clean'!A758:A1757,'Subbu- Mini Project EXcel Clean'!J758:J1757," ",0)</f>
        <v>Consistent</v>
      </c>
      <c r="D758">
        <f>_xlfn.XLOOKUP(A758,'Subbu- Mini Project EXcel Clean'!A758:A1757,'Subbu- Mini Project EXcel Clean'!N758:N1757,"entry Level",0)</f>
        <v>6.8</v>
      </c>
      <c r="E758">
        <f>_xlfn.XLOOKUP(A758,'Subbu- Mini Project EXcel Clean'!A758:A1757,'Subbu- Mini Project EXcel Clean'!M758:M1757," ",0)</f>
        <v>69.900000000000006</v>
      </c>
      <c r="F758">
        <f>_xlfn.XLOOKUP(A758,'Subbu- Mini Project EXcel Clean'!A758:A1757,'Subbu- Mini Project EXcel Clean'!P758:P1757," ",0)</f>
        <v>7</v>
      </c>
      <c r="G758" t="str">
        <f>_xlfn.XLOOKUP(A758,'Subbu- Mini Project EXcel Clean'!A758:A1757,'Subbu- Mini Project EXcel Clean'!Q758:Q1757," ",0)</f>
        <v>High</v>
      </c>
      <c r="H758">
        <f>VLOOKUP(A758,'Subbu- Mini Project EXcel Clean'!A757:R1757,15,FALSE)</f>
        <v>3.6</v>
      </c>
    </row>
    <row r="759" spans="1:8" x14ac:dyDescent="0.25">
      <c r="A759" t="s">
        <v>787</v>
      </c>
      <c r="B759">
        <f>_xlfn.XLOOKUP(A759,'Subbu- Mini Project EXcel Clean'!A759:A1758,'Subbu- Mini Project EXcel Clean'!I759:I1758,"Entry Level",0)</f>
        <v>1</v>
      </c>
      <c r="C759" t="str">
        <f>_xlfn.XLOOKUP(A759,'Subbu- Mini Project EXcel Clean'!A759:A1758,'Subbu- Mini Project EXcel Clean'!J759:J1758," ",0)</f>
        <v>Consistent</v>
      </c>
      <c r="D759">
        <f>_xlfn.XLOOKUP(A759,'Subbu- Mini Project EXcel Clean'!A759:A1758,'Subbu- Mini Project EXcel Clean'!N759:N1758,"entry Level",0)</f>
        <v>6.5</v>
      </c>
      <c r="E759">
        <f>_xlfn.XLOOKUP(A759,'Subbu- Mini Project EXcel Clean'!A759:A1758,'Subbu- Mini Project EXcel Clean'!M759:M1758," ",0)</f>
        <v>63</v>
      </c>
      <c r="F759">
        <f>_xlfn.XLOOKUP(A759,'Subbu- Mini Project EXcel Clean'!A759:A1758,'Subbu- Mini Project EXcel Clean'!P759:P1758," ",0)</f>
        <v>6</v>
      </c>
      <c r="G759" t="str">
        <f>_xlfn.XLOOKUP(A759,'Subbu- Mini Project EXcel Clean'!A759:A1758,'Subbu- Mini Project EXcel Clean'!Q759:Q1758," ",0)</f>
        <v>Moderate</v>
      </c>
      <c r="H759">
        <f>VLOOKUP(A759,'Subbu- Mini Project EXcel Clean'!A758:R1758,15,FALSE)</f>
        <v>5.4</v>
      </c>
    </row>
    <row r="760" spans="1:8" x14ac:dyDescent="0.25">
      <c r="A760" t="s">
        <v>788</v>
      </c>
      <c r="B760">
        <f>_xlfn.XLOOKUP(A760,'Subbu- Mini Project EXcel Clean'!A760:A1759,'Subbu- Mini Project EXcel Clean'!I760:I1759,"Entry Level",0)</f>
        <v>2</v>
      </c>
      <c r="C760" t="str">
        <f>_xlfn.XLOOKUP(A760,'Subbu- Mini Project EXcel Clean'!A760:A1759,'Subbu- Mini Project EXcel Clean'!J760:J1759," ",0)</f>
        <v>Consistent</v>
      </c>
      <c r="D760">
        <f>_xlfn.XLOOKUP(A760,'Subbu- Mini Project EXcel Clean'!A760:A1759,'Subbu- Mini Project EXcel Clean'!N760:N1759,"entry Level",0)</f>
        <v>7.1</v>
      </c>
      <c r="E760">
        <f>_xlfn.XLOOKUP(A760,'Subbu- Mini Project EXcel Clean'!A760:A1759,'Subbu- Mini Project EXcel Clean'!M760:M1759," ",0)</f>
        <v>71.3</v>
      </c>
      <c r="F760">
        <f>_xlfn.XLOOKUP(A760,'Subbu- Mini Project EXcel Clean'!A760:A1759,'Subbu- Mini Project EXcel Clean'!P760:P1759," ",0)</f>
        <v>2</v>
      </c>
      <c r="G760" t="str">
        <f>_xlfn.XLOOKUP(A760,'Subbu- Mini Project EXcel Clean'!A760:A1759,'Subbu- Mini Project EXcel Clean'!Q760:Q1759," ",0)</f>
        <v>Low</v>
      </c>
      <c r="H760">
        <f>VLOOKUP(A760,'Subbu- Mini Project EXcel Clean'!A759:R1759,15,FALSE)</f>
        <v>2.4</v>
      </c>
    </row>
    <row r="761" spans="1:8" x14ac:dyDescent="0.25">
      <c r="A761" t="s">
        <v>789</v>
      </c>
      <c r="B761">
        <f>_xlfn.XLOOKUP(A761,'Subbu- Mini Project EXcel Clean'!A761:A1760,'Subbu- Mini Project EXcel Clean'!I761:I1760,"Entry Level",0)</f>
        <v>2</v>
      </c>
      <c r="C761" t="str">
        <f>_xlfn.XLOOKUP(A761,'Subbu- Mini Project EXcel Clean'!A761:A1760,'Subbu- Mini Project EXcel Clean'!J761:J1760," ",0)</f>
        <v>Consistent</v>
      </c>
      <c r="D761">
        <f>_xlfn.XLOOKUP(A761,'Subbu- Mini Project EXcel Clean'!A761:A1760,'Subbu- Mini Project EXcel Clean'!N761:N1760,"entry Level",0)</f>
        <v>7.9</v>
      </c>
      <c r="E761">
        <f>_xlfn.XLOOKUP(A761,'Subbu- Mini Project EXcel Clean'!A761:A1760,'Subbu- Mini Project EXcel Clean'!M761:M1760," ",0)</f>
        <v>65.400000000000006</v>
      </c>
      <c r="F761">
        <f>_xlfn.XLOOKUP(A761,'Subbu- Mini Project EXcel Clean'!A761:A1760,'Subbu- Mini Project EXcel Clean'!P761:P1760," ",0)</f>
        <v>2</v>
      </c>
      <c r="G761" t="str">
        <f>_xlfn.XLOOKUP(A761,'Subbu- Mini Project EXcel Clean'!A761:A1760,'Subbu- Mini Project EXcel Clean'!Q761:Q1760," ",0)</f>
        <v>Low</v>
      </c>
      <c r="H761">
        <f>VLOOKUP(A761,'Subbu- Mini Project EXcel Clean'!A760:R1760,15,FALSE)</f>
        <v>1.4</v>
      </c>
    </row>
    <row r="762" spans="1:8" x14ac:dyDescent="0.25">
      <c r="A762" t="s">
        <v>790</v>
      </c>
      <c r="B762">
        <f>_xlfn.XLOOKUP(A762,'Subbu- Mini Project EXcel Clean'!A762:A1761,'Subbu- Mini Project EXcel Clean'!I762:I1761,"Entry Level",0)</f>
        <v>2</v>
      </c>
      <c r="C762" t="str">
        <f>_xlfn.XLOOKUP(A762,'Subbu- Mini Project EXcel Clean'!A762:A1761,'Subbu- Mini Project EXcel Clean'!J762:J1761," ",0)</f>
        <v>Consistent</v>
      </c>
      <c r="D762">
        <f>_xlfn.XLOOKUP(A762,'Subbu- Mini Project EXcel Clean'!A762:A1761,'Subbu- Mini Project EXcel Clean'!N762:N1761,"entry Level",0)</f>
        <v>6.4</v>
      </c>
      <c r="E762">
        <f>_xlfn.XLOOKUP(A762,'Subbu- Mini Project EXcel Clean'!A762:A1761,'Subbu- Mini Project EXcel Clean'!M762:M1761," ",0)</f>
        <v>67.8</v>
      </c>
      <c r="F762">
        <f>_xlfn.XLOOKUP(A762,'Subbu- Mini Project EXcel Clean'!A762:A1761,'Subbu- Mini Project EXcel Clean'!P762:P1761," ",0)</f>
        <v>1</v>
      </c>
      <c r="G762" t="str">
        <f>_xlfn.XLOOKUP(A762,'Subbu- Mini Project EXcel Clean'!A762:A1761,'Subbu- Mini Project EXcel Clean'!Q762:Q1761," ",0)</f>
        <v>Low</v>
      </c>
      <c r="H762">
        <f>VLOOKUP(A762,'Subbu- Mini Project EXcel Clean'!A761:R1761,15,FALSE)</f>
        <v>5.7</v>
      </c>
    </row>
    <row r="763" spans="1:8" x14ac:dyDescent="0.25">
      <c r="A763" t="s">
        <v>791</v>
      </c>
      <c r="B763">
        <f>_xlfn.XLOOKUP(A763,'Subbu- Mini Project EXcel Clean'!A763:A1762,'Subbu- Mini Project EXcel Clean'!I763:I1762,"Entry Level",0)</f>
        <v>3</v>
      </c>
      <c r="C763" t="str">
        <f>_xlfn.XLOOKUP(A763,'Subbu- Mini Project EXcel Clean'!A763:A1762,'Subbu- Mini Project EXcel Clean'!J763:J1762," ",0)</f>
        <v>Consistent</v>
      </c>
      <c r="D763">
        <f>_xlfn.XLOOKUP(A763,'Subbu- Mini Project EXcel Clean'!A763:A1762,'Subbu- Mini Project EXcel Clean'!N763:N1762,"entry Level",0)</f>
        <v>8</v>
      </c>
      <c r="E763">
        <f>_xlfn.XLOOKUP(A763,'Subbu- Mini Project EXcel Clean'!A763:A1762,'Subbu- Mini Project EXcel Clean'!M763:M1762," ",0)</f>
        <v>76.5</v>
      </c>
      <c r="F763">
        <f>_xlfn.XLOOKUP(A763,'Subbu- Mini Project EXcel Clean'!A763:A1762,'Subbu- Mini Project EXcel Clean'!P763:P1762," ",0)</f>
        <v>1</v>
      </c>
      <c r="G763" t="str">
        <f>_xlfn.XLOOKUP(A763,'Subbu- Mini Project EXcel Clean'!A763:A1762,'Subbu- Mini Project EXcel Clean'!Q763:Q1762," ",0)</f>
        <v>Low</v>
      </c>
      <c r="H763">
        <f>VLOOKUP(A763,'Subbu- Mini Project EXcel Clean'!A762:R1762,15,FALSE)</f>
        <v>2.9</v>
      </c>
    </row>
    <row r="764" spans="1:8" x14ac:dyDescent="0.25">
      <c r="A764" t="s">
        <v>792</v>
      </c>
      <c r="B764">
        <f>_xlfn.XLOOKUP(A764,'Subbu- Mini Project EXcel Clean'!A764:A1763,'Subbu- Mini Project EXcel Clean'!I764:I1763,"Entry Level",0)</f>
        <v>5</v>
      </c>
      <c r="C764" t="str">
        <f>_xlfn.XLOOKUP(A764,'Subbu- Mini Project EXcel Clean'!A764:A1763,'Subbu- Mini Project EXcel Clean'!J764:J1763," ",0)</f>
        <v>Good</v>
      </c>
      <c r="D764">
        <f>_xlfn.XLOOKUP(A764,'Subbu- Mini Project EXcel Clean'!A764:A1763,'Subbu- Mini Project EXcel Clean'!N764:N1763,"entry Level",0)</f>
        <v>6.1</v>
      </c>
      <c r="E764">
        <f>_xlfn.XLOOKUP(A764,'Subbu- Mini Project EXcel Clean'!A764:A1763,'Subbu- Mini Project EXcel Clean'!M764:M1763," ",0)</f>
        <v>100.1</v>
      </c>
      <c r="F764">
        <f>_xlfn.XLOOKUP(A764,'Subbu- Mini Project EXcel Clean'!A764:A1763,'Subbu- Mini Project EXcel Clean'!P764:P1763," ",0)</f>
        <v>6</v>
      </c>
      <c r="G764" t="str">
        <f>_xlfn.XLOOKUP(A764,'Subbu- Mini Project EXcel Clean'!A764:A1763,'Subbu- Mini Project EXcel Clean'!Q764:Q1763," ",0)</f>
        <v>Moderate</v>
      </c>
      <c r="H764">
        <f>VLOOKUP(A764,'Subbu- Mini Project EXcel Clean'!A763:R1763,15,FALSE)</f>
        <v>3.9</v>
      </c>
    </row>
    <row r="765" spans="1:8" x14ac:dyDescent="0.25">
      <c r="A765" t="s">
        <v>793</v>
      </c>
      <c r="B765">
        <f>_xlfn.XLOOKUP(A765,'Subbu- Mini Project EXcel Clean'!A765:A1764,'Subbu- Mini Project EXcel Clean'!I765:I1764,"Entry Level",0)</f>
        <v>3</v>
      </c>
      <c r="C765" t="str">
        <f>_xlfn.XLOOKUP(A765,'Subbu- Mini Project EXcel Clean'!A765:A1764,'Subbu- Mini Project EXcel Clean'!J765:J1764," ",0)</f>
        <v>Excellent</v>
      </c>
      <c r="D765">
        <f>_xlfn.XLOOKUP(A765,'Subbu- Mini Project EXcel Clean'!A765:A1764,'Subbu- Mini Project EXcel Clean'!N765:N1764,"entry Level",0)</f>
        <v>6.5</v>
      </c>
      <c r="E765">
        <f>_xlfn.XLOOKUP(A765,'Subbu- Mini Project EXcel Clean'!A765:A1764,'Subbu- Mini Project EXcel Clean'!M765:M1764," ",0)</f>
        <v>75.7</v>
      </c>
      <c r="F765">
        <f>_xlfn.XLOOKUP(A765,'Subbu- Mini Project EXcel Clean'!A765:A1764,'Subbu- Mini Project EXcel Clean'!P765:P1764," ",0)</f>
        <v>3</v>
      </c>
      <c r="G765" t="str">
        <f>_xlfn.XLOOKUP(A765,'Subbu- Mini Project EXcel Clean'!A765:A1764,'Subbu- Mini Project EXcel Clean'!Q765:Q1764," ",0)</f>
        <v>Low</v>
      </c>
      <c r="H765">
        <f>VLOOKUP(A765,'Subbu- Mini Project EXcel Clean'!A764:R1764,15,FALSE)</f>
        <v>5</v>
      </c>
    </row>
    <row r="766" spans="1:8" x14ac:dyDescent="0.25">
      <c r="A766" t="s">
        <v>794</v>
      </c>
      <c r="B766">
        <f>_xlfn.XLOOKUP(A766,'Subbu- Mini Project EXcel Clean'!A766:A1765,'Subbu- Mini Project EXcel Clean'!I766:I1765,"Entry Level",0)</f>
        <v>4</v>
      </c>
      <c r="C766" t="str">
        <f>_xlfn.XLOOKUP(A766,'Subbu- Mini Project EXcel Clean'!A766:A1765,'Subbu- Mini Project EXcel Clean'!J766:J1765," ",0)</f>
        <v>Good</v>
      </c>
      <c r="D766">
        <f>_xlfn.XLOOKUP(A766,'Subbu- Mini Project EXcel Clean'!A766:A1765,'Subbu- Mini Project EXcel Clean'!N766:N1765,"entry Level",0)</f>
        <v>6.8</v>
      </c>
      <c r="E766">
        <f>_xlfn.XLOOKUP(A766,'Subbu- Mini Project EXcel Clean'!A766:A1765,'Subbu- Mini Project EXcel Clean'!M766:M1765," ",0)</f>
        <v>90.7</v>
      </c>
      <c r="F766">
        <f>_xlfn.XLOOKUP(A766,'Subbu- Mini Project EXcel Clean'!A766:A1765,'Subbu- Mini Project EXcel Clean'!P766:P1765," ",0)</f>
        <v>4</v>
      </c>
      <c r="G766" t="str">
        <f>_xlfn.XLOOKUP(A766,'Subbu- Mini Project EXcel Clean'!A766:A1765,'Subbu- Mini Project EXcel Clean'!Q766:Q1765," ",0)</f>
        <v>Moderate</v>
      </c>
      <c r="H766">
        <f>VLOOKUP(A766,'Subbu- Mini Project EXcel Clean'!A765:R1765,15,FALSE)</f>
        <v>2.6</v>
      </c>
    </row>
    <row r="767" spans="1:8" x14ac:dyDescent="0.25">
      <c r="A767" t="s">
        <v>795</v>
      </c>
      <c r="B767">
        <f>_xlfn.XLOOKUP(A767,'Subbu- Mini Project EXcel Clean'!A767:A1766,'Subbu- Mini Project EXcel Clean'!I767:I1766,"Entry Level",0)</f>
        <v>4</v>
      </c>
      <c r="C767" t="str">
        <f>_xlfn.XLOOKUP(A767,'Subbu- Mini Project EXcel Clean'!A767:A1766,'Subbu- Mini Project EXcel Clean'!J767:J1766," ",0)</f>
        <v>Excellent</v>
      </c>
      <c r="D767">
        <f>_xlfn.XLOOKUP(A767,'Subbu- Mini Project EXcel Clean'!A767:A1766,'Subbu- Mini Project EXcel Clean'!N767:N1766,"entry Level",0)</f>
        <v>6.9</v>
      </c>
      <c r="E767">
        <f>_xlfn.XLOOKUP(A767,'Subbu- Mini Project EXcel Clean'!A767:A1766,'Subbu- Mini Project EXcel Clean'!M767:M1766," ",0)</f>
        <v>87.1</v>
      </c>
      <c r="F767">
        <f>_xlfn.XLOOKUP(A767,'Subbu- Mini Project EXcel Clean'!A767:A1766,'Subbu- Mini Project EXcel Clean'!P767:P1766," ",0)</f>
        <v>1</v>
      </c>
      <c r="G767" t="str">
        <f>_xlfn.XLOOKUP(A767,'Subbu- Mini Project EXcel Clean'!A767:A1766,'Subbu- Mini Project EXcel Clean'!Q767:Q1766," ",0)</f>
        <v>Low</v>
      </c>
      <c r="H767">
        <f>VLOOKUP(A767,'Subbu- Mini Project EXcel Clean'!A766:R1766,15,FALSE)</f>
        <v>4.5999999999999996</v>
      </c>
    </row>
    <row r="768" spans="1:8" x14ac:dyDescent="0.25">
      <c r="A768" t="s">
        <v>796</v>
      </c>
      <c r="B768">
        <f>_xlfn.XLOOKUP(A768,'Subbu- Mini Project EXcel Clean'!A768:A1767,'Subbu- Mini Project EXcel Clean'!I768:I1767,"Entry Level",0)</f>
        <v>2</v>
      </c>
      <c r="C768" t="str">
        <f>_xlfn.XLOOKUP(A768,'Subbu- Mini Project EXcel Clean'!A768:A1767,'Subbu- Mini Project EXcel Clean'!J768:J1767," ",0)</f>
        <v>Consistent</v>
      </c>
      <c r="D768">
        <f>_xlfn.XLOOKUP(A768,'Subbu- Mini Project EXcel Clean'!A768:A1767,'Subbu- Mini Project EXcel Clean'!N768:N1767,"entry Level",0)</f>
        <v>6.7</v>
      </c>
      <c r="E768">
        <f>_xlfn.XLOOKUP(A768,'Subbu- Mini Project EXcel Clean'!A768:A1767,'Subbu- Mini Project EXcel Clean'!M768:M1767," ",0)</f>
        <v>65.8</v>
      </c>
      <c r="F768">
        <f>_xlfn.XLOOKUP(A768,'Subbu- Mini Project EXcel Clean'!A768:A1767,'Subbu- Mini Project EXcel Clean'!P768:P1767," ",0)</f>
        <v>4</v>
      </c>
      <c r="G768" t="str">
        <f>_xlfn.XLOOKUP(A768,'Subbu- Mini Project EXcel Clean'!A768:A1767,'Subbu- Mini Project EXcel Clean'!Q768:Q1767," ",0)</f>
        <v>Moderate</v>
      </c>
      <c r="H768">
        <f>VLOOKUP(A768,'Subbu- Mini Project EXcel Clean'!A767:R1767,15,FALSE)</f>
        <v>1.7</v>
      </c>
    </row>
    <row r="769" spans="1:8" x14ac:dyDescent="0.25">
      <c r="A769" t="s">
        <v>797</v>
      </c>
      <c r="B769">
        <f>_xlfn.XLOOKUP(A769,'Subbu- Mini Project EXcel Clean'!A769:A1768,'Subbu- Mini Project EXcel Clean'!I769:I1768,"Entry Level",0)</f>
        <v>4</v>
      </c>
      <c r="C769" t="str">
        <f>_xlfn.XLOOKUP(A769,'Subbu- Mini Project EXcel Clean'!A769:A1768,'Subbu- Mini Project EXcel Clean'!J769:J1768," ",0)</f>
        <v>Excellent</v>
      </c>
      <c r="D769">
        <f>_xlfn.XLOOKUP(A769,'Subbu- Mini Project EXcel Clean'!A769:A1768,'Subbu- Mini Project EXcel Clean'!N769:N1768,"entry Level",0)</f>
        <v>7.4</v>
      </c>
      <c r="E769">
        <f>_xlfn.XLOOKUP(A769,'Subbu- Mini Project EXcel Clean'!A769:A1768,'Subbu- Mini Project EXcel Clean'!M769:M1768," ",0)</f>
        <v>95.4</v>
      </c>
      <c r="F769">
        <f>_xlfn.XLOOKUP(A769,'Subbu- Mini Project EXcel Clean'!A769:A1768,'Subbu- Mini Project EXcel Clean'!P769:P1768," ",0)</f>
        <v>1</v>
      </c>
      <c r="G769" t="str">
        <f>_xlfn.XLOOKUP(A769,'Subbu- Mini Project EXcel Clean'!A769:A1768,'Subbu- Mini Project EXcel Clean'!Q769:Q1768," ",0)</f>
        <v>Low</v>
      </c>
      <c r="H769">
        <f>VLOOKUP(A769,'Subbu- Mini Project EXcel Clean'!A768:R1768,15,FALSE)</f>
        <v>2.5</v>
      </c>
    </row>
    <row r="770" spans="1:8" x14ac:dyDescent="0.25">
      <c r="A770" t="s">
        <v>798</v>
      </c>
      <c r="B770">
        <f>_xlfn.XLOOKUP(A770,'Subbu- Mini Project EXcel Clean'!A770:A1769,'Subbu- Mini Project EXcel Clean'!I770:I1769,"Entry Level",0)</f>
        <v>2</v>
      </c>
      <c r="C770" t="str">
        <f>_xlfn.XLOOKUP(A770,'Subbu- Mini Project EXcel Clean'!A770:A1769,'Subbu- Mini Project EXcel Clean'!J770:J1769," ",0)</f>
        <v>Consistent</v>
      </c>
      <c r="D770">
        <f>_xlfn.XLOOKUP(A770,'Subbu- Mini Project EXcel Clean'!A770:A1769,'Subbu- Mini Project EXcel Clean'!N770:N1769,"entry Level",0)</f>
        <v>7.2</v>
      </c>
      <c r="E770">
        <f>_xlfn.XLOOKUP(A770,'Subbu- Mini Project EXcel Clean'!A770:A1769,'Subbu- Mini Project EXcel Clean'!M770:M1769," ",0)</f>
        <v>67.099999999999994</v>
      </c>
      <c r="F770">
        <f>_xlfn.XLOOKUP(A770,'Subbu- Mini Project EXcel Clean'!A770:A1769,'Subbu- Mini Project EXcel Clean'!P770:P1769," ",0)</f>
        <v>3</v>
      </c>
      <c r="G770" t="str">
        <f>_xlfn.XLOOKUP(A770,'Subbu- Mini Project EXcel Clean'!A770:A1769,'Subbu- Mini Project EXcel Clean'!Q770:Q1769," ",0)</f>
        <v>Low</v>
      </c>
      <c r="H770">
        <f>VLOOKUP(A770,'Subbu- Mini Project EXcel Clean'!A769:R1769,15,FALSE)</f>
        <v>1.7</v>
      </c>
    </row>
    <row r="771" spans="1:8" x14ac:dyDescent="0.25">
      <c r="A771" t="s">
        <v>799</v>
      </c>
      <c r="B771">
        <f>_xlfn.XLOOKUP(A771,'Subbu- Mini Project EXcel Clean'!A771:A1770,'Subbu- Mini Project EXcel Clean'!I771:I1770,"Entry Level",0)</f>
        <v>4</v>
      </c>
      <c r="C771" t="str">
        <f>_xlfn.XLOOKUP(A771,'Subbu- Mini Project EXcel Clean'!A771:A1770,'Subbu- Mini Project EXcel Clean'!J771:J1770," ",0)</f>
        <v>Excellent</v>
      </c>
      <c r="D771">
        <f>_xlfn.XLOOKUP(A771,'Subbu- Mini Project EXcel Clean'!A771:A1770,'Subbu- Mini Project EXcel Clean'!N771:N1770,"entry Level",0)</f>
        <v>6.1</v>
      </c>
      <c r="E771">
        <f>_xlfn.XLOOKUP(A771,'Subbu- Mini Project EXcel Clean'!A771:A1770,'Subbu- Mini Project EXcel Clean'!M771:M1770," ",0)</f>
        <v>83.1</v>
      </c>
      <c r="F771">
        <f>_xlfn.XLOOKUP(A771,'Subbu- Mini Project EXcel Clean'!A771:A1770,'Subbu- Mini Project EXcel Clean'!P771:P1770," ",0)</f>
        <v>3</v>
      </c>
      <c r="G771" t="str">
        <f>_xlfn.XLOOKUP(A771,'Subbu- Mini Project EXcel Clean'!A771:A1770,'Subbu- Mini Project EXcel Clean'!Q771:Q1770," ",0)</f>
        <v>Moderate</v>
      </c>
      <c r="H771">
        <f>VLOOKUP(A771,'Subbu- Mini Project EXcel Clean'!A770:R1770,15,FALSE)</f>
        <v>5.0999999999999996</v>
      </c>
    </row>
    <row r="772" spans="1:8" x14ac:dyDescent="0.25">
      <c r="A772" t="s">
        <v>800</v>
      </c>
      <c r="B772">
        <f>_xlfn.XLOOKUP(A772,'Subbu- Mini Project EXcel Clean'!A772:A1771,'Subbu- Mini Project EXcel Clean'!I772:I1771,"Entry Level",0)</f>
        <v>2</v>
      </c>
      <c r="C772" t="str">
        <f>_xlfn.XLOOKUP(A772,'Subbu- Mini Project EXcel Clean'!A772:A1771,'Subbu- Mini Project EXcel Clean'!J772:J1771," ",0)</f>
        <v>Consistent</v>
      </c>
      <c r="D772">
        <f>_xlfn.XLOOKUP(A772,'Subbu- Mini Project EXcel Clean'!A772:A1771,'Subbu- Mini Project EXcel Clean'!N772:N1771,"entry Level",0)</f>
        <v>6.6</v>
      </c>
      <c r="E772">
        <f>_xlfn.XLOOKUP(A772,'Subbu- Mini Project EXcel Clean'!A772:A1771,'Subbu- Mini Project EXcel Clean'!M772:M1771," ",0)</f>
        <v>71.099999999999994</v>
      </c>
      <c r="F772">
        <f>_xlfn.XLOOKUP(A772,'Subbu- Mini Project EXcel Clean'!A772:A1771,'Subbu- Mini Project EXcel Clean'!P772:P1771," ",0)</f>
        <v>4</v>
      </c>
      <c r="G772" t="str">
        <f>_xlfn.XLOOKUP(A772,'Subbu- Mini Project EXcel Clean'!A772:A1771,'Subbu- Mini Project EXcel Clean'!Q772:Q1771," ",0)</f>
        <v>Moderate</v>
      </c>
      <c r="H772">
        <f>VLOOKUP(A772,'Subbu- Mini Project EXcel Clean'!A771:R1771,15,FALSE)</f>
        <v>2.1</v>
      </c>
    </row>
    <row r="773" spans="1:8" x14ac:dyDescent="0.25">
      <c r="A773" t="s">
        <v>801</v>
      </c>
      <c r="B773">
        <f>_xlfn.XLOOKUP(A773,'Subbu- Mini Project EXcel Clean'!A773:A1772,'Subbu- Mini Project EXcel Clean'!I773:I1772,"Entry Level",0)</f>
        <v>5</v>
      </c>
      <c r="C773" t="str">
        <f>_xlfn.XLOOKUP(A773,'Subbu- Mini Project EXcel Clean'!A773:A1772,'Subbu- Mini Project EXcel Clean'!J773:J1772," ",0)</f>
        <v>Good</v>
      </c>
      <c r="D773">
        <f>_xlfn.XLOOKUP(A773,'Subbu- Mini Project EXcel Clean'!A773:A1772,'Subbu- Mini Project EXcel Clean'!N773:N1772,"entry Level",0)</f>
        <v>6.4</v>
      </c>
      <c r="E773">
        <f>_xlfn.XLOOKUP(A773,'Subbu- Mini Project EXcel Clean'!A773:A1772,'Subbu- Mini Project EXcel Clean'!M773:M1772," ",0)</f>
        <v>95.9</v>
      </c>
      <c r="F773">
        <f>_xlfn.XLOOKUP(A773,'Subbu- Mini Project EXcel Clean'!A773:A1772,'Subbu- Mini Project EXcel Clean'!P773:P1772," ",0)</f>
        <v>4</v>
      </c>
      <c r="G773" t="str">
        <f>_xlfn.XLOOKUP(A773,'Subbu- Mini Project EXcel Clean'!A773:A1772,'Subbu- Mini Project EXcel Clean'!Q773:Q1772," ",0)</f>
        <v>Moderate</v>
      </c>
      <c r="H773">
        <f>VLOOKUP(A773,'Subbu- Mini Project EXcel Clean'!A772:R1772,15,FALSE)</f>
        <v>4.5999999999999996</v>
      </c>
    </row>
    <row r="774" spans="1:8" x14ac:dyDescent="0.25">
      <c r="A774" t="s">
        <v>802</v>
      </c>
      <c r="B774">
        <f>_xlfn.XLOOKUP(A774,'Subbu- Mini Project EXcel Clean'!A774:A1773,'Subbu- Mini Project EXcel Clean'!I774:I1773,"Entry Level",0)</f>
        <v>2</v>
      </c>
      <c r="C774" t="str">
        <f>_xlfn.XLOOKUP(A774,'Subbu- Mini Project EXcel Clean'!A774:A1773,'Subbu- Mini Project EXcel Clean'!J774:J1773," ",0)</f>
        <v>Consistent</v>
      </c>
      <c r="D774">
        <f>_xlfn.XLOOKUP(A774,'Subbu- Mini Project EXcel Clean'!A774:A1773,'Subbu- Mini Project EXcel Clean'!N774:N1773,"entry Level",0)</f>
        <v>6.8</v>
      </c>
      <c r="E774">
        <f>_xlfn.XLOOKUP(A774,'Subbu- Mini Project EXcel Clean'!A774:A1773,'Subbu- Mini Project EXcel Clean'!M774:M1773," ",0)</f>
        <v>68.8</v>
      </c>
      <c r="F774">
        <f>_xlfn.XLOOKUP(A774,'Subbu- Mini Project EXcel Clean'!A774:A1773,'Subbu- Mini Project EXcel Clean'!P774:P1773," ",0)</f>
        <v>1</v>
      </c>
      <c r="G774" t="str">
        <f>_xlfn.XLOOKUP(A774,'Subbu- Mini Project EXcel Clean'!A774:A1773,'Subbu- Mini Project EXcel Clean'!Q774:Q1773," ",0)</f>
        <v>Low</v>
      </c>
      <c r="H774">
        <f>VLOOKUP(A774,'Subbu- Mini Project EXcel Clean'!A773:R1773,15,FALSE)</f>
        <v>5.7</v>
      </c>
    </row>
    <row r="775" spans="1:8" x14ac:dyDescent="0.25">
      <c r="A775" t="s">
        <v>803</v>
      </c>
      <c r="B775">
        <f>_xlfn.XLOOKUP(A775,'Subbu- Mini Project EXcel Clean'!A775:A1774,'Subbu- Mini Project EXcel Clean'!I775:I1774,"Entry Level",0)</f>
        <v>2</v>
      </c>
      <c r="C775" t="str">
        <f>_xlfn.XLOOKUP(A775,'Subbu- Mini Project EXcel Clean'!A775:A1774,'Subbu- Mini Project EXcel Clean'!J775:J1774," ",0)</f>
        <v>Consistent</v>
      </c>
      <c r="D775">
        <f>_xlfn.XLOOKUP(A775,'Subbu- Mini Project EXcel Clean'!A775:A1774,'Subbu- Mini Project EXcel Clean'!N775:N1774,"entry Level",0)</f>
        <v>6.9</v>
      </c>
      <c r="E775">
        <f>_xlfn.XLOOKUP(A775,'Subbu- Mini Project EXcel Clean'!A775:A1774,'Subbu- Mini Project EXcel Clean'!M775:M1774," ",0)</f>
        <v>75</v>
      </c>
      <c r="F775">
        <f>_xlfn.XLOOKUP(A775,'Subbu- Mini Project EXcel Clean'!A775:A1774,'Subbu- Mini Project EXcel Clean'!P775:P1774," ",0)</f>
        <v>2</v>
      </c>
      <c r="G775" t="str">
        <f>_xlfn.XLOOKUP(A775,'Subbu- Mini Project EXcel Clean'!A775:A1774,'Subbu- Mini Project EXcel Clean'!Q775:Q1774," ",0)</f>
        <v>Low</v>
      </c>
      <c r="H775">
        <f>VLOOKUP(A775,'Subbu- Mini Project EXcel Clean'!A774:R1774,15,FALSE)</f>
        <v>3.6</v>
      </c>
    </row>
    <row r="776" spans="1:8" x14ac:dyDescent="0.25">
      <c r="A776" t="s">
        <v>804</v>
      </c>
      <c r="B776">
        <f>_xlfn.XLOOKUP(A776,'Subbu- Mini Project EXcel Clean'!A776:A1775,'Subbu- Mini Project EXcel Clean'!I776:I1775,"Entry Level",0)</f>
        <v>5</v>
      </c>
      <c r="C776" t="str">
        <f>_xlfn.XLOOKUP(A776,'Subbu- Mini Project EXcel Clean'!A776:A1775,'Subbu- Mini Project EXcel Clean'!J776:J1775," ",0)</f>
        <v>Good</v>
      </c>
      <c r="D776">
        <f>_xlfn.XLOOKUP(A776,'Subbu- Mini Project EXcel Clean'!A776:A1775,'Subbu- Mini Project EXcel Clean'!N776:N1775,"entry Level",0)</f>
        <v>7.2</v>
      </c>
      <c r="E776">
        <f>_xlfn.XLOOKUP(A776,'Subbu- Mini Project EXcel Clean'!A776:A1775,'Subbu- Mini Project EXcel Clean'!M776:M1775," ",0)</f>
        <v>92</v>
      </c>
      <c r="F776">
        <f>_xlfn.XLOOKUP(A776,'Subbu- Mini Project EXcel Clean'!A776:A1775,'Subbu- Mini Project EXcel Clean'!P776:P1775," ",0)</f>
        <v>1</v>
      </c>
      <c r="G776" t="str">
        <f>_xlfn.XLOOKUP(A776,'Subbu- Mini Project EXcel Clean'!A776:A1775,'Subbu- Mini Project EXcel Clean'!Q776:Q1775," ",0)</f>
        <v>Low</v>
      </c>
      <c r="H776">
        <f>VLOOKUP(A776,'Subbu- Mini Project EXcel Clean'!A775:R1775,15,FALSE)</f>
        <v>3.7</v>
      </c>
    </row>
    <row r="777" spans="1:8" x14ac:dyDescent="0.25">
      <c r="A777" t="s">
        <v>805</v>
      </c>
      <c r="B777">
        <f>_xlfn.XLOOKUP(A777,'Subbu- Mini Project EXcel Clean'!A777:A1776,'Subbu- Mini Project EXcel Clean'!I777:I1776,"Entry Level",0)</f>
        <v>1</v>
      </c>
      <c r="C777" t="str">
        <f>_xlfn.XLOOKUP(A777,'Subbu- Mini Project EXcel Clean'!A777:A1776,'Subbu- Mini Project EXcel Clean'!J777:J1776," ",0)</f>
        <v>Consistent</v>
      </c>
      <c r="D777">
        <f>_xlfn.XLOOKUP(A777,'Subbu- Mini Project EXcel Clean'!A777:A1776,'Subbu- Mini Project EXcel Clean'!N777:N1776,"entry Level",0)</f>
        <v>7.8</v>
      </c>
      <c r="E777">
        <f>_xlfn.XLOOKUP(A777,'Subbu- Mini Project EXcel Clean'!A777:A1776,'Subbu- Mini Project EXcel Clean'!M777:M1776," ",0)</f>
        <v>63.1</v>
      </c>
      <c r="F777">
        <f>_xlfn.XLOOKUP(A777,'Subbu- Mini Project EXcel Clean'!A777:A1776,'Subbu- Mini Project EXcel Clean'!P777:P1776," ",0)</f>
        <v>3</v>
      </c>
      <c r="G777" t="str">
        <f>_xlfn.XLOOKUP(A777,'Subbu- Mini Project EXcel Clean'!A777:A1776,'Subbu- Mini Project EXcel Clean'!Q777:Q1776," ",0)</f>
        <v>Moderate</v>
      </c>
      <c r="H777">
        <f>VLOOKUP(A777,'Subbu- Mini Project EXcel Clean'!A776:R1776,15,FALSE)</f>
        <v>3.3</v>
      </c>
    </row>
    <row r="778" spans="1:8" x14ac:dyDescent="0.25">
      <c r="A778" t="s">
        <v>806</v>
      </c>
      <c r="B778">
        <f>_xlfn.XLOOKUP(A778,'Subbu- Mini Project EXcel Clean'!A778:A1777,'Subbu- Mini Project EXcel Clean'!I778:I1777,"Entry Level",0)</f>
        <v>4</v>
      </c>
      <c r="C778" t="str">
        <f>_xlfn.XLOOKUP(A778,'Subbu- Mini Project EXcel Clean'!A778:A1777,'Subbu- Mini Project EXcel Clean'!J778:J1777," ",0)</f>
        <v>Excellent</v>
      </c>
      <c r="D778">
        <f>_xlfn.XLOOKUP(A778,'Subbu- Mini Project EXcel Clean'!A778:A1777,'Subbu- Mini Project EXcel Clean'!N778:N1777,"entry Level",0)</f>
        <v>7.3</v>
      </c>
      <c r="E778">
        <f>_xlfn.XLOOKUP(A778,'Subbu- Mini Project EXcel Clean'!A778:A1777,'Subbu- Mini Project EXcel Clean'!M778:M1777," ",0)</f>
        <v>79.400000000000006</v>
      </c>
      <c r="F778">
        <f>_xlfn.XLOOKUP(A778,'Subbu- Mini Project EXcel Clean'!A778:A1777,'Subbu- Mini Project EXcel Clean'!P778:P1777," ",0)</f>
        <v>1</v>
      </c>
      <c r="G778" t="str">
        <f>_xlfn.XLOOKUP(A778,'Subbu- Mini Project EXcel Clean'!A778:A1777,'Subbu- Mini Project EXcel Clean'!Q778:Q1777," ",0)</f>
        <v>Low</v>
      </c>
      <c r="H778">
        <f>VLOOKUP(A778,'Subbu- Mini Project EXcel Clean'!A777:R1777,15,FALSE)</f>
        <v>2.6</v>
      </c>
    </row>
    <row r="779" spans="1:8" x14ac:dyDescent="0.25">
      <c r="A779" t="s">
        <v>807</v>
      </c>
      <c r="B779">
        <f>_xlfn.XLOOKUP(A779,'Subbu- Mini Project EXcel Clean'!A779:A1778,'Subbu- Mini Project EXcel Clean'!I779:I1778,"Entry Level",0)</f>
        <v>4</v>
      </c>
      <c r="C779" t="str">
        <f>_xlfn.XLOOKUP(A779,'Subbu- Mini Project EXcel Clean'!A779:A1778,'Subbu- Mini Project EXcel Clean'!J779:J1778," ",0)</f>
        <v>Excellent</v>
      </c>
      <c r="D779">
        <f>_xlfn.XLOOKUP(A779,'Subbu- Mini Project EXcel Clean'!A779:A1778,'Subbu- Mini Project EXcel Clean'!N779:N1778,"entry Level",0)</f>
        <v>6.7</v>
      </c>
      <c r="E779">
        <f>_xlfn.XLOOKUP(A779,'Subbu- Mini Project EXcel Clean'!A779:A1778,'Subbu- Mini Project EXcel Clean'!M779:M1778," ",0)</f>
        <v>86.2</v>
      </c>
      <c r="F779">
        <f>_xlfn.XLOOKUP(A779,'Subbu- Mini Project EXcel Clean'!A779:A1778,'Subbu- Mini Project EXcel Clean'!P779:P1778," ",0)</f>
        <v>1</v>
      </c>
      <c r="G779" t="str">
        <f>_xlfn.XLOOKUP(A779,'Subbu- Mini Project EXcel Clean'!A779:A1778,'Subbu- Mini Project EXcel Clean'!Q779:Q1778," ",0)</f>
        <v>Low</v>
      </c>
      <c r="H779">
        <f>VLOOKUP(A779,'Subbu- Mini Project EXcel Clean'!A778:R1778,15,FALSE)</f>
        <v>3.4</v>
      </c>
    </row>
    <row r="780" spans="1:8" x14ac:dyDescent="0.25">
      <c r="A780" t="s">
        <v>808</v>
      </c>
      <c r="B780">
        <f>_xlfn.XLOOKUP(A780,'Subbu- Mini Project EXcel Clean'!A780:A1779,'Subbu- Mini Project EXcel Clean'!I780:I1779,"Entry Level",0)</f>
        <v>4</v>
      </c>
      <c r="C780" t="str">
        <f>_xlfn.XLOOKUP(A780,'Subbu- Mini Project EXcel Clean'!A780:A1779,'Subbu- Mini Project EXcel Clean'!J780:J1779," ",0)</f>
        <v>Good</v>
      </c>
      <c r="D780">
        <f>_xlfn.XLOOKUP(A780,'Subbu- Mini Project EXcel Clean'!A780:A1779,'Subbu- Mini Project EXcel Clean'!N780:N1779,"entry Level",0)</f>
        <v>7</v>
      </c>
      <c r="E780">
        <f>_xlfn.XLOOKUP(A780,'Subbu- Mini Project EXcel Clean'!A780:A1779,'Subbu- Mini Project EXcel Clean'!M780:M1779," ",0)</f>
        <v>91.8</v>
      </c>
      <c r="F780">
        <f>_xlfn.XLOOKUP(A780,'Subbu- Mini Project EXcel Clean'!A780:A1779,'Subbu- Mini Project EXcel Clean'!P780:P1779," ",0)</f>
        <v>2</v>
      </c>
      <c r="G780" t="str">
        <f>_xlfn.XLOOKUP(A780,'Subbu- Mini Project EXcel Clean'!A780:A1779,'Subbu- Mini Project EXcel Clean'!Q780:Q1779," ",0)</f>
        <v>Low</v>
      </c>
      <c r="H780">
        <f>VLOOKUP(A780,'Subbu- Mini Project EXcel Clean'!A779:R1779,15,FALSE)</f>
        <v>4</v>
      </c>
    </row>
    <row r="781" spans="1:8" x14ac:dyDescent="0.25">
      <c r="A781" t="s">
        <v>809</v>
      </c>
      <c r="B781">
        <f>_xlfn.XLOOKUP(A781,'Subbu- Mini Project EXcel Clean'!A781:A1780,'Subbu- Mini Project EXcel Clean'!I781:I1780,"Entry Level",0)</f>
        <v>5</v>
      </c>
      <c r="C781" t="str">
        <f>_xlfn.XLOOKUP(A781,'Subbu- Mini Project EXcel Clean'!A781:A1780,'Subbu- Mini Project EXcel Clean'!J781:J1780," ",0)</f>
        <v>Good</v>
      </c>
      <c r="D781">
        <f>_xlfn.XLOOKUP(A781,'Subbu- Mini Project EXcel Clean'!A781:A1780,'Subbu- Mini Project EXcel Clean'!N781:N1780,"entry Level",0)</f>
        <v>5.9</v>
      </c>
      <c r="E781">
        <f>_xlfn.XLOOKUP(A781,'Subbu- Mini Project EXcel Clean'!A781:A1780,'Subbu- Mini Project EXcel Clean'!M781:M1780," ",0)</f>
        <v>107.4</v>
      </c>
      <c r="F781">
        <f>_xlfn.XLOOKUP(A781,'Subbu- Mini Project EXcel Clean'!A781:A1780,'Subbu- Mini Project EXcel Clean'!P781:P1780," ",0)</f>
        <v>1</v>
      </c>
      <c r="G781" t="str">
        <f>_xlfn.XLOOKUP(A781,'Subbu- Mini Project EXcel Clean'!A781:A1780,'Subbu- Mini Project EXcel Clean'!Q781:Q1780," ",0)</f>
        <v>Low</v>
      </c>
      <c r="H781">
        <f>VLOOKUP(A781,'Subbu- Mini Project EXcel Clean'!A780:R1780,15,FALSE)</f>
        <v>5.9</v>
      </c>
    </row>
    <row r="782" spans="1:8" x14ac:dyDescent="0.25">
      <c r="A782" t="s">
        <v>810</v>
      </c>
      <c r="B782">
        <f>_xlfn.XLOOKUP(A782,'Subbu- Mini Project EXcel Clean'!A782:A1781,'Subbu- Mini Project EXcel Clean'!I782:I1781,"Entry Level",0)</f>
        <v>5</v>
      </c>
      <c r="C782" t="str">
        <f>_xlfn.XLOOKUP(A782,'Subbu- Mini Project EXcel Clean'!A782:A1781,'Subbu- Mini Project EXcel Clean'!J782:J1781," ",0)</f>
        <v>Good</v>
      </c>
      <c r="D782">
        <f>_xlfn.XLOOKUP(A782,'Subbu- Mini Project EXcel Clean'!A782:A1781,'Subbu- Mini Project EXcel Clean'!N782:N1781,"entry Level",0)</f>
        <v>6</v>
      </c>
      <c r="E782">
        <f>_xlfn.XLOOKUP(A782,'Subbu- Mini Project EXcel Clean'!A782:A1781,'Subbu- Mini Project EXcel Clean'!M782:M1781," ",0)</f>
        <v>97.7</v>
      </c>
      <c r="F782">
        <f>_xlfn.XLOOKUP(A782,'Subbu- Mini Project EXcel Clean'!A782:A1781,'Subbu- Mini Project EXcel Clean'!P782:P1781," ",0)</f>
        <v>1</v>
      </c>
      <c r="G782" t="str">
        <f>_xlfn.XLOOKUP(A782,'Subbu- Mini Project EXcel Clean'!A782:A1781,'Subbu- Mini Project EXcel Clean'!Q782:Q1781," ",0)</f>
        <v>Low</v>
      </c>
      <c r="H782">
        <f>VLOOKUP(A782,'Subbu- Mini Project EXcel Clean'!A781:R1781,15,FALSE)</f>
        <v>5.7</v>
      </c>
    </row>
    <row r="783" spans="1:8" x14ac:dyDescent="0.25">
      <c r="A783" t="s">
        <v>811</v>
      </c>
      <c r="B783">
        <f>_xlfn.XLOOKUP(A783,'Subbu- Mini Project EXcel Clean'!A783:A1782,'Subbu- Mini Project EXcel Clean'!I783:I1782,"Entry Level",0)</f>
        <v>1</v>
      </c>
      <c r="C783" t="str">
        <f>_xlfn.XLOOKUP(A783,'Subbu- Mini Project EXcel Clean'!A783:A1782,'Subbu- Mini Project EXcel Clean'!J783:J1782," ",0)</f>
        <v>Consistent</v>
      </c>
      <c r="D783">
        <f>_xlfn.XLOOKUP(A783,'Subbu- Mini Project EXcel Clean'!A783:A1782,'Subbu- Mini Project EXcel Clean'!N783:N1782,"entry Level",0)</f>
        <v>5.6</v>
      </c>
      <c r="E783">
        <f>_xlfn.XLOOKUP(A783,'Subbu- Mini Project EXcel Clean'!A783:A1782,'Subbu- Mini Project EXcel Clean'!M783:M1782," ",0)</f>
        <v>51.6</v>
      </c>
      <c r="F783">
        <f>_xlfn.XLOOKUP(A783,'Subbu- Mini Project EXcel Clean'!A783:A1782,'Subbu- Mini Project EXcel Clean'!P783:P1782," ",0)</f>
        <v>1</v>
      </c>
      <c r="G783" t="str">
        <f>_xlfn.XLOOKUP(A783,'Subbu- Mini Project EXcel Clean'!A783:A1782,'Subbu- Mini Project EXcel Clean'!Q783:Q1782," ",0)</f>
        <v>Low</v>
      </c>
      <c r="H783">
        <f>VLOOKUP(A783,'Subbu- Mini Project EXcel Clean'!A782:R1782,15,FALSE)</f>
        <v>5.3</v>
      </c>
    </row>
    <row r="784" spans="1:8" x14ac:dyDescent="0.25">
      <c r="A784" t="s">
        <v>812</v>
      </c>
      <c r="B784">
        <f>_xlfn.XLOOKUP(A784,'Subbu- Mini Project EXcel Clean'!A784:A1783,'Subbu- Mini Project EXcel Clean'!I784:I1783,"Entry Level",0)</f>
        <v>4</v>
      </c>
      <c r="C784" t="str">
        <f>_xlfn.XLOOKUP(A784,'Subbu- Mini Project EXcel Clean'!A784:A1783,'Subbu- Mini Project EXcel Clean'!J784:J1783," ",0)</f>
        <v>Good</v>
      </c>
      <c r="D784">
        <f>_xlfn.XLOOKUP(A784,'Subbu- Mini Project EXcel Clean'!A784:A1783,'Subbu- Mini Project EXcel Clean'!N784:N1783,"entry Level",0)</f>
        <v>6.8</v>
      </c>
      <c r="E784">
        <f>_xlfn.XLOOKUP(A784,'Subbu- Mini Project EXcel Clean'!A784:A1783,'Subbu- Mini Project EXcel Clean'!M784:M1783," ",0)</f>
        <v>82.9</v>
      </c>
      <c r="F784">
        <f>_xlfn.XLOOKUP(A784,'Subbu- Mini Project EXcel Clean'!A784:A1783,'Subbu- Mini Project EXcel Clean'!P784:P1783," ",0)</f>
        <v>4</v>
      </c>
      <c r="G784" t="str">
        <f>_xlfn.XLOOKUP(A784,'Subbu- Mini Project EXcel Clean'!A784:A1783,'Subbu- Mini Project EXcel Clean'!Q784:Q1783," ",0)</f>
        <v>Moderate</v>
      </c>
      <c r="H784">
        <f>VLOOKUP(A784,'Subbu- Mini Project EXcel Clean'!A783:R1783,15,FALSE)</f>
        <v>5.4</v>
      </c>
    </row>
    <row r="785" spans="1:8" x14ac:dyDescent="0.25">
      <c r="A785" t="s">
        <v>813</v>
      </c>
      <c r="B785">
        <f>_xlfn.XLOOKUP(A785,'Subbu- Mini Project EXcel Clean'!A785:A1784,'Subbu- Mini Project EXcel Clean'!I785:I1784,"Entry Level",0)</f>
        <v>4</v>
      </c>
      <c r="C785" t="str">
        <f>_xlfn.XLOOKUP(A785,'Subbu- Mini Project EXcel Clean'!A785:A1784,'Subbu- Mini Project EXcel Clean'!J785:J1784," ",0)</f>
        <v>Excellent</v>
      </c>
      <c r="D785">
        <f>_xlfn.XLOOKUP(A785,'Subbu- Mini Project EXcel Clean'!A785:A1784,'Subbu- Mini Project EXcel Clean'!N785:N1784,"entry Level",0)</f>
        <v>6.8</v>
      </c>
      <c r="E785">
        <f>_xlfn.XLOOKUP(A785,'Subbu- Mini Project EXcel Clean'!A785:A1784,'Subbu- Mini Project EXcel Clean'!M785:M1784," ",0)</f>
        <v>86</v>
      </c>
      <c r="F785">
        <f>_xlfn.XLOOKUP(A785,'Subbu- Mini Project EXcel Clean'!A785:A1784,'Subbu- Mini Project EXcel Clean'!P785:P1784," ",0)</f>
        <v>4</v>
      </c>
      <c r="G785" t="str">
        <f>_xlfn.XLOOKUP(A785,'Subbu- Mini Project EXcel Clean'!A785:A1784,'Subbu- Mini Project EXcel Clean'!Q785:Q1784," ",0)</f>
        <v>Moderate</v>
      </c>
      <c r="H785">
        <f>VLOOKUP(A785,'Subbu- Mini Project EXcel Clean'!A784:R1784,15,FALSE)</f>
        <v>3.3</v>
      </c>
    </row>
    <row r="786" spans="1:8" x14ac:dyDescent="0.25">
      <c r="A786" t="s">
        <v>814</v>
      </c>
      <c r="B786">
        <f>_xlfn.XLOOKUP(A786,'Subbu- Mini Project EXcel Clean'!A786:A1785,'Subbu- Mini Project EXcel Clean'!I786:I1785,"Entry Level",0)</f>
        <v>4</v>
      </c>
      <c r="C786" t="str">
        <f>_xlfn.XLOOKUP(A786,'Subbu- Mini Project EXcel Clean'!A786:A1785,'Subbu- Mini Project EXcel Clean'!J786:J1785," ",0)</f>
        <v>Excellent</v>
      </c>
      <c r="D786">
        <f>_xlfn.XLOOKUP(A786,'Subbu- Mini Project EXcel Clean'!A786:A1785,'Subbu- Mini Project EXcel Clean'!N786:N1785,"entry Level",0)</f>
        <v>6.8</v>
      </c>
      <c r="E786">
        <f>_xlfn.XLOOKUP(A786,'Subbu- Mini Project EXcel Clean'!A786:A1785,'Subbu- Mini Project EXcel Clean'!M786:M1785," ",0)</f>
        <v>89</v>
      </c>
      <c r="F786">
        <f>_xlfn.XLOOKUP(A786,'Subbu- Mini Project EXcel Clean'!A786:A1785,'Subbu- Mini Project EXcel Clean'!P786:P1785," ",0)</f>
        <v>2</v>
      </c>
      <c r="G786" t="str">
        <f>_xlfn.XLOOKUP(A786,'Subbu- Mini Project EXcel Clean'!A786:A1785,'Subbu- Mini Project EXcel Clean'!Q786:Q1785," ",0)</f>
        <v>Low</v>
      </c>
      <c r="H786">
        <f>VLOOKUP(A786,'Subbu- Mini Project EXcel Clean'!A785:R1785,15,FALSE)</f>
        <v>4.3</v>
      </c>
    </row>
    <row r="787" spans="1:8" x14ac:dyDescent="0.25">
      <c r="A787" t="s">
        <v>815</v>
      </c>
      <c r="B787">
        <f>_xlfn.XLOOKUP(A787,'Subbu- Mini Project EXcel Clean'!A787:A1786,'Subbu- Mini Project EXcel Clean'!I787:I1786,"Entry Level",0)</f>
        <v>2</v>
      </c>
      <c r="C787" t="str">
        <f>_xlfn.XLOOKUP(A787,'Subbu- Mini Project EXcel Clean'!A787:A1786,'Subbu- Mini Project EXcel Clean'!J787:J1786," ",0)</f>
        <v>Consistent</v>
      </c>
      <c r="D787">
        <f>_xlfn.XLOOKUP(A787,'Subbu- Mini Project EXcel Clean'!A787:A1786,'Subbu- Mini Project EXcel Clean'!N787:N1786,"entry Level",0)</f>
        <v>5.8</v>
      </c>
      <c r="E787">
        <f>_xlfn.XLOOKUP(A787,'Subbu- Mini Project EXcel Clean'!A787:A1786,'Subbu- Mini Project EXcel Clean'!M787:M1786," ",0)</f>
        <v>67</v>
      </c>
      <c r="F787">
        <f>_xlfn.XLOOKUP(A787,'Subbu- Mini Project EXcel Clean'!A787:A1786,'Subbu- Mini Project EXcel Clean'!P787:P1786," ",0)</f>
        <v>3</v>
      </c>
      <c r="G787" t="str">
        <f>_xlfn.XLOOKUP(A787,'Subbu- Mini Project EXcel Clean'!A787:A1786,'Subbu- Mini Project EXcel Clean'!Q787:Q1786," ",0)</f>
        <v>Moderate</v>
      </c>
      <c r="H787">
        <f>VLOOKUP(A787,'Subbu- Mini Project EXcel Clean'!A786:R1786,15,FALSE)</f>
        <v>5.5</v>
      </c>
    </row>
    <row r="788" spans="1:8" x14ac:dyDescent="0.25">
      <c r="A788" t="s">
        <v>816</v>
      </c>
      <c r="B788">
        <f>_xlfn.XLOOKUP(A788,'Subbu- Mini Project EXcel Clean'!A788:A1787,'Subbu- Mini Project EXcel Clean'!I788:I1787,"Entry Level",0)</f>
        <v>4</v>
      </c>
      <c r="C788" t="str">
        <f>_xlfn.XLOOKUP(A788,'Subbu- Mini Project EXcel Clean'!A788:A1787,'Subbu- Mini Project EXcel Clean'!J788:J1787," ",0)</f>
        <v>Excellent</v>
      </c>
      <c r="D788">
        <f>_xlfn.XLOOKUP(A788,'Subbu- Mini Project EXcel Clean'!A788:A1787,'Subbu- Mini Project EXcel Clean'!N788:N1787,"entry Level",0)</f>
        <v>7.3</v>
      </c>
      <c r="E788">
        <f>_xlfn.XLOOKUP(A788,'Subbu- Mini Project EXcel Clean'!A788:A1787,'Subbu- Mini Project EXcel Clean'!M788:M1787," ",0)</f>
        <v>86.8</v>
      </c>
      <c r="F788">
        <f>_xlfn.XLOOKUP(A788,'Subbu- Mini Project EXcel Clean'!A788:A1787,'Subbu- Mini Project EXcel Clean'!P788:P1787," ",0)</f>
        <v>3</v>
      </c>
      <c r="G788" t="str">
        <f>_xlfn.XLOOKUP(A788,'Subbu- Mini Project EXcel Clean'!A788:A1787,'Subbu- Mini Project EXcel Clean'!Q788:Q1787," ",0)</f>
        <v>Low</v>
      </c>
      <c r="H788">
        <f>VLOOKUP(A788,'Subbu- Mini Project EXcel Clean'!A787:R1787,15,FALSE)</f>
        <v>3</v>
      </c>
    </row>
    <row r="789" spans="1:8" x14ac:dyDescent="0.25">
      <c r="A789" t="s">
        <v>817</v>
      </c>
      <c r="B789">
        <f>_xlfn.XLOOKUP(A789,'Subbu- Mini Project EXcel Clean'!A789:A1788,'Subbu- Mini Project EXcel Clean'!I789:I1788,"Entry Level",0)</f>
        <v>5</v>
      </c>
      <c r="C789" t="str">
        <f>_xlfn.XLOOKUP(A789,'Subbu- Mini Project EXcel Clean'!A789:A1788,'Subbu- Mini Project EXcel Clean'!J789:J1788," ",0)</f>
        <v>Good</v>
      </c>
      <c r="D789">
        <f>_xlfn.XLOOKUP(A789,'Subbu- Mini Project EXcel Clean'!A789:A1788,'Subbu- Mini Project EXcel Clean'!N789:N1788,"entry Level",0)</f>
        <v>5.9</v>
      </c>
      <c r="E789">
        <f>_xlfn.XLOOKUP(A789,'Subbu- Mini Project EXcel Clean'!A789:A1788,'Subbu- Mini Project EXcel Clean'!M789:M1788," ",0)</f>
        <v>105.1</v>
      </c>
      <c r="F789">
        <f>_xlfn.XLOOKUP(A789,'Subbu- Mini Project EXcel Clean'!A789:A1788,'Subbu- Mini Project EXcel Clean'!P789:P1788," ",0)</f>
        <v>3</v>
      </c>
      <c r="G789" t="str">
        <f>_xlfn.XLOOKUP(A789,'Subbu- Mini Project EXcel Clean'!A789:A1788,'Subbu- Mini Project EXcel Clean'!Q789:Q1788," ",0)</f>
        <v>Low</v>
      </c>
      <c r="H789">
        <f>VLOOKUP(A789,'Subbu- Mini Project EXcel Clean'!A788:R1788,15,FALSE)</f>
        <v>5.8</v>
      </c>
    </row>
    <row r="790" spans="1:8" x14ac:dyDescent="0.25">
      <c r="A790" t="s">
        <v>818</v>
      </c>
      <c r="B790">
        <f>_xlfn.XLOOKUP(A790,'Subbu- Mini Project EXcel Clean'!A790:A1789,'Subbu- Mini Project EXcel Clean'!I790:I1789,"Entry Level",0)</f>
        <v>5</v>
      </c>
      <c r="C790" t="str">
        <f>_xlfn.XLOOKUP(A790,'Subbu- Mini Project EXcel Clean'!A790:A1789,'Subbu- Mini Project EXcel Clean'!J790:J1789," ",0)</f>
        <v>Good</v>
      </c>
      <c r="D790">
        <f>_xlfn.XLOOKUP(A790,'Subbu- Mini Project EXcel Clean'!A790:A1789,'Subbu- Mini Project EXcel Clean'!N790:N1789,"entry Level",0)</f>
        <v>7</v>
      </c>
      <c r="E790">
        <f>_xlfn.XLOOKUP(A790,'Subbu- Mini Project EXcel Clean'!A790:A1789,'Subbu- Mini Project EXcel Clean'!M790:M1789," ",0)</f>
        <v>93.8</v>
      </c>
      <c r="F790">
        <f>_xlfn.XLOOKUP(A790,'Subbu- Mini Project EXcel Clean'!A790:A1789,'Subbu- Mini Project EXcel Clean'!P790:P1789," ",0)</f>
        <v>3</v>
      </c>
      <c r="G790" t="str">
        <f>_xlfn.XLOOKUP(A790,'Subbu- Mini Project EXcel Clean'!A790:A1789,'Subbu- Mini Project EXcel Clean'!Q790:Q1789," ",0)</f>
        <v>Low</v>
      </c>
      <c r="H790">
        <f>VLOOKUP(A790,'Subbu- Mini Project EXcel Clean'!A789:R1789,15,FALSE)</f>
        <v>3.1</v>
      </c>
    </row>
    <row r="791" spans="1:8" x14ac:dyDescent="0.25">
      <c r="A791" t="s">
        <v>819</v>
      </c>
      <c r="B791">
        <f>_xlfn.XLOOKUP(A791,'Subbu- Mini Project EXcel Clean'!A791:A1790,'Subbu- Mini Project EXcel Clean'!I791:I1790,"Entry Level",0)</f>
        <v>3</v>
      </c>
      <c r="C791" t="str">
        <f>_xlfn.XLOOKUP(A791,'Subbu- Mini Project EXcel Clean'!A791:A1790,'Subbu- Mini Project EXcel Clean'!J791:J1790," ",0)</f>
        <v>Consistent</v>
      </c>
      <c r="D791">
        <f>_xlfn.XLOOKUP(A791,'Subbu- Mini Project EXcel Clean'!A791:A1790,'Subbu- Mini Project EXcel Clean'!N791:N1790,"entry Level",0)</f>
        <v>7.2</v>
      </c>
      <c r="E791">
        <f>_xlfn.XLOOKUP(A791,'Subbu- Mini Project EXcel Clean'!A791:A1790,'Subbu- Mini Project EXcel Clean'!M791:M1790," ",0)</f>
        <v>82</v>
      </c>
      <c r="F791">
        <f>_xlfn.XLOOKUP(A791,'Subbu- Mini Project EXcel Clean'!A791:A1790,'Subbu- Mini Project EXcel Clean'!P791:P1790," ",0)</f>
        <v>4</v>
      </c>
      <c r="G791" t="str">
        <f>_xlfn.XLOOKUP(A791,'Subbu- Mini Project EXcel Clean'!A791:A1790,'Subbu- Mini Project EXcel Clean'!Q791:Q1790," ",0)</f>
        <v>Moderate</v>
      </c>
      <c r="H791">
        <f>VLOOKUP(A791,'Subbu- Mini Project EXcel Clean'!A790:R1790,15,FALSE)</f>
        <v>4</v>
      </c>
    </row>
    <row r="792" spans="1:8" x14ac:dyDescent="0.25">
      <c r="A792" t="s">
        <v>820</v>
      </c>
      <c r="B792">
        <f>_xlfn.XLOOKUP(A792,'Subbu- Mini Project EXcel Clean'!A792:A1791,'Subbu- Mini Project EXcel Clean'!I792:I1791,"Entry Level",0)</f>
        <v>1</v>
      </c>
      <c r="C792" t="str">
        <f>_xlfn.XLOOKUP(A792,'Subbu- Mini Project EXcel Clean'!A792:A1791,'Subbu- Mini Project EXcel Clean'!J792:J1791," ",0)</f>
        <v>Consistent</v>
      </c>
      <c r="D792">
        <f>_xlfn.XLOOKUP(A792,'Subbu- Mini Project EXcel Clean'!A792:A1791,'Subbu- Mini Project EXcel Clean'!N792:N1791,"entry Level",0)</f>
        <v>7</v>
      </c>
      <c r="E792">
        <f>_xlfn.XLOOKUP(A792,'Subbu- Mini Project EXcel Clean'!A792:A1791,'Subbu- Mini Project EXcel Clean'!M792:M1791," ",0)</f>
        <v>53.4</v>
      </c>
      <c r="F792">
        <f>_xlfn.XLOOKUP(A792,'Subbu- Mini Project EXcel Clean'!A792:A1791,'Subbu- Mini Project EXcel Clean'!P792:P1791," ",0)</f>
        <v>2</v>
      </c>
      <c r="G792" t="str">
        <f>_xlfn.XLOOKUP(A792,'Subbu- Mini Project EXcel Clean'!A792:A1791,'Subbu- Mini Project EXcel Clean'!Q792:Q1791," ",0)</f>
        <v>Low</v>
      </c>
      <c r="H792">
        <f>VLOOKUP(A792,'Subbu- Mini Project EXcel Clean'!A791:R1791,15,FALSE)</f>
        <v>4.5</v>
      </c>
    </row>
    <row r="793" spans="1:8" x14ac:dyDescent="0.25">
      <c r="A793" t="s">
        <v>821</v>
      </c>
      <c r="B793">
        <f>_xlfn.XLOOKUP(A793,'Subbu- Mini Project EXcel Clean'!A793:A1792,'Subbu- Mini Project EXcel Clean'!I793:I1792,"Entry Level",0)</f>
        <v>2</v>
      </c>
      <c r="C793" t="str">
        <f>_xlfn.XLOOKUP(A793,'Subbu- Mini Project EXcel Clean'!A793:A1792,'Subbu- Mini Project EXcel Clean'!J793:J1792," ",0)</f>
        <v>Consistent</v>
      </c>
      <c r="D793">
        <f>_xlfn.XLOOKUP(A793,'Subbu- Mini Project EXcel Clean'!A793:A1792,'Subbu- Mini Project EXcel Clean'!N793:N1792,"entry Level",0)</f>
        <v>6.3</v>
      </c>
      <c r="E793">
        <f>_xlfn.XLOOKUP(A793,'Subbu- Mini Project EXcel Clean'!A793:A1792,'Subbu- Mini Project EXcel Clean'!M793:M1792," ",0)</f>
        <v>70</v>
      </c>
      <c r="F793">
        <f>_xlfn.XLOOKUP(A793,'Subbu- Mini Project EXcel Clean'!A793:A1792,'Subbu- Mini Project EXcel Clean'!P793:P1792," ",0)</f>
        <v>6</v>
      </c>
      <c r="G793" t="str">
        <f>_xlfn.XLOOKUP(A793,'Subbu- Mini Project EXcel Clean'!A793:A1792,'Subbu- Mini Project EXcel Clean'!Q793:Q1792," ",0)</f>
        <v>Moderate</v>
      </c>
      <c r="H793">
        <f>VLOOKUP(A793,'Subbu- Mini Project EXcel Clean'!A792:R1792,15,FALSE)</f>
        <v>5.8</v>
      </c>
    </row>
    <row r="794" spans="1:8" x14ac:dyDescent="0.25">
      <c r="A794" t="s">
        <v>822</v>
      </c>
      <c r="B794">
        <f>_xlfn.XLOOKUP(A794,'Subbu- Mini Project EXcel Clean'!A794:A1793,'Subbu- Mini Project EXcel Clean'!I794:I1793,"Entry Level",0)</f>
        <v>4</v>
      </c>
      <c r="C794" t="str">
        <f>_xlfn.XLOOKUP(A794,'Subbu- Mini Project EXcel Clean'!A794:A1793,'Subbu- Mini Project EXcel Clean'!J794:J1793," ",0)</f>
        <v>Good</v>
      </c>
      <c r="D794">
        <f>_xlfn.XLOOKUP(A794,'Subbu- Mini Project EXcel Clean'!A794:A1793,'Subbu- Mini Project EXcel Clean'!N794:N1793,"entry Level",0)</f>
        <v>6.4</v>
      </c>
      <c r="E794">
        <f>_xlfn.XLOOKUP(A794,'Subbu- Mini Project EXcel Clean'!A794:A1793,'Subbu- Mini Project EXcel Clean'!M794:M1793," ",0)</f>
        <v>84</v>
      </c>
      <c r="F794">
        <f>_xlfn.XLOOKUP(A794,'Subbu- Mini Project EXcel Clean'!A794:A1793,'Subbu- Mini Project EXcel Clean'!P794:P1793," ",0)</f>
        <v>6</v>
      </c>
      <c r="G794" t="str">
        <f>_xlfn.XLOOKUP(A794,'Subbu- Mini Project EXcel Clean'!A794:A1793,'Subbu- Mini Project EXcel Clean'!Q794:Q1793," ",0)</f>
        <v>Moderate</v>
      </c>
      <c r="H794">
        <f>VLOOKUP(A794,'Subbu- Mini Project EXcel Clean'!A793:R1793,15,FALSE)</f>
        <v>2.2000000000000002</v>
      </c>
    </row>
    <row r="795" spans="1:8" x14ac:dyDescent="0.25">
      <c r="A795" t="s">
        <v>823</v>
      </c>
      <c r="B795">
        <f>_xlfn.XLOOKUP(A795,'Subbu- Mini Project EXcel Clean'!A795:A1794,'Subbu- Mini Project EXcel Clean'!I795:I1794,"Entry Level",0)</f>
        <v>4</v>
      </c>
      <c r="C795" t="str">
        <f>_xlfn.XLOOKUP(A795,'Subbu- Mini Project EXcel Clean'!A795:A1794,'Subbu- Mini Project EXcel Clean'!J795:J1794," ",0)</f>
        <v>Excellent</v>
      </c>
      <c r="D795">
        <f>_xlfn.XLOOKUP(A795,'Subbu- Mini Project EXcel Clean'!A795:A1794,'Subbu- Mini Project EXcel Clean'!N795:N1794,"entry Level",0)</f>
        <v>8.1</v>
      </c>
      <c r="E795">
        <f>_xlfn.XLOOKUP(A795,'Subbu- Mini Project EXcel Clean'!A795:A1794,'Subbu- Mini Project EXcel Clean'!M795:M1794," ",0)</f>
        <v>86.7</v>
      </c>
      <c r="F795">
        <f>_xlfn.XLOOKUP(A795,'Subbu- Mini Project EXcel Clean'!A795:A1794,'Subbu- Mini Project EXcel Clean'!P795:P1794," ",0)</f>
        <v>4</v>
      </c>
      <c r="G795" t="str">
        <f>_xlfn.XLOOKUP(A795,'Subbu- Mini Project EXcel Clean'!A795:A1794,'Subbu- Mini Project EXcel Clean'!Q795:Q1794," ",0)</f>
        <v>Moderate</v>
      </c>
      <c r="H795">
        <f>VLOOKUP(A795,'Subbu- Mini Project EXcel Clean'!A794:R1794,15,FALSE)</f>
        <v>4.7</v>
      </c>
    </row>
    <row r="796" spans="1:8" x14ac:dyDescent="0.25">
      <c r="A796" t="s">
        <v>824</v>
      </c>
      <c r="B796">
        <f>_xlfn.XLOOKUP(A796,'Subbu- Mini Project EXcel Clean'!A796:A1795,'Subbu- Mini Project EXcel Clean'!I796:I1795,"Entry Level",0)</f>
        <v>3</v>
      </c>
      <c r="C796" t="str">
        <f>_xlfn.XLOOKUP(A796,'Subbu- Mini Project EXcel Clean'!A796:A1795,'Subbu- Mini Project EXcel Clean'!J796:J1795," ",0)</f>
        <v>Consistent</v>
      </c>
      <c r="D796">
        <f>_xlfn.XLOOKUP(A796,'Subbu- Mini Project EXcel Clean'!A796:A1795,'Subbu- Mini Project EXcel Clean'!N796:N1795,"entry Level",0)</f>
        <v>7.8</v>
      </c>
      <c r="E796">
        <f>_xlfn.XLOOKUP(A796,'Subbu- Mini Project EXcel Clean'!A796:A1795,'Subbu- Mini Project EXcel Clean'!M796:M1795," ",0)</f>
        <v>78.099999999999994</v>
      </c>
      <c r="F796">
        <f>_xlfn.XLOOKUP(A796,'Subbu- Mini Project EXcel Clean'!A796:A1795,'Subbu- Mini Project EXcel Clean'!P796:P1795," ",0)</f>
        <v>1</v>
      </c>
      <c r="G796" t="str">
        <f>_xlfn.XLOOKUP(A796,'Subbu- Mini Project EXcel Clean'!A796:A1795,'Subbu- Mini Project EXcel Clean'!Q796:Q1795," ",0)</f>
        <v>Low</v>
      </c>
      <c r="H796">
        <f>VLOOKUP(A796,'Subbu- Mini Project EXcel Clean'!A795:R1795,15,FALSE)</f>
        <v>3.6</v>
      </c>
    </row>
    <row r="797" spans="1:8" x14ac:dyDescent="0.25">
      <c r="A797" t="s">
        <v>825</v>
      </c>
      <c r="B797">
        <f>_xlfn.XLOOKUP(A797,'Subbu- Mini Project EXcel Clean'!A797:A1796,'Subbu- Mini Project EXcel Clean'!I797:I1796,"Entry Level",0)</f>
        <v>1</v>
      </c>
      <c r="C797" t="str">
        <f>_xlfn.XLOOKUP(A797,'Subbu- Mini Project EXcel Clean'!A797:A1796,'Subbu- Mini Project EXcel Clean'!J797:J1796," ",0)</f>
        <v>Consistent</v>
      </c>
      <c r="D797">
        <f>_xlfn.XLOOKUP(A797,'Subbu- Mini Project EXcel Clean'!A797:A1796,'Subbu- Mini Project EXcel Clean'!N797:N1796,"entry Level",0)</f>
        <v>7.7</v>
      </c>
      <c r="E797">
        <f>_xlfn.XLOOKUP(A797,'Subbu- Mini Project EXcel Clean'!A797:A1796,'Subbu- Mini Project EXcel Clean'!M797:M1796," ",0)</f>
        <v>62.8</v>
      </c>
      <c r="F797">
        <f>_xlfn.XLOOKUP(A797,'Subbu- Mini Project EXcel Clean'!A797:A1796,'Subbu- Mini Project EXcel Clean'!P797:P1796," ",0)</f>
        <v>1</v>
      </c>
      <c r="G797" t="str">
        <f>_xlfn.XLOOKUP(A797,'Subbu- Mini Project EXcel Clean'!A797:A1796,'Subbu- Mini Project EXcel Clean'!Q797:Q1796," ",0)</f>
        <v>Low</v>
      </c>
      <c r="H797">
        <f>VLOOKUP(A797,'Subbu- Mini Project EXcel Clean'!A796:R1796,15,FALSE)</f>
        <v>2.2999999999999998</v>
      </c>
    </row>
    <row r="798" spans="1:8" x14ac:dyDescent="0.25">
      <c r="A798" t="s">
        <v>826</v>
      </c>
      <c r="B798">
        <f>_xlfn.XLOOKUP(A798,'Subbu- Mini Project EXcel Clean'!A798:A1797,'Subbu- Mini Project EXcel Clean'!I798:I1797,"Entry Level",0)</f>
        <v>3</v>
      </c>
      <c r="C798" t="str">
        <f>_xlfn.XLOOKUP(A798,'Subbu- Mini Project EXcel Clean'!A798:A1797,'Subbu- Mini Project EXcel Clean'!J798:J1797," ",0)</f>
        <v>Consistent</v>
      </c>
      <c r="D798">
        <f>_xlfn.XLOOKUP(A798,'Subbu- Mini Project EXcel Clean'!A798:A1797,'Subbu- Mini Project EXcel Clean'!N798:N1797,"entry Level",0)</f>
        <v>6.2</v>
      </c>
      <c r="E798">
        <f>_xlfn.XLOOKUP(A798,'Subbu- Mini Project EXcel Clean'!A798:A1797,'Subbu- Mini Project EXcel Clean'!M798:M1797," ",0)</f>
        <v>77.400000000000006</v>
      </c>
      <c r="F798">
        <f>_xlfn.XLOOKUP(A798,'Subbu- Mini Project EXcel Clean'!A798:A1797,'Subbu- Mini Project EXcel Clean'!P798:P1797," ",0)</f>
        <v>2</v>
      </c>
      <c r="G798" t="str">
        <f>_xlfn.XLOOKUP(A798,'Subbu- Mini Project EXcel Clean'!A798:A1797,'Subbu- Mini Project EXcel Clean'!Q798:Q1797," ",0)</f>
        <v>Low</v>
      </c>
      <c r="H798">
        <f>VLOOKUP(A798,'Subbu- Mini Project EXcel Clean'!A797:R1797,15,FALSE)</f>
        <v>4.9000000000000004</v>
      </c>
    </row>
    <row r="799" spans="1:8" x14ac:dyDescent="0.25">
      <c r="A799" t="s">
        <v>827</v>
      </c>
      <c r="B799">
        <f>_xlfn.XLOOKUP(A799,'Subbu- Mini Project EXcel Clean'!A799:A1798,'Subbu- Mini Project EXcel Clean'!I799:I1798,"Entry Level",0)</f>
        <v>3</v>
      </c>
      <c r="C799" t="str">
        <f>_xlfn.XLOOKUP(A799,'Subbu- Mini Project EXcel Clean'!A799:A1798,'Subbu- Mini Project EXcel Clean'!J799:J1798," ",0)</f>
        <v>Consistent</v>
      </c>
      <c r="D799">
        <f>_xlfn.XLOOKUP(A799,'Subbu- Mini Project EXcel Clean'!A799:A1798,'Subbu- Mini Project EXcel Clean'!N799:N1798,"entry Level",0)</f>
        <v>6.8</v>
      </c>
      <c r="E799">
        <f>_xlfn.XLOOKUP(A799,'Subbu- Mini Project EXcel Clean'!A799:A1798,'Subbu- Mini Project EXcel Clean'!M799:M1798," ",0)</f>
        <v>74.099999999999994</v>
      </c>
      <c r="F799">
        <f>_xlfn.XLOOKUP(A799,'Subbu- Mini Project EXcel Clean'!A799:A1798,'Subbu- Mini Project EXcel Clean'!P799:P1798," ",0)</f>
        <v>2</v>
      </c>
      <c r="G799" t="str">
        <f>_xlfn.XLOOKUP(A799,'Subbu- Mini Project EXcel Clean'!A799:A1798,'Subbu- Mini Project EXcel Clean'!Q799:Q1798," ",0)</f>
        <v>Low</v>
      </c>
      <c r="H799">
        <f>VLOOKUP(A799,'Subbu- Mini Project EXcel Clean'!A798:R1798,15,FALSE)</f>
        <v>3.8</v>
      </c>
    </row>
    <row r="800" spans="1:8" x14ac:dyDescent="0.25">
      <c r="A800" t="s">
        <v>828</v>
      </c>
      <c r="B800">
        <f>_xlfn.XLOOKUP(A800,'Subbu- Mini Project EXcel Clean'!A800:A1799,'Subbu- Mini Project EXcel Clean'!I800:I1799,"Entry Level",0)</f>
        <v>5</v>
      </c>
      <c r="C800" t="str">
        <f>_xlfn.XLOOKUP(A800,'Subbu- Mini Project EXcel Clean'!A800:A1799,'Subbu- Mini Project EXcel Clean'!J800:J1799," ",0)</f>
        <v>Good</v>
      </c>
      <c r="D800">
        <f>_xlfn.XLOOKUP(A800,'Subbu- Mini Project EXcel Clean'!A800:A1799,'Subbu- Mini Project EXcel Clean'!N800:N1799,"entry Level",0)</f>
        <v>6.4</v>
      </c>
      <c r="E800">
        <f>_xlfn.XLOOKUP(A800,'Subbu- Mini Project EXcel Clean'!A800:A1799,'Subbu- Mini Project EXcel Clean'!M800:M1799," ",0)</f>
        <v>96.2</v>
      </c>
      <c r="F800">
        <f>_xlfn.XLOOKUP(A800,'Subbu- Mini Project EXcel Clean'!A800:A1799,'Subbu- Mini Project EXcel Clean'!P800:P1799," ",0)</f>
        <v>3</v>
      </c>
      <c r="G800" t="str">
        <f>_xlfn.XLOOKUP(A800,'Subbu- Mini Project EXcel Clean'!A800:A1799,'Subbu- Mini Project EXcel Clean'!Q800:Q1799," ",0)</f>
        <v>Low</v>
      </c>
      <c r="H800">
        <f>VLOOKUP(A800,'Subbu- Mini Project EXcel Clean'!A799:R1799,15,FALSE)</f>
        <v>4.3</v>
      </c>
    </row>
    <row r="801" spans="1:8" x14ac:dyDescent="0.25">
      <c r="A801" t="s">
        <v>829</v>
      </c>
      <c r="B801">
        <f>_xlfn.XLOOKUP(A801,'Subbu- Mini Project EXcel Clean'!A801:A1800,'Subbu- Mini Project EXcel Clean'!I801:I1800,"Entry Level",0)</f>
        <v>4</v>
      </c>
      <c r="C801" t="str">
        <f>_xlfn.XLOOKUP(A801,'Subbu- Mini Project EXcel Clean'!A801:A1800,'Subbu- Mini Project EXcel Clean'!J801:J1800," ",0)</f>
        <v>Excellent</v>
      </c>
      <c r="D801">
        <f>_xlfn.XLOOKUP(A801,'Subbu- Mini Project EXcel Clean'!A801:A1800,'Subbu- Mini Project EXcel Clean'!N801:N1800,"entry Level",0)</f>
        <v>7.8</v>
      </c>
      <c r="E801">
        <f>_xlfn.XLOOKUP(A801,'Subbu- Mini Project EXcel Clean'!A801:A1800,'Subbu- Mini Project EXcel Clean'!M801:M1800," ",0)</f>
        <v>78.2</v>
      </c>
      <c r="F801">
        <f>_xlfn.XLOOKUP(A801,'Subbu- Mini Project EXcel Clean'!A801:A1800,'Subbu- Mini Project EXcel Clean'!P801:P1800," ",0)</f>
        <v>1</v>
      </c>
      <c r="G801" t="str">
        <f>_xlfn.XLOOKUP(A801,'Subbu- Mini Project EXcel Clean'!A801:A1800,'Subbu- Mini Project EXcel Clean'!Q801:Q1800," ",0)</f>
        <v>Low</v>
      </c>
      <c r="H801">
        <f>VLOOKUP(A801,'Subbu- Mini Project EXcel Clean'!A800:R1800,15,FALSE)</f>
        <v>2.6</v>
      </c>
    </row>
    <row r="802" spans="1:8" x14ac:dyDescent="0.25">
      <c r="A802" t="s">
        <v>830</v>
      </c>
      <c r="B802">
        <f>_xlfn.XLOOKUP(A802,'Subbu- Mini Project EXcel Clean'!A802:A1801,'Subbu- Mini Project EXcel Clean'!I802:I1801,"Entry Level",0)</f>
        <v>2</v>
      </c>
      <c r="C802" t="str">
        <f>_xlfn.XLOOKUP(A802,'Subbu- Mini Project EXcel Clean'!A802:A1801,'Subbu- Mini Project EXcel Clean'!J802:J1801," ",0)</f>
        <v>Consistent</v>
      </c>
      <c r="D802">
        <f>_xlfn.XLOOKUP(A802,'Subbu- Mini Project EXcel Clean'!A802:A1801,'Subbu- Mini Project EXcel Clean'!N802:N1801,"entry Level",0)</f>
        <v>7.1</v>
      </c>
      <c r="E802">
        <f>_xlfn.XLOOKUP(A802,'Subbu- Mini Project EXcel Clean'!A802:A1801,'Subbu- Mini Project EXcel Clean'!M802:M1801," ",0)</f>
        <v>79.3</v>
      </c>
      <c r="F802">
        <f>_xlfn.XLOOKUP(A802,'Subbu- Mini Project EXcel Clean'!A802:A1801,'Subbu- Mini Project EXcel Clean'!P802:P1801," ",0)</f>
        <v>5</v>
      </c>
      <c r="G802" t="str">
        <f>_xlfn.XLOOKUP(A802,'Subbu- Mini Project EXcel Clean'!A802:A1801,'Subbu- Mini Project EXcel Clean'!Q802:Q1801," ",0)</f>
        <v>Moderate</v>
      </c>
      <c r="H802">
        <f>VLOOKUP(A802,'Subbu- Mini Project EXcel Clean'!A801:R1801,15,FALSE)</f>
        <v>3.4</v>
      </c>
    </row>
    <row r="803" spans="1:8" x14ac:dyDescent="0.25">
      <c r="A803" t="s">
        <v>831</v>
      </c>
      <c r="B803">
        <f>_xlfn.XLOOKUP(A803,'Subbu- Mini Project EXcel Clean'!A803:A1802,'Subbu- Mini Project EXcel Clean'!I803:I1802,"Entry Level",0)</f>
        <v>3</v>
      </c>
      <c r="C803" t="str">
        <f>_xlfn.XLOOKUP(A803,'Subbu- Mini Project EXcel Clean'!A803:A1802,'Subbu- Mini Project EXcel Clean'!J803:J1802," ",0)</f>
        <v>Excellent</v>
      </c>
      <c r="D803">
        <f>_xlfn.XLOOKUP(A803,'Subbu- Mini Project EXcel Clean'!A803:A1802,'Subbu- Mini Project EXcel Clean'!N803:N1802,"entry Level",0)</f>
        <v>6.4</v>
      </c>
      <c r="E803">
        <f>_xlfn.XLOOKUP(A803,'Subbu- Mini Project EXcel Clean'!A803:A1802,'Subbu- Mini Project EXcel Clean'!M803:M1802," ",0)</f>
        <v>79.5</v>
      </c>
      <c r="F803">
        <f>_xlfn.XLOOKUP(A803,'Subbu- Mini Project EXcel Clean'!A803:A1802,'Subbu- Mini Project EXcel Clean'!P803:P1802," ",0)</f>
        <v>5</v>
      </c>
      <c r="G803" t="str">
        <f>_xlfn.XLOOKUP(A803,'Subbu- Mini Project EXcel Clean'!A803:A1802,'Subbu- Mini Project EXcel Clean'!Q803:Q1802," ",0)</f>
        <v>Moderate</v>
      </c>
      <c r="H803">
        <f>VLOOKUP(A803,'Subbu- Mini Project EXcel Clean'!A802:R1802,15,FALSE)</f>
        <v>4.0999999999999996</v>
      </c>
    </row>
    <row r="804" spans="1:8" x14ac:dyDescent="0.25">
      <c r="A804" t="s">
        <v>832</v>
      </c>
      <c r="B804">
        <f>_xlfn.XLOOKUP(A804,'Subbu- Mini Project EXcel Clean'!A804:A1803,'Subbu- Mini Project EXcel Clean'!I804:I1803,"Entry Level",0)</f>
        <v>1</v>
      </c>
      <c r="C804" t="str">
        <f>_xlfn.XLOOKUP(A804,'Subbu- Mini Project EXcel Clean'!A804:A1803,'Subbu- Mini Project EXcel Clean'!J804:J1803," ",0)</f>
        <v>Consistent</v>
      </c>
      <c r="D804">
        <f>_xlfn.XLOOKUP(A804,'Subbu- Mini Project EXcel Clean'!A804:A1803,'Subbu- Mini Project EXcel Clean'!N804:N1803,"entry Level",0)</f>
        <v>6.9</v>
      </c>
      <c r="E804">
        <f>_xlfn.XLOOKUP(A804,'Subbu- Mini Project EXcel Clean'!A804:A1803,'Subbu- Mini Project EXcel Clean'!M804:M1803," ",0)</f>
        <v>60.2</v>
      </c>
      <c r="F804">
        <f>_xlfn.XLOOKUP(A804,'Subbu- Mini Project EXcel Clean'!A804:A1803,'Subbu- Mini Project EXcel Clean'!P804:P1803," ",0)</f>
        <v>5</v>
      </c>
      <c r="G804" t="str">
        <f>_xlfn.XLOOKUP(A804,'Subbu- Mini Project EXcel Clean'!A804:A1803,'Subbu- Mini Project EXcel Clean'!Q804:Q1803," ",0)</f>
        <v>Moderate</v>
      </c>
      <c r="H804">
        <f>VLOOKUP(A804,'Subbu- Mini Project EXcel Clean'!A803:R1803,15,FALSE)</f>
        <v>3</v>
      </c>
    </row>
    <row r="805" spans="1:8" x14ac:dyDescent="0.25">
      <c r="A805" t="s">
        <v>833</v>
      </c>
      <c r="B805">
        <f>_xlfn.XLOOKUP(A805,'Subbu- Mini Project EXcel Clean'!A805:A1804,'Subbu- Mini Project EXcel Clean'!I805:I1804,"Entry Level",0)</f>
        <v>5</v>
      </c>
      <c r="C805" t="str">
        <f>_xlfn.XLOOKUP(A805,'Subbu- Mini Project EXcel Clean'!A805:A1804,'Subbu- Mini Project EXcel Clean'!J805:J1804," ",0)</f>
        <v>Good</v>
      </c>
      <c r="D805">
        <f>_xlfn.XLOOKUP(A805,'Subbu- Mini Project EXcel Clean'!A805:A1804,'Subbu- Mini Project EXcel Clean'!N805:N1804,"entry Level",0)</f>
        <v>8</v>
      </c>
      <c r="E805">
        <f>_xlfn.XLOOKUP(A805,'Subbu- Mini Project EXcel Clean'!A805:A1804,'Subbu- Mini Project EXcel Clean'!M805:M1804," ",0)</f>
        <v>106.8</v>
      </c>
      <c r="F805">
        <f>_xlfn.XLOOKUP(A805,'Subbu- Mini Project EXcel Clean'!A805:A1804,'Subbu- Mini Project EXcel Clean'!P805:P1804," ",0)</f>
        <v>2</v>
      </c>
      <c r="G805" t="str">
        <f>_xlfn.XLOOKUP(A805,'Subbu- Mini Project EXcel Clean'!A805:A1804,'Subbu- Mini Project EXcel Clean'!Q805:Q1804," ",0)</f>
        <v>Low</v>
      </c>
      <c r="H805">
        <f>VLOOKUP(A805,'Subbu- Mini Project EXcel Clean'!A804:R1804,15,FALSE)</f>
        <v>2</v>
      </c>
    </row>
    <row r="806" spans="1:8" x14ac:dyDescent="0.25">
      <c r="A806" t="s">
        <v>834</v>
      </c>
      <c r="B806">
        <f>_xlfn.XLOOKUP(A806,'Subbu- Mini Project EXcel Clean'!A806:A1805,'Subbu- Mini Project EXcel Clean'!I806:I1805,"Entry Level",0)</f>
        <v>2</v>
      </c>
      <c r="C806" t="str">
        <f>_xlfn.XLOOKUP(A806,'Subbu- Mini Project EXcel Clean'!A806:A1805,'Subbu- Mini Project EXcel Clean'!J806:J1805," ",0)</f>
        <v>Consistent</v>
      </c>
      <c r="D806">
        <f>_xlfn.XLOOKUP(A806,'Subbu- Mini Project EXcel Clean'!A806:A1805,'Subbu- Mini Project EXcel Clean'!N806:N1805,"entry Level",0)</f>
        <v>7.1</v>
      </c>
      <c r="E806">
        <f>_xlfn.XLOOKUP(A806,'Subbu- Mini Project EXcel Clean'!A806:A1805,'Subbu- Mini Project EXcel Clean'!M806:M1805," ",0)</f>
        <v>68.2</v>
      </c>
      <c r="F806">
        <f>_xlfn.XLOOKUP(A806,'Subbu- Mini Project EXcel Clean'!A806:A1805,'Subbu- Mini Project EXcel Clean'!P806:P1805," ",0)</f>
        <v>2</v>
      </c>
      <c r="G806" t="str">
        <f>_xlfn.XLOOKUP(A806,'Subbu- Mini Project EXcel Clean'!A806:A1805,'Subbu- Mini Project EXcel Clean'!Q806:Q1805," ",0)</f>
        <v>Low</v>
      </c>
      <c r="H806">
        <f>VLOOKUP(A806,'Subbu- Mini Project EXcel Clean'!A805:R1805,15,FALSE)</f>
        <v>5.8</v>
      </c>
    </row>
    <row r="807" spans="1:8" x14ac:dyDescent="0.25">
      <c r="A807" t="s">
        <v>835</v>
      </c>
      <c r="B807">
        <f>_xlfn.XLOOKUP(A807,'Subbu- Mini Project EXcel Clean'!A807:A1806,'Subbu- Mini Project EXcel Clean'!I807:I1806,"Entry Level",0)</f>
        <v>3</v>
      </c>
      <c r="C807" t="str">
        <f>_xlfn.XLOOKUP(A807,'Subbu- Mini Project EXcel Clean'!A807:A1806,'Subbu- Mini Project EXcel Clean'!J807:J1806," ",0)</f>
        <v>Consistent</v>
      </c>
      <c r="D807">
        <f>_xlfn.XLOOKUP(A807,'Subbu- Mini Project EXcel Clean'!A807:A1806,'Subbu- Mini Project EXcel Clean'!N807:N1806,"entry Level",0)</f>
        <v>7.7</v>
      </c>
      <c r="E807">
        <f>_xlfn.XLOOKUP(A807,'Subbu- Mini Project EXcel Clean'!A807:A1806,'Subbu- Mini Project EXcel Clean'!M807:M1806," ",0)</f>
        <v>73.5</v>
      </c>
      <c r="F807">
        <f>_xlfn.XLOOKUP(A807,'Subbu- Mini Project EXcel Clean'!A807:A1806,'Subbu- Mini Project EXcel Clean'!P807:P1806," ",0)</f>
        <v>3</v>
      </c>
      <c r="G807" t="str">
        <f>_xlfn.XLOOKUP(A807,'Subbu- Mini Project EXcel Clean'!A807:A1806,'Subbu- Mini Project EXcel Clean'!Q807:Q1806," ",0)</f>
        <v>Low</v>
      </c>
      <c r="H807">
        <f>VLOOKUP(A807,'Subbu- Mini Project EXcel Clean'!A806:R1806,15,FALSE)</f>
        <v>3.6</v>
      </c>
    </row>
    <row r="808" spans="1:8" x14ac:dyDescent="0.25">
      <c r="A808" t="s">
        <v>836</v>
      </c>
      <c r="B808">
        <f>_xlfn.XLOOKUP(A808,'Subbu- Mini Project EXcel Clean'!A808:A1807,'Subbu- Mini Project EXcel Clean'!I808:I1807,"Entry Level",0)</f>
        <v>2</v>
      </c>
      <c r="C808" t="str">
        <f>_xlfn.XLOOKUP(A808,'Subbu- Mini Project EXcel Clean'!A808:A1807,'Subbu- Mini Project EXcel Clean'!J808:J1807," ",0)</f>
        <v>Consistent</v>
      </c>
      <c r="D808">
        <f>_xlfn.XLOOKUP(A808,'Subbu- Mini Project EXcel Clean'!A808:A1807,'Subbu- Mini Project EXcel Clean'!N808:N1807,"entry Level",0)</f>
        <v>7</v>
      </c>
      <c r="E808">
        <f>_xlfn.XLOOKUP(A808,'Subbu- Mini Project EXcel Clean'!A808:A1807,'Subbu- Mini Project EXcel Clean'!M808:M1807," ",0)</f>
        <v>68.7</v>
      </c>
      <c r="F808">
        <f>_xlfn.XLOOKUP(A808,'Subbu- Mini Project EXcel Clean'!A808:A1807,'Subbu- Mini Project EXcel Clean'!P808:P1807," ",0)</f>
        <v>1</v>
      </c>
      <c r="G808" t="str">
        <f>_xlfn.XLOOKUP(A808,'Subbu- Mini Project EXcel Clean'!A808:A1807,'Subbu- Mini Project EXcel Clean'!Q808:Q1807," ",0)</f>
        <v>Low</v>
      </c>
      <c r="H808">
        <f>VLOOKUP(A808,'Subbu- Mini Project EXcel Clean'!A807:R1807,15,FALSE)</f>
        <v>4.7</v>
      </c>
    </row>
    <row r="809" spans="1:8" x14ac:dyDescent="0.25">
      <c r="A809" t="s">
        <v>837</v>
      </c>
      <c r="B809">
        <f>_xlfn.XLOOKUP(A809,'Subbu- Mini Project EXcel Clean'!A809:A1808,'Subbu- Mini Project EXcel Clean'!I809:I1808,"Entry Level",0)</f>
        <v>4</v>
      </c>
      <c r="C809" t="str">
        <f>_xlfn.XLOOKUP(A809,'Subbu- Mini Project EXcel Clean'!A809:A1808,'Subbu- Mini Project EXcel Clean'!J809:J1808," ",0)</f>
        <v>Excellent</v>
      </c>
      <c r="D809">
        <f>_xlfn.XLOOKUP(A809,'Subbu- Mini Project EXcel Clean'!A809:A1808,'Subbu- Mini Project EXcel Clean'!N809:N1808,"entry Level",0)</f>
        <v>7</v>
      </c>
      <c r="E809">
        <f>_xlfn.XLOOKUP(A809,'Subbu- Mini Project EXcel Clean'!A809:A1808,'Subbu- Mini Project EXcel Clean'!M809:M1808," ",0)</f>
        <v>87</v>
      </c>
      <c r="F809">
        <f>_xlfn.XLOOKUP(A809,'Subbu- Mini Project EXcel Clean'!A809:A1808,'Subbu- Mini Project EXcel Clean'!P809:P1808," ",0)</f>
        <v>4</v>
      </c>
      <c r="G809" t="str">
        <f>_xlfn.XLOOKUP(A809,'Subbu- Mini Project EXcel Clean'!A809:A1808,'Subbu- Mini Project EXcel Clean'!Q809:Q1808," ",0)</f>
        <v>Moderate</v>
      </c>
      <c r="H809">
        <f>VLOOKUP(A809,'Subbu- Mini Project EXcel Clean'!A808:R1808,15,FALSE)</f>
        <v>3.1</v>
      </c>
    </row>
    <row r="810" spans="1:8" x14ac:dyDescent="0.25">
      <c r="A810" t="s">
        <v>838</v>
      </c>
      <c r="B810">
        <f>_xlfn.XLOOKUP(A810,'Subbu- Mini Project EXcel Clean'!A810:A1809,'Subbu- Mini Project EXcel Clean'!I810:I1809,"Entry Level",0)</f>
        <v>4</v>
      </c>
      <c r="C810" t="str">
        <f>_xlfn.XLOOKUP(A810,'Subbu- Mini Project EXcel Clean'!A810:A1809,'Subbu- Mini Project EXcel Clean'!J810:J1809," ",0)</f>
        <v>Excellent</v>
      </c>
      <c r="D810">
        <f>_xlfn.XLOOKUP(A810,'Subbu- Mini Project EXcel Clean'!A810:A1809,'Subbu- Mini Project EXcel Clean'!N810:N1809,"entry Level",0)</f>
        <v>5.5</v>
      </c>
      <c r="E810">
        <f>_xlfn.XLOOKUP(A810,'Subbu- Mini Project EXcel Clean'!A810:A1809,'Subbu- Mini Project EXcel Clean'!M810:M1809," ",0)</f>
        <v>88.6</v>
      </c>
      <c r="F810">
        <f>_xlfn.XLOOKUP(A810,'Subbu- Mini Project EXcel Clean'!A810:A1809,'Subbu- Mini Project EXcel Clean'!P810:P1809," ",0)</f>
        <v>5</v>
      </c>
      <c r="G810" t="str">
        <f>_xlfn.XLOOKUP(A810,'Subbu- Mini Project EXcel Clean'!A810:A1809,'Subbu- Mini Project EXcel Clean'!Q810:Q1809," ",0)</f>
        <v>Moderate</v>
      </c>
      <c r="H810">
        <f>VLOOKUP(A810,'Subbu- Mini Project EXcel Clean'!A809:R1809,15,FALSE)</f>
        <v>2.8</v>
      </c>
    </row>
    <row r="811" spans="1:8" x14ac:dyDescent="0.25">
      <c r="A811" t="s">
        <v>839</v>
      </c>
      <c r="B811">
        <f>_xlfn.XLOOKUP(A811,'Subbu- Mini Project EXcel Clean'!A811:A1810,'Subbu- Mini Project EXcel Clean'!I811:I1810,"Entry Level",0)</f>
        <v>4</v>
      </c>
      <c r="C811" t="str">
        <f>_xlfn.XLOOKUP(A811,'Subbu- Mini Project EXcel Clean'!A811:A1810,'Subbu- Mini Project EXcel Clean'!J811:J1810," ",0)</f>
        <v>Excellent</v>
      </c>
      <c r="D811">
        <f>_xlfn.XLOOKUP(A811,'Subbu- Mini Project EXcel Clean'!A811:A1810,'Subbu- Mini Project EXcel Clean'!N811:N1810,"entry Level",0)</f>
        <v>7.2</v>
      </c>
      <c r="E811">
        <f>_xlfn.XLOOKUP(A811,'Subbu- Mini Project EXcel Clean'!A811:A1810,'Subbu- Mini Project EXcel Clean'!M811:M1810," ",0)</f>
        <v>92.3</v>
      </c>
      <c r="F811">
        <f>_xlfn.XLOOKUP(A811,'Subbu- Mini Project EXcel Clean'!A811:A1810,'Subbu- Mini Project EXcel Clean'!P811:P1810," ",0)</f>
        <v>5</v>
      </c>
      <c r="G811" t="str">
        <f>_xlfn.XLOOKUP(A811,'Subbu- Mini Project EXcel Clean'!A811:A1810,'Subbu- Mini Project EXcel Clean'!Q811:Q1810," ",0)</f>
        <v>Moderate</v>
      </c>
      <c r="H811">
        <f>VLOOKUP(A811,'Subbu- Mini Project EXcel Clean'!A810:R1810,15,FALSE)</f>
        <v>3</v>
      </c>
    </row>
    <row r="812" spans="1:8" x14ac:dyDescent="0.25">
      <c r="A812" t="s">
        <v>840</v>
      </c>
      <c r="B812">
        <f>_xlfn.XLOOKUP(A812,'Subbu- Mini Project EXcel Clean'!A812:A1811,'Subbu- Mini Project EXcel Clean'!I812:I1811,"Entry Level",0)</f>
        <v>2</v>
      </c>
      <c r="C812" t="str">
        <f>_xlfn.XLOOKUP(A812,'Subbu- Mini Project EXcel Clean'!A812:A1811,'Subbu- Mini Project EXcel Clean'!J812:J1811," ",0)</f>
        <v>Consistent</v>
      </c>
      <c r="D812">
        <f>_xlfn.XLOOKUP(A812,'Subbu- Mini Project EXcel Clean'!A812:A1811,'Subbu- Mini Project EXcel Clean'!N812:N1811,"entry Level",0)</f>
        <v>7.1</v>
      </c>
      <c r="E812">
        <f>_xlfn.XLOOKUP(A812,'Subbu- Mini Project EXcel Clean'!A812:A1811,'Subbu- Mini Project EXcel Clean'!M812:M1811," ",0)</f>
        <v>83.6</v>
      </c>
      <c r="F812">
        <f>_xlfn.XLOOKUP(A812,'Subbu- Mini Project EXcel Clean'!A812:A1811,'Subbu- Mini Project EXcel Clean'!P812:P1811," ",0)</f>
        <v>4</v>
      </c>
      <c r="G812" t="str">
        <f>_xlfn.XLOOKUP(A812,'Subbu- Mini Project EXcel Clean'!A812:A1811,'Subbu- Mini Project EXcel Clean'!Q812:Q1811," ",0)</f>
        <v>Moderate</v>
      </c>
      <c r="H812">
        <f>VLOOKUP(A812,'Subbu- Mini Project EXcel Clean'!A811:R1811,15,FALSE)</f>
        <v>3</v>
      </c>
    </row>
    <row r="813" spans="1:8" x14ac:dyDescent="0.25">
      <c r="A813" t="s">
        <v>841</v>
      </c>
      <c r="B813">
        <f>_xlfn.XLOOKUP(A813,'Subbu- Mini Project EXcel Clean'!A813:A1812,'Subbu- Mini Project EXcel Clean'!I813:I1812,"Entry Level",0)</f>
        <v>2</v>
      </c>
      <c r="C813" t="str">
        <f>_xlfn.XLOOKUP(A813,'Subbu- Mini Project EXcel Clean'!A813:A1812,'Subbu- Mini Project EXcel Clean'!J813:J1812," ",0)</f>
        <v>Consistent</v>
      </c>
      <c r="D813">
        <f>_xlfn.XLOOKUP(A813,'Subbu- Mini Project EXcel Clean'!A813:A1812,'Subbu- Mini Project EXcel Clean'!N813:N1812,"entry Level",0)</f>
        <v>7</v>
      </c>
      <c r="E813">
        <f>_xlfn.XLOOKUP(A813,'Subbu- Mini Project EXcel Clean'!A813:A1812,'Subbu- Mini Project EXcel Clean'!M813:M1812," ",0)</f>
        <v>61.4</v>
      </c>
      <c r="F813">
        <f>_xlfn.XLOOKUP(A813,'Subbu- Mini Project EXcel Clean'!A813:A1812,'Subbu- Mini Project EXcel Clean'!P813:P1812," ",0)</f>
        <v>2</v>
      </c>
      <c r="G813" t="str">
        <f>_xlfn.XLOOKUP(A813,'Subbu- Mini Project EXcel Clean'!A813:A1812,'Subbu- Mini Project EXcel Clean'!Q813:Q1812," ",0)</f>
        <v>Low</v>
      </c>
      <c r="H813">
        <f>VLOOKUP(A813,'Subbu- Mini Project EXcel Clean'!A812:R1812,15,FALSE)</f>
        <v>3.7</v>
      </c>
    </row>
    <row r="814" spans="1:8" x14ac:dyDescent="0.25">
      <c r="A814" t="s">
        <v>842</v>
      </c>
      <c r="B814">
        <f>_xlfn.XLOOKUP(A814,'Subbu- Mini Project EXcel Clean'!A814:A1813,'Subbu- Mini Project EXcel Clean'!I814:I1813,"Entry Level",0)</f>
        <v>2</v>
      </c>
      <c r="C814" t="str">
        <f>_xlfn.XLOOKUP(A814,'Subbu- Mini Project EXcel Clean'!A814:A1813,'Subbu- Mini Project EXcel Clean'!J814:J1813," ",0)</f>
        <v>Consistent</v>
      </c>
      <c r="D814">
        <f>_xlfn.XLOOKUP(A814,'Subbu- Mini Project EXcel Clean'!A814:A1813,'Subbu- Mini Project EXcel Clean'!N814:N1813,"entry Level",0)</f>
        <v>6.9</v>
      </c>
      <c r="E814">
        <f>_xlfn.XLOOKUP(A814,'Subbu- Mini Project EXcel Clean'!A814:A1813,'Subbu- Mini Project EXcel Clean'!M814:M1813," ",0)</f>
        <v>68.099999999999994</v>
      </c>
      <c r="F814">
        <f>_xlfn.XLOOKUP(A814,'Subbu- Mini Project EXcel Clean'!A814:A1813,'Subbu- Mini Project EXcel Clean'!P814:P1813," ",0)</f>
        <v>1</v>
      </c>
      <c r="G814" t="str">
        <f>_xlfn.XLOOKUP(A814,'Subbu- Mini Project EXcel Clean'!A814:A1813,'Subbu- Mini Project EXcel Clean'!Q814:Q1813," ",0)</f>
        <v>Low</v>
      </c>
      <c r="H814">
        <f>VLOOKUP(A814,'Subbu- Mini Project EXcel Clean'!A813:R1813,15,FALSE)</f>
        <v>3.7</v>
      </c>
    </row>
    <row r="815" spans="1:8" x14ac:dyDescent="0.25">
      <c r="A815" t="s">
        <v>843</v>
      </c>
      <c r="B815">
        <f>_xlfn.XLOOKUP(A815,'Subbu- Mini Project EXcel Clean'!A815:A1814,'Subbu- Mini Project EXcel Clean'!I815:I1814,"Entry Level",0)</f>
        <v>4</v>
      </c>
      <c r="C815" t="str">
        <f>_xlfn.XLOOKUP(A815,'Subbu- Mini Project EXcel Clean'!A815:A1814,'Subbu- Mini Project EXcel Clean'!J815:J1814," ",0)</f>
        <v>Excellent</v>
      </c>
      <c r="D815">
        <f>_xlfn.XLOOKUP(A815,'Subbu- Mini Project EXcel Clean'!A815:A1814,'Subbu- Mini Project EXcel Clean'!N815:N1814,"entry Level",0)</f>
        <v>6.3</v>
      </c>
      <c r="E815">
        <f>_xlfn.XLOOKUP(A815,'Subbu- Mini Project EXcel Clean'!A815:A1814,'Subbu- Mini Project EXcel Clean'!M815:M1814," ",0)</f>
        <v>83.4</v>
      </c>
      <c r="F815">
        <f>_xlfn.XLOOKUP(A815,'Subbu- Mini Project EXcel Clean'!A815:A1814,'Subbu- Mini Project EXcel Clean'!P815:P1814," ",0)</f>
        <v>4</v>
      </c>
      <c r="G815" t="str">
        <f>_xlfn.XLOOKUP(A815,'Subbu- Mini Project EXcel Clean'!A815:A1814,'Subbu- Mini Project EXcel Clean'!Q815:Q1814," ",0)</f>
        <v>Moderate</v>
      </c>
      <c r="H815">
        <f>VLOOKUP(A815,'Subbu- Mini Project EXcel Clean'!A814:R1814,15,FALSE)</f>
        <v>3.5</v>
      </c>
    </row>
    <row r="816" spans="1:8" x14ac:dyDescent="0.25">
      <c r="A816" t="s">
        <v>844</v>
      </c>
      <c r="B816">
        <f>_xlfn.XLOOKUP(A816,'Subbu- Mini Project EXcel Clean'!A816:A1815,'Subbu- Mini Project EXcel Clean'!I816:I1815,"Entry Level",0)</f>
        <v>1</v>
      </c>
      <c r="C816" t="str">
        <f>_xlfn.XLOOKUP(A816,'Subbu- Mini Project EXcel Clean'!A816:A1815,'Subbu- Mini Project EXcel Clean'!J816:J1815," ",0)</f>
        <v>Consistent</v>
      </c>
      <c r="D816">
        <f>_xlfn.XLOOKUP(A816,'Subbu- Mini Project EXcel Clean'!A816:A1815,'Subbu- Mini Project EXcel Clean'!N816:N1815,"entry Level",0)</f>
        <v>7.8</v>
      </c>
      <c r="E816">
        <f>_xlfn.XLOOKUP(A816,'Subbu- Mini Project EXcel Clean'!A816:A1815,'Subbu- Mini Project EXcel Clean'!M816:M1815," ",0)</f>
        <v>58.7</v>
      </c>
      <c r="F816">
        <f>_xlfn.XLOOKUP(A816,'Subbu- Mini Project EXcel Clean'!A816:A1815,'Subbu- Mini Project EXcel Clean'!P816:P1815," ",0)</f>
        <v>5</v>
      </c>
      <c r="G816" t="str">
        <f>_xlfn.XLOOKUP(A816,'Subbu- Mini Project EXcel Clean'!A816:A1815,'Subbu- Mini Project EXcel Clean'!Q816:Q1815," ",0)</f>
        <v>Moderate</v>
      </c>
      <c r="H816">
        <f>VLOOKUP(A816,'Subbu- Mini Project EXcel Clean'!A815:R1815,15,FALSE)</f>
        <v>1.7</v>
      </c>
    </row>
    <row r="817" spans="1:8" x14ac:dyDescent="0.25">
      <c r="A817" t="s">
        <v>845</v>
      </c>
      <c r="B817">
        <f>_xlfn.XLOOKUP(A817,'Subbu- Mini Project EXcel Clean'!A817:A1816,'Subbu- Mini Project EXcel Clean'!I817:I1816,"Entry Level",0)</f>
        <v>3</v>
      </c>
      <c r="C817" t="str">
        <f>_xlfn.XLOOKUP(A817,'Subbu- Mini Project EXcel Clean'!A817:A1816,'Subbu- Mini Project EXcel Clean'!J817:J1816," ",0)</f>
        <v>Excellent</v>
      </c>
      <c r="D817">
        <f>_xlfn.XLOOKUP(A817,'Subbu- Mini Project EXcel Clean'!A817:A1816,'Subbu- Mini Project EXcel Clean'!N817:N1816,"entry Level",0)</f>
        <v>7.3</v>
      </c>
      <c r="E817">
        <f>_xlfn.XLOOKUP(A817,'Subbu- Mini Project EXcel Clean'!A817:A1816,'Subbu- Mini Project EXcel Clean'!M817:M1816," ",0)</f>
        <v>80.8</v>
      </c>
      <c r="F817">
        <f>_xlfn.XLOOKUP(A817,'Subbu- Mini Project EXcel Clean'!A817:A1816,'Subbu- Mini Project EXcel Clean'!P817:P1816," ",0)</f>
        <v>4</v>
      </c>
      <c r="G817" t="str">
        <f>_xlfn.XLOOKUP(A817,'Subbu- Mini Project EXcel Clean'!A817:A1816,'Subbu- Mini Project EXcel Clean'!Q817:Q1816," ",0)</f>
        <v>Moderate</v>
      </c>
      <c r="H817">
        <f>VLOOKUP(A817,'Subbu- Mini Project EXcel Clean'!A816:R1816,15,FALSE)</f>
        <v>3.5</v>
      </c>
    </row>
    <row r="818" spans="1:8" x14ac:dyDescent="0.25">
      <c r="A818" t="s">
        <v>846</v>
      </c>
      <c r="B818">
        <f>_xlfn.XLOOKUP(A818,'Subbu- Mini Project EXcel Clean'!A818:A1817,'Subbu- Mini Project EXcel Clean'!I818:I1817,"Entry Level",0)</f>
        <v>5</v>
      </c>
      <c r="C818" t="str">
        <f>_xlfn.XLOOKUP(A818,'Subbu- Mini Project EXcel Clean'!A818:A1817,'Subbu- Mini Project EXcel Clean'!J818:J1817," ",0)</f>
        <v>Good</v>
      </c>
      <c r="D818">
        <f>_xlfn.XLOOKUP(A818,'Subbu- Mini Project EXcel Clean'!A818:A1817,'Subbu- Mini Project EXcel Clean'!N818:N1817,"entry Level",0)</f>
        <v>7.8</v>
      </c>
      <c r="E818">
        <f>_xlfn.XLOOKUP(A818,'Subbu- Mini Project EXcel Clean'!A818:A1817,'Subbu- Mini Project EXcel Clean'!M818:M1817," ",0)</f>
        <v>90.2</v>
      </c>
      <c r="F818">
        <f>_xlfn.XLOOKUP(A818,'Subbu- Mini Project EXcel Clean'!A818:A1817,'Subbu- Mini Project EXcel Clean'!P818:P1817," ",0)</f>
        <v>1</v>
      </c>
      <c r="G818" t="str">
        <f>_xlfn.XLOOKUP(A818,'Subbu- Mini Project EXcel Clean'!A818:A1817,'Subbu- Mini Project EXcel Clean'!Q818:Q1817," ",0)</f>
        <v>Low</v>
      </c>
      <c r="H818">
        <f>VLOOKUP(A818,'Subbu- Mini Project EXcel Clean'!A817:R1817,15,FALSE)</f>
        <v>1.8</v>
      </c>
    </row>
    <row r="819" spans="1:8" x14ac:dyDescent="0.25">
      <c r="A819" t="s">
        <v>847</v>
      </c>
      <c r="B819">
        <f>_xlfn.XLOOKUP(A819,'Subbu- Mini Project EXcel Clean'!A819:A1818,'Subbu- Mini Project EXcel Clean'!I819:I1818,"Entry Level",0)</f>
        <v>5</v>
      </c>
      <c r="C819" t="str">
        <f>_xlfn.XLOOKUP(A819,'Subbu- Mini Project EXcel Clean'!A819:A1818,'Subbu- Mini Project EXcel Clean'!J819:J1818," ",0)</f>
        <v>Good</v>
      </c>
      <c r="D819">
        <f>_xlfn.XLOOKUP(A819,'Subbu- Mini Project EXcel Clean'!A819:A1818,'Subbu- Mini Project EXcel Clean'!N819:N1818,"entry Level",0)</f>
        <v>8</v>
      </c>
      <c r="E819">
        <f>_xlfn.XLOOKUP(A819,'Subbu- Mini Project EXcel Clean'!A819:A1818,'Subbu- Mini Project EXcel Clean'!M819:M1818," ",0)</f>
        <v>104.1</v>
      </c>
      <c r="F819">
        <f>_xlfn.XLOOKUP(A819,'Subbu- Mini Project EXcel Clean'!A819:A1818,'Subbu- Mini Project EXcel Clean'!P819:P1818," ",0)</f>
        <v>7</v>
      </c>
      <c r="G819" t="str">
        <f>_xlfn.XLOOKUP(A819,'Subbu- Mini Project EXcel Clean'!A819:A1818,'Subbu- Mini Project EXcel Clean'!Q819:Q1818," ",0)</f>
        <v>High</v>
      </c>
      <c r="H819">
        <f>VLOOKUP(A819,'Subbu- Mini Project EXcel Clean'!A818:R1818,15,FALSE)</f>
        <v>1.6</v>
      </c>
    </row>
    <row r="820" spans="1:8" x14ac:dyDescent="0.25">
      <c r="A820" t="s">
        <v>848</v>
      </c>
      <c r="B820">
        <f>_xlfn.XLOOKUP(A820,'Subbu- Mini Project EXcel Clean'!A820:A1819,'Subbu- Mini Project EXcel Clean'!I820:I1819,"Entry Level",0)</f>
        <v>3</v>
      </c>
      <c r="C820" t="str">
        <f>_xlfn.XLOOKUP(A820,'Subbu- Mini Project EXcel Clean'!A820:A1819,'Subbu- Mini Project EXcel Clean'!J820:J1819," ",0)</f>
        <v>Consistent</v>
      </c>
      <c r="D820">
        <f>_xlfn.XLOOKUP(A820,'Subbu- Mini Project EXcel Clean'!A820:A1819,'Subbu- Mini Project EXcel Clean'!N820:N1819,"entry Level",0)</f>
        <v>6.6</v>
      </c>
      <c r="E820">
        <f>_xlfn.XLOOKUP(A820,'Subbu- Mini Project EXcel Clean'!A820:A1819,'Subbu- Mini Project EXcel Clean'!M820:M1819," ",0)</f>
        <v>82.2</v>
      </c>
      <c r="F820">
        <f>_xlfn.XLOOKUP(A820,'Subbu- Mini Project EXcel Clean'!A820:A1819,'Subbu- Mini Project EXcel Clean'!P820:P1819," ",0)</f>
        <v>2</v>
      </c>
      <c r="G820" t="str">
        <f>_xlfn.XLOOKUP(A820,'Subbu- Mini Project EXcel Clean'!A820:A1819,'Subbu- Mini Project EXcel Clean'!Q820:Q1819," ",0)</f>
        <v>Low</v>
      </c>
      <c r="H820">
        <f>VLOOKUP(A820,'Subbu- Mini Project EXcel Clean'!A819:R1819,15,FALSE)</f>
        <v>5.7</v>
      </c>
    </row>
    <row r="821" spans="1:8" x14ac:dyDescent="0.25">
      <c r="A821" t="s">
        <v>849</v>
      </c>
      <c r="B821">
        <f>_xlfn.XLOOKUP(A821,'Subbu- Mini Project EXcel Clean'!A821:A1820,'Subbu- Mini Project EXcel Clean'!I821:I1820,"Entry Level",0)</f>
        <v>3</v>
      </c>
      <c r="C821" t="str">
        <f>_xlfn.XLOOKUP(A821,'Subbu- Mini Project EXcel Clean'!A821:A1820,'Subbu- Mini Project EXcel Clean'!J821:J1820," ",0)</f>
        <v>Consistent</v>
      </c>
      <c r="D821">
        <f>_xlfn.XLOOKUP(A821,'Subbu- Mini Project EXcel Clean'!A821:A1820,'Subbu- Mini Project EXcel Clean'!N821:N1820,"entry Level",0)</f>
        <v>6.6</v>
      </c>
      <c r="E821">
        <f>_xlfn.XLOOKUP(A821,'Subbu- Mini Project EXcel Clean'!A821:A1820,'Subbu- Mini Project EXcel Clean'!M821:M1820," ",0)</f>
        <v>78.5</v>
      </c>
      <c r="F821">
        <f>_xlfn.XLOOKUP(A821,'Subbu- Mini Project EXcel Clean'!A821:A1820,'Subbu- Mini Project EXcel Clean'!P821:P1820," ",0)</f>
        <v>4</v>
      </c>
      <c r="G821" t="str">
        <f>_xlfn.XLOOKUP(A821,'Subbu- Mini Project EXcel Clean'!A821:A1820,'Subbu- Mini Project EXcel Clean'!Q821:Q1820," ",0)</f>
        <v>Moderate</v>
      </c>
      <c r="H821">
        <f>VLOOKUP(A821,'Subbu- Mini Project EXcel Clean'!A820:R1820,15,FALSE)</f>
        <v>4</v>
      </c>
    </row>
    <row r="822" spans="1:8" x14ac:dyDescent="0.25">
      <c r="A822" t="s">
        <v>850</v>
      </c>
      <c r="B822">
        <f>_xlfn.XLOOKUP(A822,'Subbu- Mini Project EXcel Clean'!A822:A1821,'Subbu- Mini Project EXcel Clean'!I822:I1821,"Entry Level",0)</f>
        <v>1</v>
      </c>
      <c r="C822" t="str">
        <f>_xlfn.XLOOKUP(A822,'Subbu- Mini Project EXcel Clean'!A822:A1821,'Subbu- Mini Project EXcel Clean'!J822:J1821," ",0)</f>
        <v>Consistent</v>
      </c>
      <c r="D822">
        <f>_xlfn.XLOOKUP(A822,'Subbu- Mini Project EXcel Clean'!A822:A1821,'Subbu- Mini Project EXcel Clean'!N822:N1821,"entry Level",0)</f>
        <v>6.7</v>
      </c>
      <c r="E822">
        <f>_xlfn.XLOOKUP(A822,'Subbu- Mini Project EXcel Clean'!A822:A1821,'Subbu- Mini Project EXcel Clean'!M822:M1821," ",0)</f>
        <v>69.8</v>
      </c>
      <c r="F822">
        <f>_xlfn.XLOOKUP(A822,'Subbu- Mini Project EXcel Clean'!A822:A1821,'Subbu- Mini Project EXcel Clean'!P822:P1821," ",0)</f>
        <v>7</v>
      </c>
      <c r="G822" t="str">
        <f>_xlfn.XLOOKUP(A822,'Subbu- Mini Project EXcel Clean'!A822:A1821,'Subbu- Mini Project EXcel Clean'!Q822:Q1821," ",0)</f>
        <v>High</v>
      </c>
      <c r="H822">
        <f>VLOOKUP(A822,'Subbu- Mini Project EXcel Clean'!A821:R1821,15,FALSE)</f>
        <v>4.3</v>
      </c>
    </row>
    <row r="823" spans="1:8" x14ac:dyDescent="0.25">
      <c r="A823" t="s">
        <v>851</v>
      </c>
      <c r="B823">
        <f>_xlfn.XLOOKUP(A823,'Subbu- Mini Project EXcel Clean'!A823:A1822,'Subbu- Mini Project EXcel Clean'!I823:I1822,"Entry Level",0)</f>
        <v>4</v>
      </c>
      <c r="C823" t="str">
        <f>_xlfn.XLOOKUP(A823,'Subbu- Mini Project EXcel Clean'!A823:A1822,'Subbu- Mini Project EXcel Clean'!J823:J1822," ",0)</f>
        <v>Excellent</v>
      </c>
      <c r="D823">
        <f>_xlfn.XLOOKUP(A823,'Subbu- Mini Project EXcel Clean'!A823:A1822,'Subbu- Mini Project EXcel Clean'!N823:N1822,"entry Level",0)</f>
        <v>7.1</v>
      </c>
      <c r="E823">
        <f>_xlfn.XLOOKUP(A823,'Subbu- Mini Project EXcel Clean'!A823:A1822,'Subbu- Mini Project EXcel Clean'!M823:M1822," ",0)</f>
        <v>79.3</v>
      </c>
      <c r="F823">
        <f>_xlfn.XLOOKUP(A823,'Subbu- Mini Project EXcel Clean'!A823:A1822,'Subbu- Mini Project EXcel Clean'!P823:P1822," ",0)</f>
        <v>1</v>
      </c>
      <c r="G823" t="str">
        <f>_xlfn.XLOOKUP(A823,'Subbu- Mini Project EXcel Clean'!A823:A1822,'Subbu- Mini Project EXcel Clean'!Q823:Q1822," ",0)</f>
        <v>Low</v>
      </c>
      <c r="H823">
        <f>VLOOKUP(A823,'Subbu- Mini Project EXcel Clean'!A822:R1822,15,FALSE)</f>
        <v>3</v>
      </c>
    </row>
    <row r="824" spans="1:8" x14ac:dyDescent="0.25">
      <c r="A824" t="s">
        <v>852</v>
      </c>
      <c r="B824">
        <f>_xlfn.XLOOKUP(A824,'Subbu- Mini Project EXcel Clean'!A824:A1823,'Subbu- Mini Project EXcel Clean'!I824:I1823,"Entry Level",0)</f>
        <v>4</v>
      </c>
      <c r="C824" t="str">
        <f>_xlfn.XLOOKUP(A824,'Subbu- Mini Project EXcel Clean'!A824:A1823,'Subbu- Mini Project EXcel Clean'!J824:J1823," ",0)</f>
        <v>Good</v>
      </c>
      <c r="D824">
        <f>_xlfn.XLOOKUP(A824,'Subbu- Mini Project EXcel Clean'!A824:A1823,'Subbu- Mini Project EXcel Clean'!N824:N1823,"entry Level",0)</f>
        <v>6.4</v>
      </c>
      <c r="E824">
        <f>_xlfn.XLOOKUP(A824,'Subbu- Mini Project EXcel Clean'!A824:A1823,'Subbu- Mini Project EXcel Clean'!M824:M1823," ",0)</f>
        <v>86.2</v>
      </c>
      <c r="F824">
        <f>_xlfn.XLOOKUP(A824,'Subbu- Mini Project EXcel Clean'!A824:A1823,'Subbu- Mini Project EXcel Clean'!P824:P1823," ",0)</f>
        <v>2</v>
      </c>
      <c r="G824" t="str">
        <f>_xlfn.XLOOKUP(A824,'Subbu- Mini Project EXcel Clean'!A824:A1823,'Subbu- Mini Project EXcel Clean'!Q824:Q1823," ",0)</f>
        <v>Low</v>
      </c>
      <c r="H824">
        <f>VLOOKUP(A824,'Subbu- Mini Project EXcel Clean'!A823:R1823,15,FALSE)</f>
        <v>5.5</v>
      </c>
    </row>
    <row r="825" spans="1:8" x14ac:dyDescent="0.25">
      <c r="A825" t="s">
        <v>853</v>
      </c>
      <c r="B825">
        <f>_xlfn.XLOOKUP(A825,'Subbu- Mini Project EXcel Clean'!A825:A1824,'Subbu- Mini Project EXcel Clean'!I825:I1824,"Entry Level",0)</f>
        <v>2</v>
      </c>
      <c r="C825" t="str">
        <f>_xlfn.XLOOKUP(A825,'Subbu- Mini Project EXcel Clean'!A825:A1824,'Subbu- Mini Project EXcel Clean'!J825:J1824," ",0)</f>
        <v>Consistent</v>
      </c>
      <c r="D825">
        <f>_xlfn.XLOOKUP(A825,'Subbu- Mini Project EXcel Clean'!A825:A1824,'Subbu- Mini Project EXcel Clean'!N825:N1824,"entry Level",0)</f>
        <v>7.2</v>
      </c>
      <c r="E825">
        <f>_xlfn.XLOOKUP(A825,'Subbu- Mini Project EXcel Clean'!A825:A1824,'Subbu- Mini Project EXcel Clean'!M825:M1824," ",0)</f>
        <v>58.9</v>
      </c>
      <c r="F825">
        <f>_xlfn.XLOOKUP(A825,'Subbu- Mini Project EXcel Clean'!A825:A1824,'Subbu- Mini Project EXcel Clean'!P825:P1824," ",0)</f>
        <v>4</v>
      </c>
      <c r="G825" t="str">
        <f>_xlfn.XLOOKUP(A825,'Subbu- Mini Project EXcel Clean'!A825:A1824,'Subbu- Mini Project EXcel Clean'!Q825:Q1824," ",0)</f>
        <v>Moderate</v>
      </c>
      <c r="H825">
        <f>VLOOKUP(A825,'Subbu- Mini Project EXcel Clean'!A824:R1824,15,FALSE)</f>
        <v>4.2</v>
      </c>
    </row>
    <row r="826" spans="1:8" x14ac:dyDescent="0.25">
      <c r="A826" t="s">
        <v>854</v>
      </c>
      <c r="B826">
        <f>_xlfn.XLOOKUP(A826,'Subbu- Mini Project EXcel Clean'!A826:A1825,'Subbu- Mini Project EXcel Clean'!I826:I1825,"Entry Level",0)</f>
        <v>3</v>
      </c>
      <c r="C826" t="str">
        <f>_xlfn.XLOOKUP(A826,'Subbu- Mini Project EXcel Clean'!A826:A1825,'Subbu- Mini Project EXcel Clean'!J826:J1825," ",0)</f>
        <v>Consistent</v>
      </c>
      <c r="D826">
        <f>_xlfn.XLOOKUP(A826,'Subbu- Mini Project EXcel Clean'!A826:A1825,'Subbu- Mini Project EXcel Clean'!N826:N1825,"entry Level",0)</f>
        <v>6.9</v>
      </c>
      <c r="E826">
        <f>_xlfn.XLOOKUP(A826,'Subbu- Mini Project EXcel Clean'!A826:A1825,'Subbu- Mini Project EXcel Clean'!M826:M1825," ",0)</f>
        <v>73.400000000000006</v>
      </c>
      <c r="F826">
        <f>_xlfn.XLOOKUP(A826,'Subbu- Mini Project EXcel Clean'!A826:A1825,'Subbu- Mini Project EXcel Clean'!P826:P1825," ",0)</f>
        <v>5</v>
      </c>
      <c r="G826" t="str">
        <f>_xlfn.XLOOKUP(A826,'Subbu- Mini Project EXcel Clean'!A826:A1825,'Subbu- Mini Project EXcel Clean'!Q826:Q1825," ",0)</f>
        <v>Moderate</v>
      </c>
      <c r="H826">
        <f>VLOOKUP(A826,'Subbu- Mini Project EXcel Clean'!A825:R1825,15,FALSE)</f>
        <v>4.8</v>
      </c>
    </row>
    <row r="827" spans="1:8" x14ac:dyDescent="0.25">
      <c r="A827" t="s">
        <v>855</v>
      </c>
      <c r="B827">
        <f>_xlfn.XLOOKUP(A827,'Subbu- Mini Project EXcel Clean'!A827:A1826,'Subbu- Mini Project EXcel Clean'!I827:I1826,"Entry Level",0)</f>
        <v>4</v>
      </c>
      <c r="C827" t="str">
        <f>_xlfn.XLOOKUP(A827,'Subbu- Mini Project EXcel Clean'!A827:A1826,'Subbu- Mini Project EXcel Clean'!J827:J1826," ",0)</f>
        <v>Good</v>
      </c>
      <c r="D827">
        <f>_xlfn.XLOOKUP(A827,'Subbu- Mini Project EXcel Clean'!A827:A1826,'Subbu- Mini Project EXcel Clean'!N827:N1826,"entry Level",0)</f>
        <v>8.1999999999999993</v>
      </c>
      <c r="E827">
        <f>_xlfn.XLOOKUP(A827,'Subbu- Mini Project EXcel Clean'!A827:A1826,'Subbu- Mini Project EXcel Clean'!M827:M1826," ",0)</f>
        <v>94.4</v>
      </c>
      <c r="F827">
        <f>_xlfn.XLOOKUP(A827,'Subbu- Mini Project EXcel Clean'!A827:A1826,'Subbu- Mini Project EXcel Clean'!P827:P1826," ",0)</f>
        <v>5</v>
      </c>
      <c r="G827" t="str">
        <f>_xlfn.XLOOKUP(A827,'Subbu- Mini Project EXcel Clean'!A827:A1826,'Subbu- Mini Project EXcel Clean'!Q827:Q1826," ",0)</f>
        <v>Moderate</v>
      </c>
      <c r="H827">
        <f>VLOOKUP(A827,'Subbu- Mini Project EXcel Clean'!A826:R1826,15,FALSE)</f>
        <v>2.8</v>
      </c>
    </row>
    <row r="828" spans="1:8" x14ac:dyDescent="0.25">
      <c r="A828" t="s">
        <v>856</v>
      </c>
      <c r="B828">
        <f>_xlfn.XLOOKUP(A828,'Subbu- Mini Project EXcel Clean'!A828:A1827,'Subbu- Mini Project EXcel Clean'!I828:I1827,"Entry Level",0)</f>
        <v>5</v>
      </c>
      <c r="C828" t="str">
        <f>_xlfn.XLOOKUP(A828,'Subbu- Mini Project EXcel Clean'!A828:A1827,'Subbu- Mini Project EXcel Clean'!J828:J1827," ",0)</f>
        <v>Good</v>
      </c>
      <c r="D828">
        <f>_xlfn.XLOOKUP(A828,'Subbu- Mini Project EXcel Clean'!A828:A1827,'Subbu- Mini Project EXcel Clean'!N828:N1827,"entry Level",0)</f>
        <v>7.4</v>
      </c>
      <c r="E828">
        <f>_xlfn.XLOOKUP(A828,'Subbu- Mini Project EXcel Clean'!A828:A1827,'Subbu- Mini Project EXcel Clean'!M828:M1827," ",0)</f>
        <v>95.6</v>
      </c>
      <c r="F828">
        <f>_xlfn.XLOOKUP(A828,'Subbu- Mini Project EXcel Clean'!A828:A1827,'Subbu- Mini Project EXcel Clean'!P828:P1827," ",0)</f>
        <v>1</v>
      </c>
      <c r="G828" t="str">
        <f>_xlfn.XLOOKUP(A828,'Subbu- Mini Project EXcel Clean'!A828:A1827,'Subbu- Mini Project EXcel Clean'!Q828:Q1827," ",0)</f>
        <v>Low</v>
      </c>
      <c r="H828">
        <f>VLOOKUP(A828,'Subbu- Mini Project EXcel Clean'!A827:R1827,15,FALSE)</f>
        <v>5.8</v>
      </c>
    </row>
    <row r="829" spans="1:8" x14ac:dyDescent="0.25">
      <c r="A829" t="s">
        <v>857</v>
      </c>
      <c r="B829">
        <f>_xlfn.XLOOKUP(A829,'Subbu- Mini Project EXcel Clean'!A829:A1828,'Subbu- Mini Project EXcel Clean'!I829:I1828,"Entry Level",0)</f>
        <v>2</v>
      </c>
      <c r="C829" t="str">
        <f>_xlfn.XLOOKUP(A829,'Subbu- Mini Project EXcel Clean'!A829:A1828,'Subbu- Mini Project EXcel Clean'!J829:J1828," ",0)</f>
        <v>Consistent</v>
      </c>
      <c r="D829">
        <f>_xlfn.XLOOKUP(A829,'Subbu- Mini Project EXcel Clean'!A829:A1828,'Subbu- Mini Project EXcel Clean'!N829:N1828,"entry Level",0)</f>
        <v>6.5</v>
      </c>
      <c r="E829">
        <f>_xlfn.XLOOKUP(A829,'Subbu- Mini Project EXcel Clean'!A829:A1828,'Subbu- Mini Project EXcel Clean'!M829:M1828," ",0)</f>
        <v>70.5</v>
      </c>
      <c r="F829">
        <f>_xlfn.XLOOKUP(A829,'Subbu- Mini Project EXcel Clean'!A829:A1828,'Subbu- Mini Project EXcel Clean'!P829:P1828," ",0)</f>
        <v>1</v>
      </c>
      <c r="G829" t="str">
        <f>_xlfn.XLOOKUP(A829,'Subbu- Mini Project EXcel Clean'!A829:A1828,'Subbu- Mini Project EXcel Clean'!Q829:Q1828," ",0)</f>
        <v>Low</v>
      </c>
      <c r="H829">
        <f>VLOOKUP(A829,'Subbu- Mini Project EXcel Clean'!A828:R1828,15,FALSE)</f>
        <v>5.0999999999999996</v>
      </c>
    </row>
    <row r="830" spans="1:8" x14ac:dyDescent="0.25">
      <c r="A830" t="s">
        <v>858</v>
      </c>
      <c r="B830">
        <f>_xlfn.XLOOKUP(A830,'Subbu- Mini Project EXcel Clean'!A830:A1829,'Subbu- Mini Project EXcel Clean'!I830:I1829,"Entry Level",0)</f>
        <v>3</v>
      </c>
      <c r="C830" t="str">
        <f>_xlfn.XLOOKUP(A830,'Subbu- Mini Project EXcel Clean'!A830:A1829,'Subbu- Mini Project EXcel Clean'!J830:J1829," ",0)</f>
        <v>Excellent</v>
      </c>
      <c r="D830">
        <f>_xlfn.XLOOKUP(A830,'Subbu- Mini Project EXcel Clean'!A830:A1829,'Subbu- Mini Project EXcel Clean'!N830:N1829,"entry Level",0)</f>
        <v>4.5</v>
      </c>
      <c r="E830">
        <f>_xlfn.XLOOKUP(A830,'Subbu- Mini Project EXcel Clean'!A830:A1829,'Subbu- Mini Project EXcel Clean'!M830:M1829," ",0)</f>
        <v>75</v>
      </c>
      <c r="F830">
        <f>_xlfn.XLOOKUP(A830,'Subbu- Mini Project EXcel Clean'!A830:A1829,'Subbu- Mini Project EXcel Clean'!P830:P1829," ",0)</f>
        <v>1</v>
      </c>
      <c r="G830" t="str">
        <f>_xlfn.XLOOKUP(A830,'Subbu- Mini Project EXcel Clean'!A830:A1829,'Subbu- Mini Project EXcel Clean'!Q830:Q1829," ",0)</f>
        <v>Low</v>
      </c>
      <c r="H830">
        <f>VLOOKUP(A830,'Subbu- Mini Project EXcel Clean'!A829:R1829,15,FALSE)</f>
        <v>5.3</v>
      </c>
    </row>
    <row r="831" spans="1:8" x14ac:dyDescent="0.25">
      <c r="A831" t="s">
        <v>859</v>
      </c>
      <c r="B831">
        <f>_xlfn.XLOOKUP(A831,'Subbu- Mini Project EXcel Clean'!A831:A1830,'Subbu- Mini Project EXcel Clean'!I831:I1830,"Entry Level",0)</f>
        <v>2</v>
      </c>
      <c r="C831" t="str">
        <f>_xlfn.XLOOKUP(A831,'Subbu- Mini Project EXcel Clean'!A831:A1830,'Subbu- Mini Project EXcel Clean'!J831:J1830," ",0)</f>
        <v>Consistent</v>
      </c>
      <c r="D831">
        <f>_xlfn.XLOOKUP(A831,'Subbu- Mini Project EXcel Clean'!A831:A1830,'Subbu- Mini Project EXcel Clean'!N831:N1830,"entry Level",0)</f>
        <v>8.1</v>
      </c>
      <c r="E831">
        <f>_xlfn.XLOOKUP(A831,'Subbu- Mini Project EXcel Clean'!A831:A1830,'Subbu- Mini Project EXcel Clean'!M831:M1830," ",0)</f>
        <v>71.7</v>
      </c>
      <c r="F831">
        <f>_xlfn.XLOOKUP(A831,'Subbu- Mini Project EXcel Clean'!A831:A1830,'Subbu- Mini Project EXcel Clean'!P831:P1830," ",0)</f>
        <v>5</v>
      </c>
      <c r="G831" t="str">
        <f>_xlfn.XLOOKUP(A831,'Subbu- Mini Project EXcel Clean'!A831:A1830,'Subbu- Mini Project EXcel Clean'!Q831:Q1830," ",0)</f>
        <v>Moderate</v>
      </c>
      <c r="H831">
        <f>VLOOKUP(A831,'Subbu- Mini Project EXcel Clean'!A830:R1830,15,FALSE)</f>
        <v>1.9</v>
      </c>
    </row>
    <row r="832" spans="1:8" x14ac:dyDescent="0.25">
      <c r="A832" t="s">
        <v>860</v>
      </c>
      <c r="B832">
        <f>_xlfn.XLOOKUP(A832,'Subbu- Mini Project EXcel Clean'!A832:A1831,'Subbu- Mini Project EXcel Clean'!I832:I1831,"Entry Level",0)</f>
        <v>1</v>
      </c>
      <c r="C832" t="str">
        <f>_xlfn.XLOOKUP(A832,'Subbu- Mini Project EXcel Clean'!A832:A1831,'Subbu- Mini Project EXcel Clean'!J832:J1831," ",0)</f>
        <v>Consistent</v>
      </c>
      <c r="D832">
        <f>_xlfn.XLOOKUP(A832,'Subbu- Mini Project EXcel Clean'!A832:A1831,'Subbu- Mini Project EXcel Clean'!N832:N1831,"entry Level",0)</f>
        <v>7</v>
      </c>
      <c r="E832">
        <f>_xlfn.XLOOKUP(A832,'Subbu- Mini Project EXcel Clean'!A832:A1831,'Subbu- Mini Project EXcel Clean'!M832:M1831," ",0)</f>
        <v>65.3</v>
      </c>
      <c r="F832">
        <f>_xlfn.XLOOKUP(A832,'Subbu- Mini Project EXcel Clean'!A832:A1831,'Subbu- Mini Project EXcel Clean'!P832:P1831," ",0)</f>
        <v>7</v>
      </c>
      <c r="G832" t="str">
        <f>_xlfn.XLOOKUP(A832,'Subbu- Mini Project EXcel Clean'!A832:A1831,'Subbu- Mini Project EXcel Clean'!Q832:Q1831," ",0)</f>
        <v>High</v>
      </c>
      <c r="H832">
        <f>VLOOKUP(A832,'Subbu- Mini Project EXcel Clean'!A831:R1831,15,FALSE)</f>
        <v>2.4</v>
      </c>
    </row>
    <row r="833" spans="1:8" x14ac:dyDescent="0.25">
      <c r="A833" t="s">
        <v>861</v>
      </c>
      <c r="B833">
        <f>_xlfn.XLOOKUP(A833,'Subbu- Mini Project EXcel Clean'!A833:A1832,'Subbu- Mini Project EXcel Clean'!I833:I1832,"Entry Level",0)</f>
        <v>5</v>
      </c>
      <c r="C833" t="str">
        <f>_xlfn.XLOOKUP(A833,'Subbu- Mini Project EXcel Clean'!A833:A1832,'Subbu- Mini Project EXcel Clean'!J833:J1832," ",0)</f>
        <v>Good</v>
      </c>
      <c r="D833">
        <f>_xlfn.XLOOKUP(A833,'Subbu- Mini Project EXcel Clean'!A833:A1832,'Subbu- Mini Project EXcel Clean'!N833:N1832,"entry Level",0)</f>
        <v>6.9</v>
      </c>
      <c r="E833">
        <f>_xlfn.XLOOKUP(A833,'Subbu- Mini Project EXcel Clean'!A833:A1832,'Subbu- Mini Project EXcel Clean'!M833:M1832," ",0)</f>
        <v>100.1</v>
      </c>
      <c r="F833">
        <f>_xlfn.XLOOKUP(A833,'Subbu- Mini Project EXcel Clean'!A833:A1832,'Subbu- Mini Project EXcel Clean'!P833:P1832," ",0)</f>
        <v>7</v>
      </c>
      <c r="G833" t="str">
        <f>_xlfn.XLOOKUP(A833,'Subbu- Mini Project EXcel Clean'!A833:A1832,'Subbu- Mini Project EXcel Clean'!Q833:Q1832," ",0)</f>
        <v>High</v>
      </c>
      <c r="H833">
        <f>VLOOKUP(A833,'Subbu- Mini Project EXcel Clean'!A832:R1832,15,FALSE)</f>
        <v>2.4</v>
      </c>
    </row>
    <row r="834" spans="1:8" x14ac:dyDescent="0.25">
      <c r="A834" t="s">
        <v>862</v>
      </c>
      <c r="B834">
        <f>_xlfn.XLOOKUP(A834,'Subbu- Mini Project EXcel Clean'!A834:A1833,'Subbu- Mini Project EXcel Clean'!I834:I1833,"Entry Level",0)</f>
        <v>4</v>
      </c>
      <c r="C834" t="str">
        <f>_xlfn.XLOOKUP(A834,'Subbu- Mini Project EXcel Clean'!A834:A1833,'Subbu- Mini Project EXcel Clean'!J834:J1833," ",0)</f>
        <v>Good</v>
      </c>
      <c r="D834">
        <f>_xlfn.XLOOKUP(A834,'Subbu- Mini Project EXcel Clean'!A834:A1833,'Subbu- Mini Project EXcel Clean'!N834:N1833,"entry Level",0)</f>
        <v>7.1</v>
      </c>
      <c r="E834">
        <f>_xlfn.XLOOKUP(A834,'Subbu- Mini Project EXcel Clean'!A834:A1833,'Subbu- Mini Project EXcel Clean'!M834:M1833," ",0)</f>
        <v>83.4</v>
      </c>
      <c r="F834">
        <f>_xlfn.XLOOKUP(A834,'Subbu- Mini Project EXcel Clean'!A834:A1833,'Subbu- Mini Project EXcel Clean'!P834:P1833," ",0)</f>
        <v>4</v>
      </c>
      <c r="G834" t="str">
        <f>_xlfn.XLOOKUP(A834,'Subbu- Mini Project EXcel Clean'!A834:A1833,'Subbu- Mini Project EXcel Clean'!Q834:Q1833," ",0)</f>
        <v>Moderate</v>
      </c>
      <c r="H834">
        <f>VLOOKUP(A834,'Subbu- Mini Project EXcel Clean'!A833:R1833,15,FALSE)</f>
        <v>2.4</v>
      </c>
    </row>
    <row r="835" spans="1:8" x14ac:dyDescent="0.25">
      <c r="A835" t="s">
        <v>863</v>
      </c>
      <c r="B835">
        <f>_xlfn.XLOOKUP(A835,'Subbu- Mini Project EXcel Clean'!A835:A1834,'Subbu- Mini Project EXcel Clean'!I835:I1834,"Entry Level",0)</f>
        <v>4</v>
      </c>
      <c r="C835" t="str">
        <f>_xlfn.XLOOKUP(A835,'Subbu- Mini Project EXcel Clean'!A835:A1834,'Subbu- Mini Project EXcel Clean'!J835:J1834," ",0)</f>
        <v>Excellent</v>
      </c>
      <c r="D835">
        <f>_xlfn.XLOOKUP(A835,'Subbu- Mini Project EXcel Clean'!A835:A1834,'Subbu- Mini Project EXcel Clean'!N835:N1834,"entry Level",0)</f>
        <v>6.2</v>
      </c>
      <c r="E835">
        <f>_xlfn.XLOOKUP(A835,'Subbu- Mini Project EXcel Clean'!A835:A1834,'Subbu- Mini Project EXcel Clean'!M835:M1834," ",0)</f>
        <v>92</v>
      </c>
      <c r="F835">
        <f>_xlfn.XLOOKUP(A835,'Subbu- Mini Project EXcel Clean'!A835:A1834,'Subbu- Mini Project EXcel Clean'!P835:P1834," ",0)</f>
        <v>1</v>
      </c>
      <c r="G835" t="str">
        <f>_xlfn.XLOOKUP(A835,'Subbu- Mini Project EXcel Clean'!A835:A1834,'Subbu- Mini Project EXcel Clean'!Q835:Q1834," ",0)</f>
        <v>Low</v>
      </c>
      <c r="H835">
        <f>VLOOKUP(A835,'Subbu- Mini Project EXcel Clean'!A834:R1834,15,FALSE)</f>
        <v>5.3</v>
      </c>
    </row>
    <row r="836" spans="1:8" x14ac:dyDescent="0.25">
      <c r="A836" t="s">
        <v>864</v>
      </c>
      <c r="B836">
        <f>_xlfn.XLOOKUP(A836,'Subbu- Mini Project EXcel Clean'!A836:A1835,'Subbu- Mini Project EXcel Clean'!I836:I1835,"Entry Level",0)</f>
        <v>1</v>
      </c>
      <c r="C836" t="str">
        <f>_xlfn.XLOOKUP(A836,'Subbu- Mini Project EXcel Clean'!A836:A1835,'Subbu- Mini Project EXcel Clean'!J836:J1835," ",0)</f>
        <v>Consistent</v>
      </c>
      <c r="D836">
        <f>_xlfn.XLOOKUP(A836,'Subbu- Mini Project EXcel Clean'!A836:A1835,'Subbu- Mini Project EXcel Clean'!N836:N1835,"entry Level",0)</f>
        <v>8</v>
      </c>
      <c r="E836">
        <f>_xlfn.XLOOKUP(A836,'Subbu- Mini Project EXcel Clean'!A836:A1835,'Subbu- Mini Project EXcel Clean'!M836:M1835," ",0)</f>
        <v>56</v>
      </c>
      <c r="F836">
        <f>_xlfn.XLOOKUP(A836,'Subbu- Mini Project EXcel Clean'!A836:A1835,'Subbu- Mini Project EXcel Clean'!P836:P1835," ",0)</f>
        <v>1</v>
      </c>
      <c r="G836" t="str">
        <f>_xlfn.XLOOKUP(A836,'Subbu- Mini Project EXcel Clean'!A836:A1835,'Subbu- Mini Project EXcel Clean'!Q836:Q1835," ",0)</f>
        <v>Low</v>
      </c>
      <c r="H836">
        <f>VLOOKUP(A836,'Subbu- Mini Project EXcel Clean'!A835:R1835,15,FALSE)</f>
        <v>1.2</v>
      </c>
    </row>
    <row r="837" spans="1:8" x14ac:dyDescent="0.25">
      <c r="A837" t="s">
        <v>865</v>
      </c>
      <c r="B837">
        <f>_xlfn.XLOOKUP(A837,'Subbu- Mini Project EXcel Clean'!A837:A1836,'Subbu- Mini Project EXcel Clean'!I837:I1836,"Entry Level",0)</f>
        <v>4</v>
      </c>
      <c r="C837" t="str">
        <f>_xlfn.XLOOKUP(A837,'Subbu- Mini Project EXcel Clean'!A837:A1836,'Subbu- Mini Project EXcel Clean'!J837:J1836," ",0)</f>
        <v>Good</v>
      </c>
      <c r="D837">
        <f>_xlfn.XLOOKUP(A837,'Subbu- Mini Project EXcel Clean'!A837:A1836,'Subbu- Mini Project EXcel Clean'!N837:N1836,"entry Level",0)</f>
        <v>6.8</v>
      </c>
      <c r="E837">
        <f>_xlfn.XLOOKUP(A837,'Subbu- Mini Project EXcel Clean'!A837:A1836,'Subbu- Mini Project EXcel Clean'!M837:M1836," ",0)</f>
        <v>91.8</v>
      </c>
      <c r="F837">
        <f>_xlfn.XLOOKUP(A837,'Subbu- Mini Project EXcel Clean'!A837:A1836,'Subbu- Mini Project EXcel Clean'!P837:P1836," ",0)</f>
        <v>4</v>
      </c>
      <c r="G837" t="str">
        <f>_xlfn.XLOOKUP(A837,'Subbu- Mini Project EXcel Clean'!A837:A1836,'Subbu- Mini Project EXcel Clean'!Q837:Q1836," ",0)</f>
        <v>Moderate</v>
      </c>
      <c r="H837">
        <f>VLOOKUP(A837,'Subbu- Mini Project EXcel Clean'!A836:R1836,15,FALSE)</f>
        <v>1.4</v>
      </c>
    </row>
    <row r="838" spans="1:8" x14ac:dyDescent="0.25">
      <c r="A838" t="s">
        <v>866</v>
      </c>
      <c r="B838">
        <f>_xlfn.XLOOKUP(A838,'Subbu- Mini Project EXcel Clean'!A838:A1837,'Subbu- Mini Project EXcel Clean'!I838:I1837,"Entry Level",0)</f>
        <v>3</v>
      </c>
      <c r="C838" t="str">
        <f>_xlfn.XLOOKUP(A838,'Subbu- Mini Project EXcel Clean'!A838:A1837,'Subbu- Mini Project EXcel Clean'!J838:J1837," ",0)</f>
        <v>Consistent</v>
      </c>
      <c r="D838">
        <f>_xlfn.XLOOKUP(A838,'Subbu- Mini Project EXcel Clean'!A838:A1837,'Subbu- Mini Project EXcel Clean'!N838:N1837,"entry Level",0)</f>
        <v>6.8</v>
      </c>
      <c r="E838">
        <f>_xlfn.XLOOKUP(A838,'Subbu- Mini Project EXcel Clean'!A838:A1837,'Subbu- Mini Project EXcel Clean'!M838:M1837," ",0)</f>
        <v>80.2</v>
      </c>
      <c r="F838">
        <f>_xlfn.XLOOKUP(A838,'Subbu- Mini Project EXcel Clean'!A838:A1837,'Subbu- Mini Project EXcel Clean'!P838:P1837," ",0)</f>
        <v>1</v>
      </c>
      <c r="G838" t="str">
        <f>_xlfn.XLOOKUP(A838,'Subbu- Mini Project EXcel Clean'!A838:A1837,'Subbu- Mini Project EXcel Clean'!Q838:Q1837," ",0)</f>
        <v>Low</v>
      </c>
      <c r="H838">
        <f>VLOOKUP(A838,'Subbu- Mini Project EXcel Clean'!A837:R1837,15,FALSE)</f>
        <v>2.4</v>
      </c>
    </row>
    <row r="839" spans="1:8" x14ac:dyDescent="0.25">
      <c r="A839" t="s">
        <v>867</v>
      </c>
      <c r="B839">
        <f>_xlfn.XLOOKUP(A839,'Subbu- Mini Project EXcel Clean'!A839:A1838,'Subbu- Mini Project EXcel Clean'!I839:I1838,"Entry Level",0)</f>
        <v>2</v>
      </c>
      <c r="C839" t="str">
        <f>_xlfn.XLOOKUP(A839,'Subbu- Mini Project EXcel Clean'!A839:A1838,'Subbu- Mini Project EXcel Clean'!J839:J1838," ",0)</f>
        <v>Consistent</v>
      </c>
      <c r="D839">
        <f>_xlfn.XLOOKUP(A839,'Subbu- Mini Project EXcel Clean'!A839:A1838,'Subbu- Mini Project EXcel Clean'!N839:N1838,"entry Level",0)</f>
        <v>7.6</v>
      </c>
      <c r="E839">
        <f>_xlfn.XLOOKUP(A839,'Subbu- Mini Project EXcel Clean'!A839:A1838,'Subbu- Mini Project EXcel Clean'!M839:M1838," ",0)</f>
        <v>74.2</v>
      </c>
      <c r="F839">
        <f>_xlfn.XLOOKUP(A839,'Subbu- Mini Project EXcel Clean'!A839:A1838,'Subbu- Mini Project EXcel Clean'!P839:P1838," ",0)</f>
        <v>1</v>
      </c>
      <c r="G839" t="str">
        <f>_xlfn.XLOOKUP(A839,'Subbu- Mini Project EXcel Clean'!A839:A1838,'Subbu- Mini Project EXcel Clean'!Q839:Q1838," ",0)</f>
        <v>Low</v>
      </c>
      <c r="H839">
        <f>VLOOKUP(A839,'Subbu- Mini Project EXcel Clean'!A838:R1838,15,FALSE)</f>
        <v>2</v>
      </c>
    </row>
    <row r="840" spans="1:8" x14ac:dyDescent="0.25">
      <c r="A840" t="s">
        <v>868</v>
      </c>
      <c r="B840">
        <f>_xlfn.XLOOKUP(A840,'Subbu- Mini Project EXcel Clean'!A840:A1839,'Subbu- Mini Project EXcel Clean'!I840:I1839,"Entry Level",0)</f>
        <v>3</v>
      </c>
      <c r="C840" t="str">
        <f>_xlfn.XLOOKUP(A840,'Subbu- Mini Project EXcel Clean'!A840:A1839,'Subbu- Mini Project EXcel Clean'!J840:J1839," ",0)</f>
        <v>Excellent</v>
      </c>
      <c r="D840">
        <f>_xlfn.XLOOKUP(A840,'Subbu- Mini Project EXcel Clean'!A840:A1839,'Subbu- Mini Project EXcel Clean'!N840:N1839,"entry Level",0)</f>
        <v>7.7</v>
      </c>
      <c r="E840">
        <f>_xlfn.XLOOKUP(A840,'Subbu- Mini Project EXcel Clean'!A840:A1839,'Subbu- Mini Project EXcel Clean'!M840:M1839," ",0)</f>
        <v>77.599999999999994</v>
      </c>
      <c r="F840">
        <f>_xlfn.XLOOKUP(A840,'Subbu- Mini Project EXcel Clean'!A840:A1839,'Subbu- Mini Project EXcel Clean'!P840:P1839," ",0)</f>
        <v>6</v>
      </c>
      <c r="G840" t="str">
        <f>_xlfn.XLOOKUP(A840,'Subbu- Mini Project EXcel Clean'!A840:A1839,'Subbu- Mini Project EXcel Clean'!Q840:Q1839," ",0)</f>
        <v>High</v>
      </c>
      <c r="H840">
        <f>VLOOKUP(A840,'Subbu- Mini Project EXcel Clean'!A839:R1839,15,FALSE)</f>
        <v>2.2000000000000002</v>
      </c>
    </row>
    <row r="841" spans="1:8" x14ac:dyDescent="0.25">
      <c r="A841" t="s">
        <v>869</v>
      </c>
      <c r="B841">
        <f>_xlfn.XLOOKUP(A841,'Subbu- Mini Project EXcel Clean'!A841:A1840,'Subbu- Mini Project EXcel Clean'!I841:I1840,"Entry Level",0)</f>
        <v>1</v>
      </c>
      <c r="C841" t="str">
        <f>_xlfn.XLOOKUP(A841,'Subbu- Mini Project EXcel Clean'!A841:A1840,'Subbu- Mini Project EXcel Clean'!J841:J1840," ",0)</f>
        <v>Consistent</v>
      </c>
      <c r="D841">
        <f>_xlfn.XLOOKUP(A841,'Subbu- Mini Project EXcel Clean'!A841:A1840,'Subbu- Mini Project EXcel Clean'!N841:N1840,"entry Level",0)</f>
        <v>6.8</v>
      </c>
      <c r="E841">
        <f>_xlfn.XLOOKUP(A841,'Subbu- Mini Project EXcel Clean'!A841:A1840,'Subbu- Mini Project EXcel Clean'!M841:M1840," ",0)</f>
        <v>63.7</v>
      </c>
      <c r="F841">
        <f>_xlfn.XLOOKUP(A841,'Subbu- Mini Project EXcel Clean'!A841:A1840,'Subbu- Mini Project EXcel Clean'!P841:P1840," ",0)</f>
        <v>2</v>
      </c>
      <c r="G841" t="str">
        <f>_xlfn.XLOOKUP(A841,'Subbu- Mini Project EXcel Clean'!A841:A1840,'Subbu- Mini Project EXcel Clean'!Q841:Q1840," ",0)</f>
        <v>Low</v>
      </c>
      <c r="H841">
        <f>VLOOKUP(A841,'Subbu- Mini Project EXcel Clean'!A840:R1840,15,FALSE)</f>
        <v>5</v>
      </c>
    </row>
    <row r="842" spans="1:8" x14ac:dyDescent="0.25">
      <c r="A842" t="s">
        <v>870</v>
      </c>
      <c r="B842">
        <f>_xlfn.XLOOKUP(A842,'Subbu- Mini Project EXcel Clean'!A842:A1841,'Subbu- Mini Project EXcel Clean'!I842:I1841,"Entry Level",0)</f>
        <v>4</v>
      </c>
      <c r="C842" t="str">
        <f>_xlfn.XLOOKUP(A842,'Subbu- Mini Project EXcel Clean'!A842:A1841,'Subbu- Mini Project EXcel Clean'!J842:J1841," ",0)</f>
        <v>Excellent</v>
      </c>
      <c r="D842">
        <f>_xlfn.XLOOKUP(A842,'Subbu- Mini Project EXcel Clean'!A842:A1841,'Subbu- Mini Project EXcel Clean'!N842:N1841,"entry Level",0)</f>
        <v>6.5</v>
      </c>
      <c r="E842">
        <f>_xlfn.XLOOKUP(A842,'Subbu- Mini Project EXcel Clean'!A842:A1841,'Subbu- Mini Project EXcel Clean'!M842:M1841," ",0)</f>
        <v>82.6</v>
      </c>
      <c r="F842">
        <f>_xlfn.XLOOKUP(A842,'Subbu- Mini Project EXcel Clean'!A842:A1841,'Subbu- Mini Project EXcel Clean'!P842:P1841," ",0)</f>
        <v>5</v>
      </c>
      <c r="G842" t="str">
        <f>_xlfn.XLOOKUP(A842,'Subbu- Mini Project EXcel Clean'!A842:A1841,'Subbu- Mini Project EXcel Clean'!Q842:Q1841," ",0)</f>
        <v>Moderate</v>
      </c>
      <c r="H842">
        <f>VLOOKUP(A842,'Subbu- Mini Project EXcel Clean'!A841:R1841,15,FALSE)</f>
        <v>3.8</v>
      </c>
    </row>
    <row r="843" spans="1:8" x14ac:dyDescent="0.25">
      <c r="A843" t="s">
        <v>871</v>
      </c>
      <c r="B843">
        <f>_xlfn.XLOOKUP(A843,'Subbu- Mini Project EXcel Clean'!A843:A1842,'Subbu- Mini Project EXcel Clean'!I843:I1842,"Entry Level",0)</f>
        <v>3</v>
      </c>
      <c r="C843" t="str">
        <f>_xlfn.XLOOKUP(A843,'Subbu- Mini Project EXcel Clean'!A843:A1842,'Subbu- Mini Project EXcel Clean'!J843:J1842," ",0)</f>
        <v>Excellent</v>
      </c>
      <c r="D843">
        <f>_xlfn.XLOOKUP(A843,'Subbu- Mini Project EXcel Clean'!A843:A1842,'Subbu- Mini Project EXcel Clean'!N843:N1842,"entry Level",0)</f>
        <v>7.2</v>
      </c>
      <c r="E843">
        <f>_xlfn.XLOOKUP(A843,'Subbu- Mini Project EXcel Clean'!A843:A1842,'Subbu- Mini Project EXcel Clean'!M843:M1842," ",0)</f>
        <v>89</v>
      </c>
      <c r="F843">
        <f>_xlfn.XLOOKUP(A843,'Subbu- Mini Project EXcel Clean'!A843:A1842,'Subbu- Mini Project EXcel Clean'!P843:P1842," ",0)</f>
        <v>5</v>
      </c>
      <c r="G843" t="str">
        <f>_xlfn.XLOOKUP(A843,'Subbu- Mini Project EXcel Clean'!A843:A1842,'Subbu- Mini Project EXcel Clean'!Q843:Q1842," ",0)</f>
        <v>Moderate</v>
      </c>
      <c r="H843">
        <f>VLOOKUP(A843,'Subbu- Mini Project EXcel Clean'!A842:R1842,15,FALSE)</f>
        <v>1</v>
      </c>
    </row>
    <row r="844" spans="1:8" x14ac:dyDescent="0.25">
      <c r="A844" t="s">
        <v>872</v>
      </c>
      <c r="B844">
        <f>_xlfn.XLOOKUP(A844,'Subbu- Mini Project EXcel Clean'!A844:A1843,'Subbu- Mini Project EXcel Clean'!I844:I1843,"Entry Level",0)</f>
        <v>2</v>
      </c>
      <c r="C844" t="str">
        <f>_xlfn.XLOOKUP(A844,'Subbu- Mini Project EXcel Clean'!A844:A1843,'Subbu- Mini Project EXcel Clean'!J844:J1843," ",0)</f>
        <v>Consistent</v>
      </c>
      <c r="D844">
        <f>_xlfn.XLOOKUP(A844,'Subbu- Mini Project EXcel Clean'!A844:A1843,'Subbu- Mini Project EXcel Clean'!N844:N1843,"entry Level",0)</f>
        <v>6.8</v>
      </c>
      <c r="E844">
        <f>_xlfn.XLOOKUP(A844,'Subbu- Mini Project EXcel Clean'!A844:A1843,'Subbu- Mini Project EXcel Clean'!M844:M1843," ",0)</f>
        <v>66.400000000000006</v>
      </c>
      <c r="F844">
        <f>_xlfn.XLOOKUP(A844,'Subbu- Mini Project EXcel Clean'!A844:A1843,'Subbu- Mini Project EXcel Clean'!P844:P1843," ",0)</f>
        <v>3</v>
      </c>
      <c r="G844" t="str">
        <f>_xlfn.XLOOKUP(A844,'Subbu- Mini Project EXcel Clean'!A844:A1843,'Subbu- Mini Project EXcel Clean'!Q844:Q1843," ",0)</f>
        <v>Low</v>
      </c>
      <c r="H844">
        <f>VLOOKUP(A844,'Subbu- Mini Project EXcel Clean'!A843:R1843,15,FALSE)</f>
        <v>3.1</v>
      </c>
    </row>
    <row r="845" spans="1:8" x14ac:dyDescent="0.25">
      <c r="A845" t="s">
        <v>873</v>
      </c>
      <c r="B845">
        <f>_xlfn.XLOOKUP(A845,'Subbu- Mini Project EXcel Clean'!A845:A1844,'Subbu- Mini Project EXcel Clean'!I845:I1844,"Entry Level",0)</f>
        <v>2</v>
      </c>
      <c r="C845" t="str">
        <f>_xlfn.XLOOKUP(A845,'Subbu- Mini Project EXcel Clean'!A845:A1844,'Subbu- Mini Project EXcel Clean'!J845:J1844," ",0)</f>
        <v>Consistent</v>
      </c>
      <c r="D845">
        <f>_xlfn.XLOOKUP(A845,'Subbu- Mini Project EXcel Clean'!A845:A1844,'Subbu- Mini Project EXcel Clean'!N845:N1844,"entry Level",0)</f>
        <v>7.2</v>
      </c>
      <c r="E845">
        <f>_xlfn.XLOOKUP(A845,'Subbu- Mini Project EXcel Clean'!A845:A1844,'Subbu- Mini Project EXcel Clean'!M845:M1844," ",0)</f>
        <v>73.099999999999994</v>
      </c>
      <c r="F845">
        <f>_xlfn.XLOOKUP(A845,'Subbu- Mini Project EXcel Clean'!A845:A1844,'Subbu- Mini Project EXcel Clean'!P845:P1844," ",0)</f>
        <v>3</v>
      </c>
      <c r="G845" t="str">
        <f>_xlfn.XLOOKUP(A845,'Subbu- Mini Project EXcel Clean'!A845:A1844,'Subbu- Mini Project EXcel Clean'!Q845:Q1844," ",0)</f>
        <v>Low</v>
      </c>
      <c r="H845">
        <f>VLOOKUP(A845,'Subbu- Mini Project EXcel Clean'!A844:R1844,15,FALSE)</f>
        <v>3</v>
      </c>
    </row>
    <row r="846" spans="1:8" x14ac:dyDescent="0.25">
      <c r="A846" t="s">
        <v>874</v>
      </c>
      <c r="B846">
        <f>_xlfn.XLOOKUP(A846,'Subbu- Mini Project EXcel Clean'!A846:A1845,'Subbu- Mini Project EXcel Clean'!I846:I1845,"Entry Level",0)</f>
        <v>2</v>
      </c>
      <c r="C846" t="str">
        <f>_xlfn.XLOOKUP(A846,'Subbu- Mini Project EXcel Clean'!A846:A1845,'Subbu- Mini Project EXcel Clean'!J846:J1845," ",0)</f>
        <v>Consistent</v>
      </c>
      <c r="D846">
        <f>_xlfn.XLOOKUP(A846,'Subbu- Mini Project EXcel Clean'!A846:A1845,'Subbu- Mini Project EXcel Clean'!N846:N1845,"entry Level",0)</f>
        <v>8.3000000000000007</v>
      </c>
      <c r="E846">
        <f>_xlfn.XLOOKUP(A846,'Subbu- Mini Project EXcel Clean'!A846:A1845,'Subbu- Mini Project EXcel Clean'!M846:M1845," ",0)</f>
        <v>64.7</v>
      </c>
      <c r="F846">
        <f>_xlfn.XLOOKUP(A846,'Subbu- Mini Project EXcel Clean'!A846:A1845,'Subbu- Mini Project EXcel Clean'!P846:P1845," ",0)</f>
        <v>4</v>
      </c>
      <c r="G846" t="str">
        <f>_xlfn.XLOOKUP(A846,'Subbu- Mini Project EXcel Clean'!A846:A1845,'Subbu- Mini Project EXcel Clean'!Q846:Q1845," ",0)</f>
        <v>Moderate</v>
      </c>
      <c r="H846">
        <f>VLOOKUP(A846,'Subbu- Mini Project EXcel Clean'!A845:R1845,15,FALSE)</f>
        <v>1.6</v>
      </c>
    </row>
    <row r="847" spans="1:8" x14ac:dyDescent="0.25">
      <c r="A847" t="s">
        <v>875</v>
      </c>
      <c r="B847">
        <f>_xlfn.XLOOKUP(A847,'Subbu- Mini Project EXcel Clean'!A847:A1846,'Subbu- Mini Project EXcel Clean'!I847:I1846,"Entry Level",0)</f>
        <v>1</v>
      </c>
      <c r="C847" t="str">
        <f>_xlfn.XLOOKUP(A847,'Subbu- Mini Project EXcel Clean'!A847:A1846,'Subbu- Mini Project EXcel Clean'!J847:J1846," ",0)</f>
        <v>Consistent</v>
      </c>
      <c r="D847">
        <f>_xlfn.XLOOKUP(A847,'Subbu- Mini Project EXcel Clean'!A847:A1846,'Subbu- Mini Project EXcel Clean'!N847:N1846,"entry Level",0)</f>
        <v>5.7</v>
      </c>
      <c r="E847">
        <f>_xlfn.XLOOKUP(A847,'Subbu- Mini Project EXcel Clean'!A847:A1846,'Subbu- Mini Project EXcel Clean'!M847:M1846," ",0)</f>
        <v>59.7</v>
      </c>
      <c r="F847">
        <f>_xlfn.XLOOKUP(A847,'Subbu- Mini Project EXcel Clean'!A847:A1846,'Subbu- Mini Project EXcel Clean'!P847:P1846," ",0)</f>
        <v>6</v>
      </c>
      <c r="G847" t="str">
        <f>_xlfn.XLOOKUP(A847,'Subbu- Mini Project EXcel Clean'!A847:A1846,'Subbu- Mini Project EXcel Clean'!Q847:Q1846," ",0)</f>
        <v>Moderate</v>
      </c>
      <c r="H847">
        <f>VLOOKUP(A847,'Subbu- Mini Project EXcel Clean'!A846:R1846,15,FALSE)</f>
        <v>4.4000000000000004</v>
      </c>
    </row>
    <row r="848" spans="1:8" x14ac:dyDescent="0.25">
      <c r="A848" t="s">
        <v>876</v>
      </c>
      <c r="B848">
        <f>_xlfn.XLOOKUP(A848,'Subbu- Mini Project EXcel Clean'!A848:A1847,'Subbu- Mini Project EXcel Clean'!I848:I1847,"Entry Level",0)</f>
        <v>3</v>
      </c>
      <c r="C848" t="str">
        <f>_xlfn.XLOOKUP(A848,'Subbu- Mini Project EXcel Clean'!A848:A1847,'Subbu- Mini Project EXcel Clean'!J848:J1847," ",0)</f>
        <v>Excellent</v>
      </c>
      <c r="D848">
        <f>_xlfn.XLOOKUP(A848,'Subbu- Mini Project EXcel Clean'!A848:A1847,'Subbu- Mini Project EXcel Clean'!N848:N1847,"entry Level",0)</f>
        <v>6.5</v>
      </c>
      <c r="E848">
        <f>_xlfn.XLOOKUP(A848,'Subbu- Mini Project EXcel Clean'!A848:A1847,'Subbu- Mini Project EXcel Clean'!M848:M1847," ",0)</f>
        <v>79.7</v>
      </c>
      <c r="F848">
        <f>_xlfn.XLOOKUP(A848,'Subbu- Mini Project EXcel Clean'!A848:A1847,'Subbu- Mini Project EXcel Clean'!P848:P1847," ",0)</f>
        <v>4</v>
      </c>
      <c r="G848" t="str">
        <f>_xlfn.XLOOKUP(A848,'Subbu- Mini Project EXcel Clean'!A848:A1847,'Subbu- Mini Project EXcel Clean'!Q848:Q1847," ",0)</f>
        <v>Moderate</v>
      </c>
      <c r="H848">
        <f>VLOOKUP(A848,'Subbu- Mini Project EXcel Clean'!A847:R1847,15,FALSE)</f>
        <v>4.5</v>
      </c>
    </row>
    <row r="849" spans="1:8" x14ac:dyDescent="0.25">
      <c r="A849" t="s">
        <v>877</v>
      </c>
      <c r="B849">
        <f>_xlfn.XLOOKUP(A849,'Subbu- Mini Project EXcel Clean'!A849:A1848,'Subbu- Mini Project EXcel Clean'!I849:I1848,"Entry Level",0)</f>
        <v>4</v>
      </c>
      <c r="C849" t="str">
        <f>_xlfn.XLOOKUP(A849,'Subbu- Mini Project EXcel Clean'!A849:A1848,'Subbu- Mini Project EXcel Clean'!J849:J1848," ",0)</f>
        <v>Good</v>
      </c>
      <c r="D849">
        <f>_xlfn.XLOOKUP(A849,'Subbu- Mini Project EXcel Clean'!A849:A1848,'Subbu- Mini Project EXcel Clean'!N849:N1848,"entry Level",0)</f>
        <v>6</v>
      </c>
      <c r="E849">
        <f>_xlfn.XLOOKUP(A849,'Subbu- Mini Project EXcel Clean'!A849:A1848,'Subbu- Mini Project EXcel Clean'!M849:M1848," ",0)</f>
        <v>98</v>
      </c>
      <c r="F849">
        <f>_xlfn.XLOOKUP(A849,'Subbu- Mini Project EXcel Clean'!A849:A1848,'Subbu- Mini Project EXcel Clean'!P849:P1848," ",0)</f>
        <v>2</v>
      </c>
      <c r="G849" t="str">
        <f>_xlfn.XLOOKUP(A849,'Subbu- Mini Project EXcel Clean'!A849:A1848,'Subbu- Mini Project EXcel Clean'!Q849:Q1848," ",0)</f>
        <v>Low</v>
      </c>
      <c r="H849">
        <f>VLOOKUP(A849,'Subbu- Mini Project EXcel Clean'!A848:R1848,15,FALSE)</f>
        <v>4.5999999999999996</v>
      </c>
    </row>
    <row r="850" spans="1:8" x14ac:dyDescent="0.25">
      <c r="A850" t="s">
        <v>878</v>
      </c>
      <c r="B850">
        <f>_xlfn.XLOOKUP(A850,'Subbu- Mini Project EXcel Clean'!A850:A1849,'Subbu- Mini Project EXcel Clean'!I850:I1849,"Entry Level",0)</f>
        <v>1</v>
      </c>
      <c r="C850" t="str">
        <f>_xlfn.XLOOKUP(A850,'Subbu- Mini Project EXcel Clean'!A850:A1849,'Subbu- Mini Project EXcel Clean'!J850:J1849," ",0)</f>
        <v>Consistent</v>
      </c>
      <c r="D850">
        <f>_xlfn.XLOOKUP(A850,'Subbu- Mini Project EXcel Clean'!A850:A1849,'Subbu- Mini Project EXcel Clean'!N850:N1849,"entry Level",0)</f>
        <v>5.8</v>
      </c>
      <c r="E850">
        <f>_xlfn.XLOOKUP(A850,'Subbu- Mini Project EXcel Clean'!A850:A1849,'Subbu- Mini Project EXcel Clean'!M850:M1849," ",0)</f>
        <v>57.2</v>
      </c>
      <c r="F850">
        <f>_xlfn.XLOOKUP(A850,'Subbu- Mini Project EXcel Clean'!A850:A1849,'Subbu- Mini Project EXcel Clean'!P850:P1849," ",0)</f>
        <v>1</v>
      </c>
      <c r="G850" t="str">
        <f>_xlfn.XLOOKUP(A850,'Subbu- Mini Project EXcel Clean'!A850:A1849,'Subbu- Mini Project EXcel Clean'!Q850:Q1849," ",0)</f>
        <v>Low</v>
      </c>
      <c r="H850">
        <f>VLOOKUP(A850,'Subbu- Mini Project EXcel Clean'!A849:R1849,15,FALSE)</f>
        <v>4.5999999999999996</v>
      </c>
    </row>
    <row r="851" spans="1:8" x14ac:dyDescent="0.25">
      <c r="A851" t="s">
        <v>879</v>
      </c>
      <c r="B851">
        <f>_xlfn.XLOOKUP(A851,'Subbu- Mini Project EXcel Clean'!A851:A1850,'Subbu- Mini Project EXcel Clean'!I851:I1850,"Entry Level",0)</f>
        <v>1</v>
      </c>
      <c r="C851" t="str">
        <f>_xlfn.XLOOKUP(A851,'Subbu- Mini Project EXcel Clean'!A851:A1850,'Subbu- Mini Project EXcel Clean'!J851:J1850," ",0)</f>
        <v>Consistent</v>
      </c>
      <c r="D851">
        <f>_xlfn.XLOOKUP(A851,'Subbu- Mini Project EXcel Clean'!A851:A1850,'Subbu- Mini Project EXcel Clean'!N851:N1850,"entry Level",0)</f>
        <v>8.1999999999999993</v>
      </c>
      <c r="E851">
        <f>_xlfn.XLOOKUP(A851,'Subbu- Mini Project EXcel Clean'!A851:A1850,'Subbu- Mini Project EXcel Clean'!M851:M1850," ",0)</f>
        <v>65.2</v>
      </c>
      <c r="F851">
        <f>_xlfn.XLOOKUP(A851,'Subbu- Mini Project EXcel Clean'!A851:A1850,'Subbu- Mini Project EXcel Clean'!P851:P1850," ",0)</f>
        <v>1</v>
      </c>
      <c r="G851" t="str">
        <f>_xlfn.XLOOKUP(A851,'Subbu- Mini Project EXcel Clean'!A851:A1850,'Subbu- Mini Project EXcel Clean'!Q851:Q1850," ",0)</f>
        <v>Low</v>
      </c>
      <c r="H851">
        <f>VLOOKUP(A851,'Subbu- Mini Project EXcel Clean'!A850:R1850,15,FALSE)</f>
        <v>1</v>
      </c>
    </row>
    <row r="852" spans="1:8" x14ac:dyDescent="0.25">
      <c r="A852" t="s">
        <v>880</v>
      </c>
      <c r="B852">
        <f>_xlfn.XLOOKUP(A852,'Subbu- Mini Project EXcel Clean'!A852:A1851,'Subbu- Mini Project EXcel Clean'!I852:I1851,"Entry Level",0)</f>
        <v>3</v>
      </c>
      <c r="C852" t="str">
        <f>_xlfn.XLOOKUP(A852,'Subbu- Mini Project EXcel Clean'!A852:A1851,'Subbu- Mini Project EXcel Clean'!J852:J1851," ",0)</f>
        <v>Excellent</v>
      </c>
      <c r="D852">
        <f>_xlfn.XLOOKUP(A852,'Subbu- Mini Project EXcel Clean'!A852:A1851,'Subbu- Mini Project EXcel Clean'!N852:N1851,"entry Level",0)</f>
        <v>6.5</v>
      </c>
      <c r="E852">
        <f>_xlfn.XLOOKUP(A852,'Subbu- Mini Project EXcel Clean'!A852:A1851,'Subbu- Mini Project EXcel Clean'!M852:M1851," ",0)</f>
        <v>81</v>
      </c>
      <c r="F852">
        <f>_xlfn.XLOOKUP(A852,'Subbu- Mini Project EXcel Clean'!A852:A1851,'Subbu- Mini Project EXcel Clean'!P852:P1851," ",0)</f>
        <v>5</v>
      </c>
      <c r="G852" t="str">
        <f>_xlfn.XLOOKUP(A852,'Subbu- Mini Project EXcel Clean'!A852:A1851,'Subbu- Mini Project EXcel Clean'!Q852:Q1851," ",0)</f>
        <v>Moderate</v>
      </c>
      <c r="H852">
        <f>VLOOKUP(A852,'Subbu- Mini Project EXcel Clean'!A851:R1851,15,FALSE)</f>
        <v>5.8</v>
      </c>
    </row>
    <row r="853" spans="1:8" x14ac:dyDescent="0.25">
      <c r="A853" t="s">
        <v>881</v>
      </c>
      <c r="B853">
        <f>_xlfn.XLOOKUP(A853,'Subbu- Mini Project EXcel Clean'!A853:A1852,'Subbu- Mini Project EXcel Clean'!I853:I1852,"Entry Level",0)</f>
        <v>4</v>
      </c>
      <c r="C853" t="str">
        <f>_xlfn.XLOOKUP(A853,'Subbu- Mini Project EXcel Clean'!A853:A1852,'Subbu- Mini Project EXcel Clean'!J853:J1852," ",0)</f>
        <v>Good</v>
      </c>
      <c r="D853">
        <f>_xlfn.XLOOKUP(A853,'Subbu- Mini Project EXcel Clean'!A853:A1852,'Subbu- Mini Project EXcel Clean'!N853:N1852,"entry Level",0)</f>
        <v>6.7</v>
      </c>
      <c r="E853">
        <f>_xlfn.XLOOKUP(A853,'Subbu- Mini Project EXcel Clean'!A853:A1852,'Subbu- Mini Project EXcel Clean'!M853:M1852," ",0)</f>
        <v>82.9</v>
      </c>
      <c r="F853">
        <f>_xlfn.XLOOKUP(A853,'Subbu- Mini Project EXcel Clean'!A853:A1852,'Subbu- Mini Project EXcel Clean'!P853:P1852," ",0)</f>
        <v>4</v>
      </c>
      <c r="G853" t="str">
        <f>_xlfn.XLOOKUP(A853,'Subbu- Mini Project EXcel Clean'!A853:A1852,'Subbu- Mini Project EXcel Clean'!Q853:Q1852," ",0)</f>
        <v>Moderate</v>
      </c>
      <c r="H853">
        <f>VLOOKUP(A853,'Subbu- Mini Project EXcel Clean'!A852:R1852,15,FALSE)</f>
        <v>5.0999999999999996</v>
      </c>
    </row>
    <row r="854" spans="1:8" x14ac:dyDescent="0.25">
      <c r="A854" t="s">
        <v>882</v>
      </c>
      <c r="B854">
        <f>_xlfn.XLOOKUP(A854,'Subbu- Mini Project EXcel Clean'!A854:A1853,'Subbu- Mini Project EXcel Clean'!I854:I1853,"Entry Level",0)</f>
        <v>2</v>
      </c>
      <c r="C854" t="str">
        <f>_xlfn.XLOOKUP(A854,'Subbu- Mini Project EXcel Clean'!A854:A1853,'Subbu- Mini Project EXcel Clean'!J854:J1853," ",0)</f>
        <v>Consistent</v>
      </c>
      <c r="D854">
        <f>_xlfn.XLOOKUP(A854,'Subbu- Mini Project EXcel Clean'!A854:A1853,'Subbu- Mini Project EXcel Clean'!N854:N1853,"entry Level",0)</f>
        <v>6.8</v>
      </c>
      <c r="E854">
        <f>_xlfn.XLOOKUP(A854,'Subbu- Mini Project EXcel Clean'!A854:A1853,'Subbu- Mini Project EXcel Clean'!M854:M1853," ",0)</f>
        <v>70.2</v>
      </c>
      <c r="F854">
        <f>_xlfn.XLOOKUP(A854,'Subbu- Mini Project EXcel Clean'!A854:A1853,'Subbu- Mini Project EXcel Clean'!P854:P1853," ",0)</f>
        <v>4</v>
      </c>
      <c r="G854" t="str">
        <f>_xlfn.XLOOKUP(A854,'Subbu- Mini Project EXcel Clean'!A854:A1853,'Subbu- Mini Project EXcel Clean'!Q854:Q1853," ",0)</f>
        <v>Moderate</v>
      </c>
      <c r="H854">
        <f>VLOOKUP(A854,'Subbu- Mini Project EXcel Clean'!A853:R1853,15,FALSE)</f>
        <v>5.5</v>
      </c>
    </row>
    <row r="855" spans="1:8" x14ac:dyDescent="0.25">
      <c r="A855" t="s">
        <v>883</v>
      </c>
      <c r="B855">
        <f>_xlfn.XLOOKUP(A855,'Subbu- Mini Project EXcel Clean'!A855:A1854,'Subbu- Mini Project EXcel Clean'!I855:I1854,"Entry Level",0)</f>
        <v>2</v>
      </c>
      <c r="C855" t="str">
        <f>_xlfn.XLOOKUP(A855,'Subbu- Mini Project EXcel Clean'!A855:A1854,'Subbu- Mini Project EXcel Clean'!J855:J1854," ",0)</f>
        <v>Consistent</v>
      </c>
      <c r="D855">
        <f>_xlfn.XLOOKUP(A855,'Subbu- Mini Project EXcel Clean'!A855:A1854,'Subbu- Mini Project EXcel Clean'!N855:N1854,"entry Level",0)</f>
        <v>7.4</v>
      </c>
      <c r="E855">
        <f>_xlfn.XLOOKUP(A855,'Subbu- Mini Project EXcel Clean'!A855:A1854,'Subbu- Mini Project EXcel Clean'!M855:M1854," ",0)</f>
        <v>68.099999999999994</v>
      </c>
      <c r="F855">
        <f>_xlfn.XLOOKUP(A855,'Subbu- Mini Project EXcel Clean'!A855:A1854,'Subbu- Mini Project EXcel Clean'!P855:P1854," ",0)</f>
        <v>5</v>
      </c>
      <c r="G855" t="str">
        <f>_xlfn.XLOOKUP(A855,'Subbu- Mini Project EXcel Clean'!A855:A1854,'Subbu- Mini Project EXcel Clean'!Q855:Q1854," ",0)</f>
        <v>Moderate</v>
      </c>
      <c r="H855">
        <f>VLOOKUP(A855,'Subbu- Mini Project EXcel Clean'!A854:R1854,15,FALSE)</f>
        <v>1.1000000000000001</v>
      </c>
    </row>
    <row r="856" spans="1:8" x14ac:dyDescent="0.25">
      <c r="A856" t="s">
        <v>884</v>
      </c>
      <c r="B856">
        <f>_xlfn.XLOOKUP(A856,'Subbu- Mini Project EXcel Clean'!A856:A1855,'Subbu- Mini Project EXcel Clean'!I856:I1855,"Entry Level",0)</f>
        <v>3</v>
      </c>
      <c r="C856" t="str">
        <f>_xlfn.XLOOKUP(A856,'Subbu- Mini Project EXcel Clean'!A856:A1855,'Subbu- Mini Project EXcel Clean'!J856:J1855," ",0)</f>
        <v>Excellent</v>
      </c>
      <c r="D856">
        <f>_xlfn.XLOOKUP(A856,'Subbu- Mini Project EXcel Clean'!A856:A1855,'Subbu- Mini Project EXcel Clean'!N856:N1855,"entry Level",0)</f>
        <v>6.1</v>
      </c>
      <c r="E856">
        <f>_xlfn.XLOOKUP(A856,'Subbu- Mini Project EXcel Clean'!A856:A1855,'Subbu- Mini Project EXcel Clean'!M856:M1855," ",0)</f>
        <v>84</v>
      </c>
      <c r="F856">
        <f>_xlfn.XLOOKUP(A856,'Subbu- Mini Project EXcel Clean'!A856:A1855,'Subbu- Mini Project EXcel Clean'!P856:P1855," ",0)</f>
        <v>2</v>
      </c>
      <c r="G856" t="str">
        <f>_xlfn.XLOOKUP(A856,'Subbu- Mini Project EXcel Clean'!A856:A1855,'Subbu- Mini Project EXcel Clean'!Q856:Q1855," ",0)</f>
        <v>Low</v>
      </c>
      <c r="H856">
        <f>VLOOKUP(A856,'Subbu- Mini Project EXcel Clean'!A855:R1855,15,FALSE)</f>
        <v>5.7</v>
      </c>
    </row>
    <row r="857" spans="1:8" x14ac:dyDescent="0.25">
      <c r="A857" t="s">
        <v>885</v>
      </c>
      <c r="B857">
        <f>_xlfn.XLOOKUP(A857,'Subbu- Mini Project EXcel Clean'!A857:A1856,'Subbu- Mini Project EXcel Clean'!I857:I1856,"Entry Level",0)</f>
        <v>2</v>
      </c>
      <c r="C857" t="str">
        <f>_xlfn.XLOOKUP(A857,'Subbu- Mini Project EXcel Clean'!A857:A1856,'Subbu- Mini Project EXcel Clean'!J857:J1856," ",0)</f>
        <v>Consistent</v>
      </c>
      <c r="D857">
        <f>_xlfn.XLOOKUP(A857,'Subbu- Mini Project EXcel Clean'!A857:A1856,'Subbu- Mini Project EXcel Clean'!N857:N1856,"entry Level",0)</f>
        <v>7.6</v>
      </c>
      <c r="E857">
        <f>_xlfn.XLOOKUP(A857,'Subbu- Mini Project EXcel Clean'!A857:A1856,'Subbu- Mini Project EXcel Clean'!M857:M1856," ",0)</f>
        <v>65</v>
      </c>
      <c r="F857">
        <f>_xlfn.XLOOKUP(A857,'Subbu- Mini Project EXcel Clean'!A857:A1856,'Subbu- Mini Project EXcel Clean'!P857:P1856," ",0)</f>
        <v>3</v>
      </c>
      <c r="G857" t="str">
        <f>_xlfn.XLOOKUP(A857,'Subbu- Mini Project EXcel Clean'!A857:A1856,'Subbu- Mini Project EXcel Clean'!Q857:Q1856," ",0)</f>
        <v>Low</v>
      </c>
      <c r="H857">
        <f>VLOOKUP(A857,'Subbu- Mini Project EXcel Clean'!A856:R1856,15,FALSE)</f>
        <v>5</v>
      </c>
    </row>
    <row r="858" spans="1:8" x14ac:dyDescent="0.25">
      <c r="A858" t="s">
        <v>886</v>
      </c>
      <c r="B858">
        <f>_xlfn.XLOOKUP(A858,'Subbu- Mini Project EXcel Clean'!A858:A1857,'Subbu- Mini Project EXcel Clean'!I858:I1857,"Entry Level",0)</f>
        <v>1</v>
      </c>
      <c r="C858" t="str">
        <f>_xlfn.XLOOKUP(A858,'Subbu- Mini Project EXcel Clean'!A858:A1857,'Subbu- Mini Project EXcel Clean'!J858:J1857," ",0)</f>
        <v>Consistent</v>
      </c>
      <c r="D858">
        <f>_xlfn.XLOOKUP(A858,'Subbu- Mini Project EXcel Clean'!A858:A1857,'Subbu- Mini Project EXcel Clean'!N858:N1857,"entry Level",0)</f>
        <v>6.3</v>
      </c>
      <c r="E858">
        <f>_xlfn.XLOOKUP(A858,'Subbu- Mini Project EXcel Clean'!A858:A1857,'Subbu- Mini Project EXcel Clean'!M858:M1857," ",0)</f>
        <v>65.7</v>
      </c>
      <c r="F858">
        <f>_xlfn.XLOOKUP(A858,'Subbu- Mini Project EXcel Clean'!A858:A1857,'Subbu- Mini Project EXcel Clean'!P858:P1857," ",0)</f>
        <v>1</v>
      </c>
      <c r="G858" t="str">
        <f>_xlfn.XLOOKUP(A858,'Subbu- Mini Project EXcel Clean'!A858:A1857,'Subbu- Mini Project EXcel Clean'!Q858:Q1857," ",0)</f>
        <v>Low</v>
      </c>
      <c r="H858">
        <f>VLOOKUP(A858,'Subbu- Mini Project EXcel Clean'!A857:R1857,15,FALSE)</f>
        <v>5.2</v>
      </c>
    </row>
    <row r="859" spans="1:8" x14ac:dyDescent="0.25">
      <c r="A859" t="s">
        <v>887</v>
      </c>
      <c r="B859">
        <f>_xlfn.XLOOKUP(A859,'Subbu- Mini Project EXcel Clean'!A859:A1858,'Subbu- Mini Project EXcel Clean'!I859:I1858,"Entry Level",0)</f>
        <v>4</v>
      </c>
      <c r="C859" t="str">
        <f>_xlfn.XLOOKUP(A859,'Subbu- Mini Project EXcel Clean'!A859:A1858,'Subbu- Mini Project EXcel Clean'!J859:J1858," ",0)</f>
        <v>Excellent</v>
      </c>
      <c r="D859">
        <f>_xlfn.XLOOKUP(A859,'Subbu- Mini Project EXcel Clean'!A859:A1858,'Subbu- Mini Project EXcel Clean'!N859:N1858,"entry Level",0)</f>
        <v>7.9</v>
      </c>
      <c r="E859">
        <f>_xlfn.XLOOKUP(A859,'Subbu- Mini Project EXcel Clean'!A859:A1858,'Subbu- Mini Project EXcel Clean'!M859:M1858," ",0)</f>
        <v>89</v>
      </c>
      <c r="F859">
        <f>_xlfn.XLOOKUP(A859,'Subbu- Mini Project EXcel Clean'!A859:A1858,'Subbu- Mini Project EXcel Clean'!P859:P1858," ",0)</f>
        <v>2</v>
      </c>
      <c r="G859" t="str">
        <f>_xlfn.XLOOKUP(A859,'Subbu- Mini Project EXcel Clean'!A859:A1858,'Subbu- Mini Project EXcel Clean'!Q859:Q1858," ",0)</f>
        <v>Low</v>
      </c>
      <c r="H859">
        <f>VLOOKUP(A859,'Subbu- Mini Project EXcel Clean'!A858:R1858,15,FALSE)</f>
        <v>1.5</v>
      </c>
    </row>
    <row r="860" spans="1:8" x14ac:dyDescent="0.25">
      <c r="A860" t="s">
        <v>888</v>
      </c>
      <c r="B860">
        <f>_xlfn.XLOOKUP(A860,'Subbu- Mini Project EXcel Clean'!A860:A1859,'Subbu- Mini Project EXcel Clean'!I860:I1859,"Entry Level",0)</f>
        <v>4</v>
      </c>
      <c r="C860" t="str">
        <f>_xlfn.XLOOKUP(A860,'Subbu- Mini Project EXcel Clean'!A860:A1859,'Subbu- Mini Project EXcel Clean'!J860:J1859," ",0)</f>
        <v>Excellent</v>
      </c>
      <c r="D860">
        <f>_xlfn.XLOOKUP(A860,'Subbu- Mini Project EXcel Clean'!A860:A1859,'Subbu- Mini Project EXcel Clean'!N860:N1859,"entry Level",0)</f>
        <v>6.6</v>
      </c>
      <c r="E860">
        <f>_xlfn.XLOOKUP(A860,'Subbu- Mini Project EXcel Clean'!A860:A1859,'Subbu- Mini Project EXcel Clean'!M860:M1859," ",0)</f>
        <v>84.1</v>
      </c>
      <c r="F860">
        <f>_xlfn.XLOOKUP(A860,'Subbu- Mini Project EXcel Clean'!A860:A1859,'Subbu- Mini Project EXcel Clean'!P860:P1859," ",0)</f>
        <v>4</v>
      </c>
      <c r="G860" t="str">
        <f>_xlfn.XLOOKUP(A860,'Subbu- Mini Project EXcel Clean'!A860:A1859,'Subbu- Mini Project EXcel Clean'!Q860:Q1859," ",0)</f>
        <v>Moderate</v>
      </c>
      <c r="H860">
        <f>VLOOKUP(A860,'Subbu- Mini Project EXcel Clean'!A859:R1859,15,FALSE)</f>
        <v>4.7</v>
      </c>
    </row>
    <row r="861" spans="1:8" x14ac:dyDescent="0.25">
      <c r="A861" t="s">
        <v>889</v>
      </c>
      <c r="B861">
        <f>_xlfn.XLOOKUP(A861,'Subbu- Mini Project EXcel Clean'!A861:A1860,'Subbu- Mini Project EXcel Clean'!I861:I1860,"Entry Level",0)</f>
        <v>3</v>
      </c>
      <c r="C861" t="str">
        <f>_xlfn.XLOOKUP(A861,'Subbu- Mini Project EXcel Clean'!A861:A1860,'Subbu- Mini Project EXcel Clean'!J861:J1860," ",0)</f>
        <v>Excellent</v>
      </c>
      <c r="D861">
        <f>_xlfn.XLOOKUP(A861,'Subbu- Mini Project EXcel Clean'!A861:A1860,'Subbu- Mini Project EXcel Clean'!N861:N1860,"entry Level",0)</f>
        <v>5.3</v>
      </c>
      <c r="E861">
        <f>_xlfn.XLOOKUP(A861,'Subbu- Mini Project EXcel Clean'!A861:A1860,'Subbu- Mini Project EXcel Clean'!M861:M1860," ",0)</f>
        <v>86.5</v>
      </c>
      <c r="F861">
        <f>_xlfn.XLOOKUP(A861,'Subbu- Mini Project EXcel Clean'!A861:A1860,'Subbu- Mini Project EXcel Clean'!P861:P1860," ",0)</f>
        <v>4</v>
      </c>
      <c r="G861" t="str">
        <f>_xlfn.XLOOKUP(A861,'Subbu- Mini Project EXcel Clean'!A861:A1860,'Subbu- Mini Project EXcel Clean'!Q861:Q1860," ",0)</f>
        <v>Moderate</v>
      </c>
      <c r="H861">
        <f>VLOOKUP(A861,'Subbu- Mini Project EXcel Clean'!A860:R1860,15,FALSE)</f>
        <v>5.8</v>
      </c>
    </row>
    <row r="862" spans="1:8" x14ac:dyDescent="0.25">
      <c r="A862" t="s">
        <v>890</v>
      </c>
      <c r="B862">
        <f>_xlfn.XLOOKUP(A862,'Subbu- Mini Project EXcel Clean'!A862:A1861,'Subbu- Mini Project EXcel Clean'!I862:I1861,"Entry Level",0)</f>
        <v>4</v>
      </c>
      <c r="C862" t="str">
        <f>_xlfn.XLOOKUP(A862,'Subbu- Mini Project EXcel Clean'!A862:A1861,'Subbu- Mini Project EXcel Clean'!J862:J1861," ",0)</f>
        <v>Excellent</v>
      </c>
      <c r="D862">
        <f>_xlfn.XLOOKUP(A862,'Subbu- Mini Project EXcel Clean'!A862:A1861,'Subbu- Mini Project EXcel Clean'!N862:N1861,"entry Level",0)</f>
        <v>5.7</v>
      </c>
      <c r="E862">
        <f>_xlfn.XLOOKUP(A862,'Subbu- Mini Project EXcel Clean'!A862:A1861,'Subbu- Mini Project EXcel Clean'!M862:M1861," ",0)</f>
        <v>94.5</v>
      </c>
      <c r="F862">
        <f>_xlfn.XLOOKUP(A862,'Subbu- Mini Project EXcel Clean'!A862:A1861,'Subbu- Mini Project EXcel Clean'!P862:P1861," ",0)</f>
        <v>2</v>
      </c>
      <c r="G862" t="str">
        <f>_xlfn.XLOOKUP(A862,'Subbu- Mini Project EXcel Clean'!A862:A1861,'Subbu- Mini Project EXcel Clean'!Q862:Q1861," ",0)</f>
        <v>Low</v>
      </c>
      <c r="H862">
        <f>VLOOKUP(A862,'Subbu- Mini Project EXcel Clean'!A861:R1861,15,FALSE)</f>
        <v>4.4000000000000004</v>
      </c>
    </row>
    <row r="863" spans="1:8" x14ac:dyDescent="0.25">
      <c r="A863" t="s">
        <v>891</v>
      </c>
      <c r="B863">
        <f>_xlfn.XLOOKUP(A863,'Subbu- Mini Project EXcel Clean'!A863:A1862,'Subbu- Mini Project EXcel Clean'!I863:I1862,"Entry Level",0)</f>
        <v>4</v>
      </c>
      <c r="C863" t="str">
        <f>_xlfn.XLOOKUP(A863,'Subbu- Mini Project EXcel Clean'!A863:A1862,'Subbu- Mini Project EXcel Clean'!J863:J1862," ",0)</f>
        <v>Excellent</v>
      </c>
      <c r="D863">
        <f>_xlfn.XLOOKUP(A863,'Subbu- Mini Project EXcel Clean'!A863:A1862,'Subbu- Mini Project EXcel Clean'!N863:N1862,"entry Level",0)</f>
        <v>6.6</v>
      </c>
      <c r="E863">
        <f>_xlfn.XLOOKUP(A863,'Subbu- Mini Project EXcel Clean'!A863:A1862,'Subbu- Mini Project EXcel Clean'!M863:M1862," ",0)</f>
        <v>86.9</v>
      </c>
      <c r="F863">
        <f>_xlfn.XLOOKUP(A863,'Subbu- Mini Project EXcel Clean'!A863:A1862,'Subbu- Mini Project EXcel Clean'!P863:P1862," ",0)</f>
        <v>4</v>
      </c>
      <c r="G863" t="str">
        <f>_xlfn.XLOOKUP(A863,'Subbu- Mini Project EXcel Clean'!A863:A1862,'Subbu- Mini Project EXcel Clean'!Q863:Q1862," ",0)</f>
        <v>Moderate</v>
      </c>
      <c r="H863">
        <f>VLOOKUP(A863,'Subbu- Mini Project EXcel Clean'!A862:R1862,15,FALSE)</f>
        <v>3.9</v>
      </c>
    </row>
    <row r="864" spans="1:8" x14ac:dyDescent="0.25">
      <c r="A864" t="s">
        <v>892</v>
      </c>
      <c r="B864">
        <f>_xlfn.XLOOKUP(A864,'Subbu- Mini Project EXcel Clean'!A864:A1863,'Subbu- Mini Project EXcel Clean'!I864:I1863,"Entry Level",0)</f>
        <v>2</v>
      </c>
      <c r="C864" t="str">
        <f>_xlfn.XLOOKUP(A864,'Subbu- Mini Project EXcel Clean'!A864:A1863,'Subbu- Mini Project EXcel Clean'!J864:J1863," ",0)</f>
        <v>Consistent</v>
      </c>
      <c r="D864">
        <f>_xlfn.XLOOKUP(A864,'Subbu- Mini Project EXcel Clean'!A864:A1863,'Subbu- Mini Project EXcel Clean'!N864:N1863,"entry Level",0)</f>
        <v>6.8</v>
      </c>
      <c r="E864">
        <f>_xlfn.XLOOKUP(A864,'Subbu- Mini Project EXcel Clean'!A864:A1863,'Subbu- Mini Project EXcel Clean'!M864:M1863," ",0)</f>
        <v>64.400000000000006</v>
      </c>
      <c r="F864">
        <f>_xlfn.XLOOKUP(A864,'Subbu- Mini Project EXcel Clean'!A864:A1863,'Subbu- Mini Project EXcel Clean'!P864:P1863," ",0)</f>
        <v>5</v>
      </c>
      <c r="G864" t="str">
        <f>_xlfn.XLOOKUP(A864,'Subbu- Mini Project EXcel Clean'!A864:A1863,'Subbu- Mini Project EXcel Clean'!Q864:Q1863," ",0)</f>
        <v>Moderate</v>
      </c>
      <c r="H864">
        <f>VLOOKUP(A864,'Subbu- Mini Project EXcel Clean'!A863:R1863,15,FALSE)</f>
        <v>5.7</v>
      </c>
    </row>
    <row r="865" spans="1:8" x14ac:dyDescent="0.25">
      <c r="A865" t="s">
        <v>893</v>
      </c>
      <c r="B865">
        <f>_xlfn.XLOOKUP(A865,'Subbu- Mini Project EXcel Clean'!A865:A1864,'Subbu- Mini Project EXcel Clean'!I865:I1864,"Entry Level",0)</f>
        <v>2</v>
      </c>
      <c r="C865" t="str">
        <f>_xlfn.XLOOKUP(A865,'Subbu- Mini Project EXcel Clean'!A865:A1864,'Subbu- Mini Project EXcel Clean'!J865:J1864," ",0)</f>
        <v>Consistent</v>
      </c>
      <c r="D865">
        <f>_xlfn.XLOOKUP(A865,'Subbu- Mini Project EXcel Clean'!A865:A1864,'Subbu- Mini Project EXcel Clean'!N865:N1864,"entry Level",0)</f>
        <v>7.4</v>
      </c>
      <c r="E865">
        <f>_xlfn.XLOOKUP(A865,'Subbu- Mini Project EXcel Clean'!A865:A1864,'Subbu- Mini Project EXcel Clean'!M865:M1864," ",0)</f>
        <v>65.2</v>
      </c>
      <c r="F865">
        <f>_xlfn.XLOOKUP(A865,'Subbu- Mini Project EXcel Clean'!A865:A1864,'Subbu- Mini Project EXcel Clean'!P865:P1864," ",0)</f>
        <v>4</v>
      </c>
      <c r="G865" t="str">
        <f>_xlfn.XLOOKUP(A865,'Subbu- Mini Project EXcel Clean'!A865:A1864,'Subbu- Mini Project EXcel Clean'!Q865:Q1864," ",0)</f>
        <v>Moderate</v>
      </c>
      <c r="H865">
        <f>VLOOKUP(A865,'Subbu- Mini Project EXcel Clean'!A864:R1864,15,FALSE)</f>
        <v>3.2</v>
      </c>
    </row>
    <row r="866" spans="1:8" x14ac:dyDescent="0.25">
      <c r="A866" t="s">
        <v>894</v>
      </c>
      <c r="B866">
        <f>_xlfn.XLOOKUP(A866,'Subbu- Mini Project EXcel Clean'!A866:A1865,'Subbu- Mini Project EXcel Clean'!I866:I1865,"Entry Level",0)</f>
        <v>2</v>
      </c>
      <c r="C866" t="str">
        <f>_xlfn.XLOOKUP(A866,'Subbu- Mini Project EXcel Clean'!A866:A1865,'Subbu- Mini Project EXcel Clean'!J866:J1865," ",0)</f>
        <v>Consistent</v>
      </c>
      <c r="D866">
        <f>_xlfn.XLOOKUP(A866,'Subbu- Mini Project EXcel Clean'!A866:A1865,'Subbu- Mini Project EXcel Clean'!N866:N1865,"entry Level",0)</f>
        <v>7.3</v>
      </c>
      <c r="E866">
        <f>_xlfn.XLOOKUP(A866,'Subbu- Mini Project EXcel Clean'!A866:A1865,'Subbu- Mini Project EXcel Clean'!M866:M1865," ",0)</f>
        <v>61.6</v>
      </c>
      <c r="F866">
        <f>_xlfn.XLOOKUP(A866,'Subbu- Mini Project EXcel Clean'!A866:A1865,'Subbu- Mini Project EXcel Clean'!P866:P1865," ",0)</f>
        <v>4</v>
      </c>
      <c r="G866" t="str">
        <f>_xlfn.XLOOKUP(A866,'Subbu- Mini Project EXcel Clean'!A866:A1865,'Subbu- Mini Project EXcel Clean'!Q866:Q1865," ",0)</f>
        <v>Moderate</v>
      </c>
      <c r="H866">
        <f>VLOOKUP(A866,'Subbu- Mini Project EXcel Clean'!A865:R1865,15,FALSE)</f>
        <v>4</v>
      </c>
    </row>
    <row r="867" spans="1:8" x14ac:dyDescent="0.25">
      <c r="A867" t="s">
        <v>895</v>
      </c>
      <c r="B867">
        <f>_xlfn.XLOOKUP(A867,'Subbu- Mini Project EXcel Clean'!A867:A1866,'Subbu- Mini Project EXcel Clean'!I867:I1866,"Entry Level",0)</f>
        <v>2</v>
      </c>
      <c r="C867" t="str">
        <f>_xlfn.XLOOKUP(A867,'Subbu- Mini Project EXcel Clean'!A867:A1866,'Subbu- Mini Project EXcel Clean'!J867:J1866," ",0)</f>
        <v>Consistent</v>
      </c>
      <c r="D867">
        <f>_xlfn.XLOOKUP(A867,'Subbu- Mini Project EXcel Clean'!A867:A1866,'Subbu- Mini Project EXcel Clean'!N867:N1866,"entry Level",0)</f>
        <v>6.5</v>
      </c>
      <c r="E867">
        <f>_xlfn.XLOOKUP(A867,'Subbu- Mini Project EXcel Clean'!A867:A1866,'Subbu- Mini Project EXcel Clean'!M867:M1866," ",0)</f>
        <v>62.1</v>
      </c>
      <c r="F867">
        <f>_xlfn.XLOOKUP(A867,'Subbu- Mini Project EXcel Clean'!A867:A1866,'Subbu- Mini Project EXcel Clean'!P867:P1866," ",0)</f>
        <v>7</v>
      </c>
      <c r="G867" t="str">
        <f>_xlfn.XLOOKUP(A867,'Subbu- Mini Project EXcel Clean'!A867:A1866,'Subbu- Mini Project EXcel Clean'!Q867:Q1866," ",0)</f>
        <v>High</v>
      </c>
      <c r="H867">
        <f>VLOOKUP(A867,'Subbu- Mini Project EXcel Clean'!A866:R1866,15,FALSE)</f>
        <v>3.4</v>
      </c>
    </row>
    <row r="868" spans="1:8" x14ac:dyDescent="0.25">
      <c r="A868" t="s">
        <v>896</v>
      </c>
      <c r="B868">
        <f>_xlfn.XLOOKUP(A868,'Subbu- Mini Project EXcel Clean'!A868:A1867,'Subbu- Mini Project EXcel Clean'!I868:I1867,"Entry Level",0)</f>
        <v>4</v>
      </c>
      <c r="C868" t="str">
        <f>_xlfn.XLOOKUP(A868,'Subbu- Mini Project EXcel Clean'!A868:A1867,'Subbu- Mini Project EXcel Clean'!J868:J1867," ",0)</f>
        <v>Excellent</v>
      </c>
      <c r="D868">
        <f>_xlfn.XLOOKUP(A868,'Subbu- Mini Project EXcel Clean'!A868:A1867,'Subbu- Mini Project EXcel Clean'!N868:N1867,"entry Level",0)</f>
        <v>7.1</v>
      </c>
      <c r="E868">
        <f>_xlfn.XLOOKUP(A868,'Subbu- Mini Project EXcel Clean'!A868:A1867,'Subbu- Mini Project EXcel Clean'!M868:M1867," ",0)</f>
        <v>87.6</v>
      </c>
      <c r="F868">
        <f>_xlfn.XLOOKUP(A868,'Subbu- Mini Project EXcel Clean'!A868:A1867,'Subbu- Mini Project EXcel Clean'!P868:P1867," ",0)</f>
        <v>1</v>
      </c>
      <c r="G868" t="str">
        <f>_xlfn.XLOOKUP(A868,'Subbu- Mini Project EXcel Clean'!A868:A1867,'Subbu- Mini Project EXcel Clean'!Q868:Q1867," ",0)</f>
        <v>Low</v>
      </c>
      <c r="H868">
        <f>VLOOKUP(A868,'Subbu- Mini Project EXcel Clean'!A867:R1867,15,FALSE)</f>
        <v>5.7</v>
      </c>
    </row>
    <row r="869" spans="1:8" x14ac:dyDescent="0.25">
      <c r="A869" t="s">
        <v>897</v>
      </c>
      <c r="B869">
        <f>_xlfn.XLOOKUP(A869,'Subbu- Mini Project EXcel Clean'!A869:A1868,'Subbu- Mini Project EXcel Clean'!I869:I1868,"Entry Level",0)</f>
        <v>4</v>
      </c>
      <c r="C869" t="str">
        <f>_xlfn.XLOOKUP(A869,'Subbu- Mini Project EXcel Clean'!A869:A1868,'Subbu- Mini Project EXcel Clean'!J869:J1868," ",0)</f>
        <v>Good</v>
      </c>
      <c r="D869">
        <f>_xlfn.XLOOKUP(A869,'Subbu- Mini Project EXcel Clean'!A869:A1868,'Subbu- Mini Project EXcel Clean'!N869:N1868,"entry Level",0)</f>
        <v>7.1</v>
      </c>
      <c r="E869">
        <f>_xlfn.XLOOKUP(A869,'Subbu- Mini Project EXcel Clean'!A869:A1868,'Subbu- Mini Project EXcel Clean'!M869:M1868," ",0)</f>
        <v>92.6</v>
      </c>
      <c r="F869">
        <f>_xlfn.XLOOKUP(A869,'Subbu- Mini Project EXcel Clean'!A869:A1868,'Subbu- Mini Project EXcel Clean'!P869:P1868," ",0)</f>
        <v>1</v>
      </c>
      <c r="G869" t="str">
        <f>_xlfn.XLOOKUP(A869,'Subbu- Mini Project EXcel Clean'!A869:A1868,'Subbu- Mini Project EXcel Clean'!Q869:Q1868," ",0)</f>
        <v>Low</v>
      </c>
      <c r="H869">
        <f>VLOOKUP(A869,'Subbu- Mini Project EXcel Clean'!A868:R1868,15,FALSE)</f>
        <v>1.4</v>
      </c>
    </row>
    <row r="870" spans="1:8" x14ac:dyDescent="0.25">
      <c r="A870" t="s">
        <v>898</v>
      </c>
      <c r="B870">
        <f>_xlfn.XLOOKUP(A870,'Subbu- Mini Project EXcel Clean'!A870:A1869,'Subbu- Mini Project EXcel Clean'!I870:I1869,"Entry Level",0)</f>
        <v>5</v>
      </c>
      <c r="C870" t="str">
        <f>_xlfn.XLOOKUP(A870,'Subbu- Mini Project EXcel Clean'!A870:A1869,'Subbu- Mini Project EXcel Clean'!J870:J1869," ",0)</f>
        <v>Good</v>
      </c>
      <c r="D870">
        <f>_xlfn.XLOOKUP(A870,'Subbu- Mini Project EXcel Clean'!A870:A1869,'Subbu- Mini Project EXcel Clean'!N870:N1869,"entry Level",0)</f>
        <v>7.1</v>
      </c>
      <c r="E870">
        <f>_xlfn.XLOOKUP(A870,'Subbu- Mini Project EXcel Clean'!A870:A1869,'Subbu- Mini Project EXcel Clean'!M870:M1869," ",0)</f>
        <v>101.9</v>
      </c>
      <c r="F870">
        <f>_xlfn.XLOOKUP(A870,'Subbu- Mini Project EXcel Clean'!A870:A1869,'Subbu- Mini Project EXcel Clean'!P870:P1869," ",0)</f>
        <v>3</v>
      </c>
      <c r="G870" t="str">
        <f>_xlfn.XLOOKUP(A870,'Subbu- Mini Project EXcel Clean'!A870:A1869,'Subbu- Mini Project EXcel Clean'!Q870:Q1869," ",0)</f>
        <v>Moderate</v>
      </c>
      <c r="H870">
        <f>VLOOKUP(A870,'Subbu- Mini Project EXcel Clean'!A869:R1869,15,FALSE)</f>
        <v>3.5</v>
      </c>
    </row>
    <row r="871" spans="1:8" x14ac:dyDescent="0.25">
      <c r="A871" t="s">
        <v>899</v>
      </c>
      <c r="B871">
        <f>_xlfn.XLOOKUP(A871,'Subbu- Mini Project EXcel Clean'!A871:A1870,'Subbu- Mini Project EXcel Clean'!I871:I1870,"Entry Level",0)</f>
        <v>4</v>
      </c>
      <c r="C871" t="str">
        <f>_xlfn.XLOOKUP(A871,'Subbu- Mini Project EXcel Clean'!A871:A1870,'Subbu- Mini Project EXcel Clean'!J871:J1870," ",0)</f>
        <v>Excellent</v>
      </c>
      <c r="D871">
        <f>_xlfn.XLOOKUP(A871,'Subbu- Mini Project EXcel Clean'!A871:A1870,'Subbu- Mini Project EXcel Clean'!N871:N1870,"entry Level",0)</f>
        <v>6.7</v>
      </c>
      <c r="E871">
        <f>_xlfn.XLOOKUP(A871,'Subbu- Mini Project EXcel Clean'!A871:A1870,'Subbu- Mini Project EXcel Clean'!M871:M1870," ",0)</f>
        <v>82.1</v>
      </c>
      <c r="F871">
        <f>_xlfn.XLOOKUP(A871,'Subbu- Mini Project EXcel Clean'!A871:A1870,'Subbu- Mini Project EXcel Clean'!P871:P1870," ",0)</f>
        <v>6</v>
      </c>
      <c r="G871" t="str">
        <f>_xlfn.XLOOKUP(A871,'Subbu- Mini Project EXcel Clean'!A871:A1870,'Subbu- Mini Project EXcel Clean'!Q871:Q1870," ",0)</f>
        <v>High</v>
      </c>
      <c r="H871">
        <f>VLOOKUP(A871,'Subbu- Mini Project EXcel Clean'!A870:R1870,15,FALSE)</f>
        <v>4.4000000000000004</v>
      </c>
    </row>
    <row r="872" spans="1:8" x14ac:dyDescent="0.25">
      <c r="A872" t="s">
        <v>900</v>
      </c>
      <c r="B872">
        <f>_xlfn.XLOOKUP(A872,'Subbu- Mini Project EXcel Clean'!A872:A1871,'Subbu- Mini Project EXcel Clean'!I872:I1871,"Entry Level",0)</f>
        <v>2</v>
      </c>
      <c r="C872" t="str">
        <f>_xlfn.XLOOKUP(A872,'Subbu- Mini Project EXcel Clean'!A872:A1871,'Subbu- Mini Project EXcel Clean'!J872:J1871," ",0)</f>
        <v>Consistent</v>
      </c>
      <c r="D872">
        <f>_xlfn.XLOOKUP(A872,'Subbu- Mini Project EXcel Clean'!A872:A1871,'Subbu- Mini Project EXcel Clean'!N872:N1871,"entry Level",0)</f>
        <v>6.4</v>
      </c>
      <c r="E872">
        <f>_xlfn.XLOOKUP(A872,'Subbu- Mini Project EXcel Clean'!A872:A1871,'Subbu- Mini Project EXcel Clean'!M872:M1871," ",0)</f>
        <v>67.099999999999994</v>
      </c>
      <c r="F872">
        <f>_xlfn.XLOOKUP(A872,'Subbu- Mini Project EXcel Clean'!A872:A1871,'Subbu- Mini Project EXcel Clean'!P872:P1871," ",0)</f>
        <v>1</v>
      </c>
      <c r="G872" t="str">
        <f>_xlfn.XLOOKUP(A872,'Subbu- Mini Project EXcel Clean'!A872:A1871,'Subbu- Mini Project EXcel Clean'!Q872:Q1871," ",0)</f>
        <v>Low</v>
      </c>
      <c r="H872">
        <f>VLOOKUP(A872,'Subbu- Mini Project EXcel Clean'!A871:R1871,15,FALSE)</f>
        <v>5</v>
      </c>
    </row>
    <row r="873" spans="1:8" x14ac:dyDescent="0.25">
      <c r="A873" t="s">
        <v>901</v>
      </c>
      <c r="B873">
        <f>_xlfn.XLOOKUP(A873,'Subbu- Mini Project EXcel Clean'!A873:A1872,'Subbu- Mini Project EXcel Clean'!I873:I1872,"Entry Level",0)</f>
        <v>1</v>
      </c>
      <c r="C873" t="str">
        <f>_xlfn.XLOOKUP(A873,'Subbu- Mini Project EXcel Clean'!A873:A1872,'Subbu- Mini Project EXcel Clean'!J873:J1872," ",0)</f>
        <v>Consistent</v>
      </c>
      <c r="D873">
        <f>_xlfn.XLOOKUP(A873,'Subbu- Mini Project EXcel Clean'!A873:A1872,'Subbu- Mini Project EXcel Clean'!N873:N1872,"entry Level",0)</f>
        <v>7.5</v>
      </c>
      <c r="E873">
        <f>_xlfn.XLOOKUP(A873,'Subbu- Mini Project EXcel Clean'!A873:A1872,'Subbu- Mini Project EXcel Clean'!M873:M1872," ",0)</f>
        <v>70.099999999999994</v>
      </c>
      <c r="F873">
        <f>_xlfn.XLOOKUP(A873,'Subbu- Mini Project EXcel Clean'!A873:A1872,'Subbu- Mini Project EXcel Clean'!P873:P1872," ",0)</f>
        <v>5</v>
      </c>
      <c r="G873" t="str">
        <f>_xlfn.XLOOKUP(A873,'Subbu- Mini Project EXcel Clean'!A873:A1872,'Subbu- Mini Project EXcel Clean'!Q873:Q1872," ",0)</f>
        <v>Moderate</v>
      </c>
      <c r="H873">
        <f>VLOOKUP(A873,'Subbu- Mini Project EXcel Clean'!A872:R1872,15,FALSE)</f>
        <v>3.9</v>
      </c>
    </row>
    <row r="874" spans="1:8" x14ac:dyDescent="0.25">
      <c r="A874" t="s">
        <v>902</v>
      </c>
      <c r="B874">
        <f>_xlfn.XLOOKUP(A874,'Subbu- Mini Project EXcel Clean'!A874:A1873,'Subbu- Mini Project EXcel Clean'!I874:I1873,"Entry Level",0)</f>
        <v>4</v>
      </c>
      <c r="C874" t="str">
        <f>_xlfn.XLOOKUP(A874,'Subbu- Mini Project EXcel Clean'!A874:A1873,'Subbu- Mini Project EXcel Clean'!J874:J1873," ",0)</f>
        <v>Good</v>
      </c>
      <c r="D874">
        <f>_xlfn.XLOOKUP(A874,'Subbu- Mini Project EXcel Clean'!A874:A1873,'Subbu- Mini Project EXcel Clean'!N874:N1873,"entry Level",0)</f>
        <v>6</v>
      </c>
      <c r="E874">
        <f>_xlfn.XLOOKUP(A874,'Subbu- Mini Project EXcel Clean'!A874:A1873,'Subbu- Mini Project EXcel Clean'!M874:M1873," ",0)</f>
        <v>94.2</v>
      </c>
      <c r="F874">
        <f>_xlfn.XLOOKUP(A874,'Subbu- Mini Project EXcel Clean'!A874:A1873,'Subbu- Mini Project EXcel Clean'!P874:P1873," ",0)</f>
        <v>3</v>
      </c>
      <c r="G874" t="str">
        <f>_xlfn.XLOOKUP(A874,'Subbu- Mini Project EXcel Clean'!A874:A1873,'Subbu- Mini Project EXcel Clean'!Q874:Q1873," ",0)</f>
        <v>Moderate</v>
      </c>
      <c r="H874">
        <f>VLOOKUP(A874,'Subbu- Mini Project EXcel Clean'!A873:R1873,15,FALSE)</f>
        <v>5.5</v>
      </c>
    </row>
    <row r="875" spans="1:8" x14ac:dyDescent="0.25">
      <c r="A875" t="s">
        <v>903</v>
      </c>
      <c r="B875">
        <f>_xlfn.XLOOKUP(A875,'Subbu- Mini Project EXcel Clean'!A875:A1874,'Subbu- Mini Project EXcel Clean'!I875:I1874,"Entry Level",0)</f>
        <v>3</v>
      </c>
      <c r="C875" t="str">
        <f>_xlfn.XLOOKUP(A875,'Subbu- Mini Project EXcel Clean'!A875:A1874,'Subbu- Mini Project EXcel Clean'!J875:J1874," ",0)</f>
        <v>Excellent</v>
      </c>
      <c r="D875">
        <f>_xlfn.XLOOKUP(A875,'Subbu- Mini Project EXcel Clean'!A875:A1874,'Subbu- Mini Project EXcel Clean'!N875:N1874,"entry Level",0)</f>
        <v>5.6</v>
      </c>
      <c r="E875">
        <f>_xlfn.XLOOKUP(A875,'Subbu- Mini Project EXcel Clean'!A875:A1874,'Subbu- Mini Project EXcel Clean'!M875:M1874," ",0)</f>
        <v>82.9</v>
      </c>
      <c r="F875">
        <f>_xlfn.XLOOKUP(A875,'Subbu- Mini Project EXcel Clean'!A875:A1874,'Subbu- Mini Project EXcel Clean'!P875:P1874," ",0)</f>
        <v>6</v>
      </c>
      <c r="G875" t="str">
        <f>_xlfn.XLOOKUP(A875,'Subbu- Mini Project EXcel Clean'!A875:A1874,'Subbu- Mini Project EXcel Clean'!Q875:Q1874," ",0)</f>
        <v>Moderate</v>
      </c>
      <c r="H875">
        <f>VLOOKUP(A875,'Subbu- Mini Project EXcel Clean'!A874:R1874,15,FALSE)</f>
        <v>5.7</v>
      </c>
    </row>
    <row r="876" spans="1:8" x14ac:dyDescent="0.25">
      <c r="A876" t="s">
        <v>904</v>
      </c>
      <c r="B876">
        <f>_xlfn.XLOOKUP(A876,'Subbu- Mini Project EXcel Clean'!A876:A1875,'Subbu- Mini Project EXcel Clean'!I876:I1875,"Entry Level",0)</f>
        <v>4</v>
      </c>
      <c r="C876" t="str">
        <f>_xlfn.XLOOKUP(A876,'Subbu- Mini Project EXcel Clean'!A876:A1875,'Subbu- Mini Project EXcel Clean'!J876:J1875," ",0)</f>
        <v>Excellent</v>
      </c>
      <c r="D876">
        <f>_xlfn.XLOOKUP(A876,'Subbu- Mini Project EXcel Clean'!A876:A1875,'Subbu- Mini Project EXcel Clean'!N876:N1875,"entry Level",0)</f>
        <v>7.6</v>
      </c>
      <c r="E876">
        <f>_xlfn.XLOOKUP(A876,'Subbu- Mini Project EXcel Clean'!A876:A1875,'Subbu- Mini Project EXcel Clean'!M876:M1875," ",0)</f>
        <v>81.7</v>
      </c>
      <c r="F876">
        <f>_xlfn.XLOOKUP(A876,'Subbu- Mini Project EXcel Clean'!A876:A1875,'Subbu- Mini Project EXcel Clean'!P876:P1875," ",0)</f>
        <v>4</v>
      </c>
      <c r="G876" t="str">
        <f>_xlfn.XLOOKUP(A876,'Subbu- Mini Project EXcel Clean'!A876:A1875,'Subbu- Mini Project EXcel Clean'!Q876:Q1875," ",0)</f>
        <v>Moderate</v>
      </c>
      <c r="H876">
        <f>VLOOKUP(A876,'Subbu- Mini Project EXcel Clean'!A875:R1875,15,FALSE)</f>
        <v>1.3</v>
      </c>
    </row>
    <row r="877" spans="1:8" x14ac:dyDescent="0.25">
      <c r="A877" t="s">
        <v>905</v>
      </c>
      <c r="B877">
        <f>_xlfn.XLOOKUP(A877,'Subbu- Mini Project EXcel Clean'!A877:A1876,'Subbu- Mini Project EXcel Clean'!I877:I1876,"Entry Level",0)</f>
        <v>4</v>
      </c>
      <c r="C877" t="str">
        <f>_xlfn.XLOOKUP(A877,'Subbu- Mini Project EXcel Clean'!A877:A1876,'Subbu- Mini Project EXcel Clean'!J877:J1876," ",0)</f>
        <v>Good</v>
      </c>
      <c r="D877">
        <f>_xlfn.XLOOKUP(A877,'Subbu- Mini Project EXcel Clean'!A877:A1876,'Subbu- Mini Project EXcel Clean'!N877:N1876,"entry Level",0)</f>
        <v>6.9</v>
      </c>
      <c r="E877">
        <f>_xlfn.XLOOKUP(A877,'Subbu- Mini Project EXcel Clean'!A877:A1876,'Subbu- Mini Project EXcel Clean'!M877:M1876," ",0)</f>
        <v>88.1</v>
      </c>
      <c r="F877">
        <f>_xlfn.XLOOKUP(A877,'Subbu- Mini Project EXcel Clean'!A877:A1876,'Subbu- Mini Project EXcel Clean'!P877:P1876," ",0)</f>
        <v>1</v>
      </c>
      <c r="G877" t="str">
        <f>_xlfn.XLOOKUP(A877,'Subbu- Mini Project EXcel Clean'!A877:A1876,'Subbu- Mini Project EXcel Clean'!Q877:Q1876," ",0)</f>
        <v>Low</v>
      </c>
      <c r="H877">
        <f>VLOOKUP(A877,'Subbu- Mini Project EXcel Clean'!A876:R1876,15,FALSE)</f>
        <v>3</v>
      </c>
    </row>
    <row r="878" spans="1:8" x14ac:dyDescent="0.25">
      <c r="A878" t="s">
        <v>906</v>
      </c>
      <c r="B878">
        <f>_xlfn.XLOOKUP(A878,'Subbu- Mini Project EXcel Clean'!A878:A1877,'Subbu- Mini Project EXcel Clean'!I878:I1877,"Entry Level",0)</f>
        <v>4</v>
      </c>
      <c r="C878" t="str">
        <f>_xlfn.XLOOKUP(A878,'Subbu- Mini Project EXcel Clean'!A878:A1877,'Subbu- Mini Project EXcel Clean'!J878:J1877," ",0)</f>
        <v>Excellent</v>
      </c>
      <c r="D878">
        <f>_xlfn.XLOOKUP(A878,'Subbu- Mini Project EXcel Clean'!A878:A1877,'Subbu- Mini Project EXcel Clean'!N878:N1877,"entry Level",0)</f>
        <v>9.4</v>
      </c>
      <c r="E878">
        <f>_xlfn.XLOOKUP(A878,'Subbu- Mini Project EXcel Clean'!A878:A1877,'Subbu- Mini Project EXcel Clean'!M878:M1877," ",0)</f>
        <v>83.9</v>
      </c>
      <c r="F878">
        <f>_xlfn.XLOOKUP(A878,'Subbu- Mini Project EXcel Clean'!A878:A1877,'Subbu- Mini Project EXcel Clean'!P878:P1877," ",0)</f>
        <v>3</v>
      </c>
      <c r="G878" t="str">
        <f>_xlfn.XLOOKUP(A878,'Subbu- Mini Project EXcel Clean'!A878:A1877,'Subbu- Mini Project EXcel Clean'!Q878:Q1877," ",0)</f>
        <v>Low</v>
      </c>
      <c r="H878">
        <f>VLOOKUP(A878,'Subbu- Mini Project EXcel Clean'!A877:R1877,15,FALSE)</f>
        <v>1.1000000000000001</v>
      </c>
    </row>
    <row r="879" spans="1:8" x14ac:dyDescent="0.25">
      <c r="A879" t="s">
        <v>907</v>
      </c>
      <c r="B879">
        <f>_xlfn.XLOOKUP(A879,'Subbu- Mini Project EXcel Clean'!A879:A1878,'Subbu- Mini Project EXcel Clean'!I879:I1878,"Entry Level",0)</f>
        <v>4</v>
      </c>
      <c r="C879" t="str">
        <f>_xlfn.XLOOKUP(A879,'Subbu- Mini Project EXcel Clean'!A879:A1878,'Subbu- Mini Project EXcel Clean'!J879:J1878," ",0)</f>
        <v>Good</v>
      </c>
      <c r="D879">
        <f>_xlfn.XLOOKUP(A879,'Subbu- Mini Project EXcel Clean'!A879:A1878,'Subbu- Mini Project EXcel Clean'!N879:N1878,"entry Level",0)</f>
        <v>7.5</v>
      </c>
      <c r="E879">
        <f>_xlfn.XLOOKUP(A879,'Subbu- Mini Project EXcel Clean'!A879:A1878,'Subbu- Mini Project EXcel Clean'!M879:M1878," ",0)</f>
        <v>90.7</v>
      </c>
      <c r="F879">
        <f>_xlfn.XLOOKUP(A879,'Subbu- Mini Project EXcel Clean'!A879:A1878,'Subbu- Mini Project EXcel Clean'!P879:P1878," ",0)</f>
        <v>5</v>
      </c>
      <c r="G879" t="str">
        <f>_xlfn.XLOOKUP(A879,'Subbu- Mini Project EXcel Clean'!A879:A1878,'Subbu- Mini Project EXcel Clean'!Q879:Q1878," ",0)</f>
        <v>Moderate</v>
      </c>
      <c r="H879">
        <f>VLOOKUP(A879,'Subbu- Mini Project EXcel Clean'!A878:R1878,15,FALSE)</f>
        <v>2.6</v>
      </c>
    </row>
    <row r="880" spans="1:8" x14ac:dyDescent="0.25">
      <c r="A880" t="s">
        <v>908</v>
      </c>
      <c r="B880">
        <f>_xlfn.XLOOKUP(A880,'Subbu- Mini Project EXcel Clean'!A880:A1879,'Subbu- Mini Project EXcel Clean'!I880:I1879,"Entry Level",0)</f>
        <v>1</v>
      </c>
      <c r="C880" t="str">
        <f>_xlfn.XLOOKUP(A880,'Subbu- Mini Project EXcel Clean'!A880:A1879,'Subbu- Mini Project EXcel Clean'!J880:J1879," ",0)</f>
        <v>Consistent</v>
      </c>
      <c r="D880">
        <f>_xlfn.XLOOKUP(A880,'Subbu- Mini Project EXcel Clean'!A880:A1879,'Subbu- Mini Project EXcel Clean'!N880:N1879,"entry Level",0)</f>
        <v>6.7</v>
      </c>
      <c r="E880">
        <f>_xlfn.XLOOKUP(A880,'Subbu- Mini Project EXcel Clean'!A880:A1879,'Subbu- Mini Project EXcel Clean'!M880:M1879," ",0)</f>
        <v>66</v>
      </c>
      <c r="F880">
        <f>_xlfn.XLOOKUP(A880,'Subbu- Mini Project EXcel Clean'!A880:A1879,'Subbu- Mini Project EXcel Clean'!P880:P1879," ",0)</f>
        <v>3</v>
      </c>
      <c r="G880" t="str">
        <f>_xlfn.XLOOKUP(A880,'Subbu- Mini Project EXcel Clean'!A880:A1879,'Subbu- Mini Project EXcel Clean'!Q880:Q1879," ",0)</f>
        <v>Moderate</v>
      </c>
      <c r="H880">
        <f>VLOOKUP(A880,'Subbu- Mini Project EXcel Clean'!A879:R1879,15,FALSE)</f>
        <v>3.7</v>
      </c>
    </row>
    <row r="881" spans="1:8" x14ac:dyDescent="0.25">
      <c r="A881" t="s">
        <v>909</v>
      </c>
      <c r="B881">
        <f>_xlfn.XLOOKUP(A881,'Subbu- Mini Project EXcel Clean'!A881:A1880,'Subbu- Mini Project EXcel Clean'!I881:I1880,"Entry Level",0)</f>
        <v>4</v>
      </c>
      <c r="C881" t="str">
        <f>_xlfn.XLOOKUP(A881,'Subbu- Mini Project EXcel Clean'!A881:A1880,'Subbu- Mini Project EXcel Clean'!J881:J1880," ",0)</f>
        <v>Excellent</v>
      </c>
      <c r="D881">
        <f>_xlfn.XLOOKUP(A881,'Subbu- Mini Project EXcel Clean'!A881:A1880,'Subbu- Mini Project EXcel Clean'!N881:N1880,"entry Level",0)</f>
        <v>5.8</v>
      </c>
      <c r="E881">
        <f>_xlfn.XLOOKUP(A881,'Subbu- Mini Project EXcel Clean'!A881:A1880,'Subbu- Mini Project EXcel Clean'!M881:M1880," ",0)</f>
        <v>88.8</v>
      </c>
      <c r="F881">
        <f>_xlfn.XLOOKUP(A881,'Subbu- Mini Project EXcel Clean'!A881:A1880,'Subbu- Mini Project EXcel Clean'!P881:P1880," ",0)</f>
        <v>5</v>
      </c>
      <c r="G881" t="str">
        <f>_xlfn.XLOOKUP(A881,'Subbu- Mini Project EXcel Clean'!A881:A1880,'Subbu- Mini Project EXcel Clean'!Q881:Q1880," ",0)</f>
        <v>Moderate</v>
      </c>
      <c r="H881">
        <f>VLOOKUP(A881,'Subbu- Mini Project EXcel Clean'!A880:R1880,15,FALSE)</f>
        <v>5.6</v>
      </c>
    </row>
    <row r="882" spans="1:8" x14ac:dyDescent="0.25">
      <c r="A882" t="s">
        <v>910</v>
      </c>
      <c r="B882">
        <f>_xlfn.XLOOKUP(A882,'Subbu- Mini Project EXcel Clean'!A882:A1881,'Subbu- Mini Project EXcel Clean'!I882:I1881,"Entry Level",0)</f>
        <v>4</v>
      </c>
      <c r="C882" t="str">
        <f>_xlfn.XLOOKUP(A882,'Subbu- Mini Project EXcel Clean'!A882:A1881,'Subbu- Mini Project EXcel Clean'!J882:J1881," ",0)</f>
        <v>Good</v>
      </c>
      <c r="D882">
        <f>_xlfn.XLOOKUP(A882,'Subbu- Mini Project EXcel Clean'!A882:A1881,'Subbu- Mini Project EXcel Clean'!N882:N1881,"entry Level",0)</f>
        <v>5.5</v>
      </c>
      <c r="E882">
        <f>_xlfn.XLOOKUP(A882,'Subbu- Mini Project EXcel Clean'!A882:A1881,'Subbu- Mini Project EXcel Clean'!M882:M1881," ",0)</f>
        <v>87.3</v>
      </c>
      <c r="F882">
        <f>_xlfn.XLOOKUP(A882,'Subbu- Mini Project EXcel Clean'!A882:A1881,'Subbu- Mini Project EXcel Clean'!P882:P1881," ",0)</f>
        <v>7</v>
      </c>
      <c r="G882" t="str">
        <f>_xlfn.XLOOKUP(A882,'Subbu- Mini Project EXcel Clean'!A882:A1881,'Subbu- Mini Project EXcel Clean'!Q882:Q1881," ",0)</f>
        <v>High</v>
      </c>
      <c r="H882">
        <f>VLOOKUP(A882,'Subbu- Mini Project EXcel Clean'!A881:R1881,15,FALSE)</f>
        <v>5.2</v>
      </c>
    </row>
    <row r="883" spans="1:8" x14ac:dyDescent="0.25">
      <c r="A883" t="s">
        <v>911</v>
      </c>
      <c r="B883">
        <f>_xlfn.XLOOKUP(A883,'Subbu- Mini Project EXcel Clean'!A883:A1882,'Subbu- Mini Project EXcel Clean'!I883:I1882,"Entry Level",0)</f>
        <v>2</v>
      </c>
      <c r="C883" t="str">
        <f>_xlfn.XLOOKUP(A883,'Subbu- Mini Project EXcel Clean'!A883:A1882,'Subbu- Mini Project EXcel Clean'!J883:J1882," ",0)</f>
        <v>Consistent</v>
      </c>
      <c r="D883">
        <f>_xlfn.XLOOKUP(A883,'Subbu- Mini Project EXcel Clean'!A883:A1882,'Subbu- Mini Project EXcel Clean'!N883:N1882,"entry Level",0)</f>
        <v>7</v>
      </c>
      <c r="E883">
        <f>_xlfn.XLOOKUP(A883,'Subbu- Mini Project EXcel Clean'!A883:A1882,'Subbu- Mini Project EXcel Clean'!M883:M1882," ",0)</f>
        <v>80.3</v>
      </c>
      <c r="F883">
        <f>_xlfn.XLOOKUP(A883,'Subbu- Mini Project EXcel Clean'!A883:A1882,'Subbu- Mini Project EXcel Clean'!P883:P1882," ",0)</f>
        <v>1</v>
      </c>
      <c r="G883" t="str">
        <f>_xlfn.XLOOKUP(A883,'Subbu- Mini Project EXcel Clean'!A883:A1882,'Subbu- Mini Project EXcel Clean'!Q883:Q1882," ",0)</f>
        <v>Low</v>
      </c>
      <c r="H883">
        <f>VLOOKUP(A883,'Subbu- Mini Project EXcel Clean'!A882:R1882,15,FALSE)</f>
        <v>1.6</v>
      </c>
    </row>
    <row r="884" spans="1:8" x14ac:dyDescent="0.25">
      <c r="A884" t="s">
        <v>912</v>
      </c>
      <c r="B884">
        <f>_xlfn.XLOOKUP(A884,'Subbu- Mini Project EXcel Clean'!A884:A1883,'Subbu- Mini Project EXcel Clean'!I884:I1883,"Entry Level",0)</f>
        <v>4</v>
      </c>
      <c r="C884" t="str">
        <f>_xlfn.XLOOKUP(A884,'Subbu- Mini Project EXcel Clean'!A884:A1883,'Subbu- Mini Project EXcel Clean'!J884:J1883," ",0)</f>
        <v>Excellent</v>
      </c>
      <c r="D884">
        <f>_xlfn.XLOOKUP(A884,'Subbu- Mini Project EXcel Clean'!A884:A1883,'Subbu- Mini Project EXcel Clean'!N884:N1883,"entry Level",0)</f>
        <v>7.6</v>
      </c>
      <c r="E884">
        <f>_xlfn.XLOOKUP(A884,'Subbu- Mini Project EXcel Clean'!A884:A1883,'Subbu- Mini Project EXcel Clean'!M884:M1883," ",0)</f>
        <v>87.2</v>
      </c>
      <c r="F884">
        <f>_xlfn.XLOOKUP(A884,'Subbu- Mini Project EXcel Clean'!A884:A1883,'Subbu- Mini Project EXcel Clean'!P884:P1883," ",0)</f>
        <v>1</v>
      </c>
      <c r="G884" t="str">
        <f>_xlfn.XLOOKUP(A884,'Subbu- Mini Project EXcel Clean'!A884:A1883,'Subbu- Mini Project EXcel Clean'!Q884:Q1883," ",0)</f>
        <v>Low</v>
      </c>
      <c r="H884">
        <f>VLOOKUP(A884,'Subbu- Mini Project EXcel Clean'!A883:R1883,15,FALSE)</f>
        <v>1.5</v>
      </c>
    </row>
    <row r="885" spans="1:8" x14ac:dyDescent="0.25">
      <c r="A885" t="s">
        <v>913</v>
      </c>
      <c r="B885">
        <f>_xlfn.XLOOKUP(A885,'Subbu- Mini Project EXcel Clean'!A885:A1884,'Subbu- Mini Project EXcel Clean'!I885:I1884,"Entry Level",0)</f>
        <v>2</v>
      </c>
      <c r="C885" t="str">
        <f>_xlfn.XLOOKUP(A885,'Subbu- Mini Project EXcel Clean'!A885:A1884,'Subbu- Mini Project EXcel Clean'!J885:J1884," ",0)</f>
        <v>Consistent</v>
      </c>
      <c r="D885">
        <f>_xlfn.XLOOKUP(A885,'Subbu- Mini Project EXcel Clean'!A885:A1884,'Subbu- Mini Project EXcel Clean'!N885:N1884,"entry Level",0)</f>
        <v>7.5</v>
      </c>
      <c r="E885">
        <f>_xlfn.XLOOKUP(A885,'Subbu- Mini Project EXcel Clean'!A885:A1884,'Subbu- Mini Project EXcel Clean'!M885:M1884," ",0)</f>
        <v>65.5</v>
      </c>
      <c r="F885">
        <f>_xlfn.XLOOKUP(A885,'Subbu- Mini Project EXcel Clean'!A885:A1884,'Subbu- Mini Project EXcel Clean'!P885:P1884," ",0)</f>
        <v>2</v>
      </c>
      <c r="G885" t="str">
        <f>_xlfn.XLOOKUP(A885,'Subbu- Mini Project EXcel Clean'!A885:A1884,'Subbu- Mini Project EXcel Clean'!Q885:Q1884," ",0)</f>
        <v>Low</v>
      </c>
      <c r="H885">
        <f>VLOOKUP(A885,'Subbu- Mini Project EXcel Clean'!A884:R1884,15,FALSE)</f>
        <v>3.9</v>
      </c>
    </row>
    <row r="886" spans="1:8" x14ac:dyDescent="0.25">
      <c r="A886" t="s">
        <v>914</v>
      </c>
      <c r="B886">
        <f>_xlfn.XLOOKUP(A886,'Subbu- Mini Project EXcel Clean'!A886:A1885,'Subbu- Mini Project EXcel Clean'!I886:I1885,"Entry Level",0)</f>
        <v>5</v>
      </c>
      <c r="C886" t="str">
        <f>_xlfn.XLOOKUP(A886,'Subbu- Mini Project EXcel Clean'!A886:A1885,'Subbu- Mini Project EXcel Clean'!J886:J1885," ",0)</f>
        <v>Good</v>
      </c>
      <c r="D886">
        <f>_xlfn.XLOOKUP(A886,'Subbu- Mini Project EXcel Clean'!A886:A1885,'Subbu- Mini Project EXcel Clean'!N886:N1885,"entry Level",0)</f>
        <v>7.5</v>
      </c>
      <c r="E886">
        <f>_xlfn.XLOOKUP(A886,'Subbu- Mini Project EXcel Clean'!A886:A1885,'Subbu- Mini Project EXcel Clean'!M886:M1885," ",0)</f>
        <v>96.1</v>
      </c>
      <c r="F886">
        <f>_xlfn.XLOOKUP(A886,'Subbu- Mini Project EXcel Clean'!A886:A1885,'Subbu- Mini Project EXcel Clean'!P886:P1885," ",0)</f>
        <v>1</v>
      </c>
      <c r="G886" t="str">
        <f>_xlfn.XLOOKUP(A886,'Subbu- Mini Project EXcel Clean'!A886:A1885,'Subbu- Mini Project EXcel Clean'!Q886:Q1885," ",0)</f>
        <v>Low</v>
      </c>
      <c r="H886">
        <f>VLOOKUP(A886,'Subbu- Mini Project EXcel Clean'!A885:R1885,15,FALSE)</f>
        <v>3.7</v>
      </c>
    </row>
    <row r="887" spans="1:8" x14ac:dyDescent="0.25">
      <c r="A887" t="s">
        <v>915</v>
      </c>
      <c r="B887">
        <f>_xlfn.XLOOKUP(A887,'Subbu- Mini Project EXcel Clean'!A887:A1886,'Subbu- Mini Project EXcel Clean'!I887:I1886,"Entry Level",0)</f>
        <v>1</v>
      </c>
      <c r="C887" t="str">
        <f>_xlfn.XLOOKUP(A887,'Subbu- Mini Project EXcel Clean'!A887:A1886,'Subbu- Mini Project EXcel Clean'!J887:J1886," ",0)</f>
        <v>Consistent</v>
      </c>
      <c r="D887">
        <f>_xlfn.XLOOKUP(A887,'Subbu- Mini Project EXcel Clean'!A887:A1886,'Subbu- Mini Project EXcel Clean'!N887:N1886,"entry Level",0)</f>
        <v>7.4</v>
      </c>
      <c r="E887">
        <f>_xlfn.XLOOKUP(A887,'Subbu- Mini Project EXcel Clean'!A887:A1886,'Subbu- Mini Project EXcel Clean'!M887:M1886," ",0)</f>
        <v>61.9</v>
      </c>
      <c r="F887">
        <f>_xlfn.XLOOKUP(A887,'Subbu- Mini Project EXcel Clean'!A887:A1886,'Subbu- Mini Project EXcel Clean'!P887:P1886," ",0)</f>
        <v>1</v>
      </c>
      <c r="G887" t="str">
        <f>_xlfn.XLOOKUP(A887,'Subbu- Mini Project EXcel Clean'!A887:A1886,'Subbu- Mini Project EXcel Clean'!Q887:Q1886," ",0)</f>
        <v>Low</v>
      </c>
      <c r="H887">
        <f>VLOOKUP(A887,'Subbu- Mini Project EXcel Clean'!A886:R1886,15,FALSE)</f>
        <v>2.2999999999999998</v>
      </c>
    </row>
    <row r="888" spans="1:8" x14ac:dyDescent="0.25">
      <c r="A888" t="s">
        <v>916</v>
      </c>
      <c r="B888">
        <f>_xlfn.XLOOKUP(A888,'Subbu- Mini Project EXcel Clean'!A888:A1887,'Subbu- Mini Project EXcel Clean'!I888:I1887,"Entry Level",0)</f>
        <v>3</v>
      </c>
      <c r="C888" t="str">
        <f>_xlfn.XLOOKUP(A888,'Subbu- Mini Project EXcel Clean'!A888:A1887,'Subbu- Mini Project EXcel Clean'!J888:J1887," ",0)</f>
        <v>Excellent</v>
      </c>
      <c r="D888">
        <f>_xlfn.XLOOKUP(A888,'Subbu- Mini Project EXcel Clean'!A888:A1887,'Subbu- Mini Project EXcel Clean'!N888:N1887,"entry Level",0)</f>
        <v>6.2</v>
      </c>
      <c r="E888">
        <f>_xlfn.XLOOKUP(A888,'Subbu- Mini Project EXcel Clean'!A888:A1887,'Subbu- Mini Project EXcel Clean'!M888:M1887," ",0)</f>
        <v>91.7</v>
      </c>
      <c r="F888">
        <f>_xlfn.XLOOKUP(A888,'Subbu- Mini Project EXcel Clean'!A888:A1887,'Subbu- Mini Project EXcel Clean'!P888:P1887," ",0)</f>
        <v>1</v>
      </c>
      <c r="G888" t="str">
        <f>_xlfn.XLOOKUP(A888,'Subbu- Mini Project EXcel Clean'!A888:A1887,'Subbu- Mini Project EXcel Clean'!Q888:Q1887," ",0)</f>
        <v>Low</v>
      </c>
      <c r="H888">
        <f>VLOOKUP(A888,'Subbu- Mini Project EXcel Clean'!A887:R1887,15,FALSE)</f>
        <v>5.5</v>
      </c>
    </row>
    <row r="889" spans="1:8" x14ac:dyDescent="0.25">
      <c r="A889" t="s">
        <v>917</v>
      </c>
      <c r="B889">
        <f>_xlfn.XLOOKUP(A889,'Subbu- Mini Project EXcel Clean'!A889:A1888,'Subbu- Mini Project EXcel Clean'!I889:I1888,"Entry Level",0)</f>
        <v>2</v>
      </c>
      <c r="C889" t="str">
        <f>_xlfn.XLOOKUP(A889,'Subbu- Mini Project EXcel Clean'!A889:A1888,'Subbu- Mini Project EXcel Clean'!J889:J1888," ",0)</f>
        <v>Consistent</v>
      </c>
      <c r="D889">
        <f>_xlfn.XLOOKUP(A889,'Subbu- Mini Project EXcel Clean'!A889:A1888,'Subbu- Mini Project EXcel Clean'!N889:N1888,"entry Level",0)</f>
        <v>6.4</v>
      </c>
      <c r="E889">
        <f>_xlfn.XLOOKUP(A889,'Subbu- Mini Project EXcel Clean'!A889:A1888,'Subbu- Mini Project EXcel Clean'!M889:M1888," ",0)</f>
        <v>61.1</v>
      </c>
      <c r="F889">
        <f>_xlfn.XLOOKUP(A889,'Subbu- Mini Project EXcel Clean'!A889:A1888,'Subbu- Mini Project EXcel Clean'!P889:P1888," ",0)</f>
        <v>5</v>
      </c>
      <c r="G889" t="str">
        <f>_xlfn.XLOOKUP(A889,'Subbu- Mini Project EXcel Clean'!A889:A1888,'Subbu- Mini Project EXcel Clean'!Q889:Q1888," ",0)</f>
        <v>Moderate</v>
      </c>
      <c r="H889">
        <f>VLOOKUP(A889,'Subbu- Mini Project EXcel Clean'!A888:R1888,15,FALSE)</f>
        <v>5.6</v>
      </c>
    </row>
    <row r="890" spans="1:8" x14ac:dyDescent="0.25">
      <c r="A890" t="s">
        <v>918</v>
      </c>
      <c r="B890">
        <f>_xlfn.XLOOKUP(A890,'Subbu- Mini Project EXcel Clean'!A890:A1889,'Subbu- Mini Project EXcel Clean'!I890:I1889,"Entry Level",0)</f>
        <v>4</v>
      </c>
      <c r="C890" t="str">
        <f>_xlfn.XLOOKUP(A890,'Subbu- Mini Project EXcel Clean'!A890:A1889,'Subbu- Mini Project EXcel Clean'!J890:J1889," ",0)</f>
        <v>Excellent</v>
      </c>
      <c r="D890">
        <f>_xlfn.XLOOKUP(A890,'Subbu- Mini Project EXcel Clean'!A890:A1889,'Subbu- Mini Project EXcel Clean'!N890:N1889,"entry Level",0)</f>
        <v>6.8</v>
      </c>
      <c r="E890">
        <f>_xlfn.XLOOKUP(A890,'Subbu- Mini Project EXcel Clean'!A890:A1889,'Subbu- Mini Project EXcel Clean'!M890:M1889," ",0)</f>
        <v>93.4</v>
      </c>
      <c r="F890">
        <f>_xlfn.XLOOKUP(A890,'Subbu- Mini Project EXcel Clean'!A890:A1889,'Subbu- Mini Project EXcel Clean'!P890:P1889," ",0)</f>
        <v>4</v>
      </c>
      <c r="G890" t="str">
        <f>_xlfn.XLOOKUP(A890,'Subbu- Mini Project EXcel Clean'!A890:A1889,'Subbu- Mini Project EXcel Clean'!Q890:Q1889," ",0)</f>
        <v>Moderate</v>
      </c>
      <c r="H890">
        <f>VLOOKUP(A890,'Subbu- Mini Project EXcel Clean'!A889:R1889,15,FALSE)</f>
        <v>3</v>
      </c>
    </row>
    <row r="891" spans="1:8" x14ac:dyDescent="0.25">
      <c r="A891" t="s">
        <v>919</v>
      </c>
      <c r="B891">
        <f>_xlfn.XLOOKUP(A891,'Subbu- Mini Project EXcel Clean'!A891:A1890,'Subbu- Mini Project EXcel Clean'!I891:I1890,"Entry Level",0)</f>
        <v>2</v>
      </c>
      <c r="C891" t="str">
        <f>_xlfn.XLOOKUP(A891,'Subbu- Mini Project EXcel Clean'!A891:A1890,'Subbu- Mini Project EXcel Clean'!J891:J1890," ",0)</f>
        <v>Consistent</v>
      </c>
      <c r="D891">
        <f>_xlfn.XLOOKUP(A891,'Subbu- Mini Project EXcel Clean'!A891:A1890,'Subbu- Mini Project EXcel Clean'!N891:N1890,"entry Level",0)</f>
        <v>7.2</v>
      </c>
      <c r="E891">
        <f>_xlfn.XLOOKUP(A891,'Subbu- Mini Project EXcel Clean'!A891:A1890,'Subbu- Mini Project EXcel Clean'!M891:M1890," ",0)</f>
        <v>74</v>
      </c>
      <c r="F891">
        <f>_xlfn.XLOOKUP(A891,'Subbu- Mini Project EXcel Clean'!A891:A1890,'Subbu- Mini Project EXcel Clean'!P891:P1890," ",0)</f>
        <v>3</v>
      </c>
      <c r="G891" t="str">
        <f>_xlfn.XLOOKUP(A891,'Subbu- Mini Project EXcel Clean'!A891:A1890,'Subbu- Mini Project EXcel Clean'!Q891:Q1890," ",0)</f>
        <v>Low</v>
      </c>
      <c r="H891">
        <f>VLOOKUP(A891,'Subbu- Mini Project EXcel Clean'!A890:R1890,15,FALSE)</f>
        <v>5.5</v>
      </c>
    </row>
    <row r="892" spans="1:8" x14ac:dyDescent="0.25">
      <c r="A892" t="s">
        <v>920</v>
      </c>
      <c r="B892">
        <f>_xlfn.XLOOKUP(A892,'Subbu- Mini Project EXcel Clean'!A892:A1891,'Subbu- Mini Project EXcel Clean'!I892:I1891,"Entry Level",0)</f>
        <v>2</v>
      </c>
      <c r="C892" t="str">
        <f>_xlfn.XLOOKUP(A892,'Subbu- Mini Project EXcel Clean'!A892:A1891,'Subbu- Mini Project EXcel Clean'!J892:J1891," ",0)</f>
        <v>Consistent</v>
      </c>
      <c r="D892">
        <f>_xlfn.XLOOKUP(A892,'Subbu- Mini Project EXcel Clean'!A892:A1891,'Subbu- Mini Project EXcel Clean'!N892:N1891,"entry Level",0)</f>
        <v>7</v>
      </c>
      <c r="E892">
        <f>_xlfn.XLOOKUP(A892,'Subbu- Mini Project EXcel Clean'!A892:A1891,'Subbu- Mini Project EXcel Clean'!M892:M1891," ",0)</f>
        <v>66.3</v>
      </c>
      <c r="F892">
        <f>_xlfn.XLOOKUP(A892,'Subbu- Mini Project EXcel Clean'!A892:A1891,'Subbu- Mini Project EXcel Clean'!P892:P1891," ",0)</f>
        <v>3</v>
      </c>
      <c r="G892" t="str">
        <f>_xlfn.XLOOKUP(A892,'Subbu- Mini Project EXcel Clean'!A892:A1891,'Subbu- Mini Project EXcel Clean'!Q892:Q1891," ",0)</f>
        <v>Moderate</v>
      </c>
      <c r="H892">
        <f>VLOOKUP(A892,'Subbu- Mini Project EXcel Clean'!A891:R1891,15,FALSE)</f>
        <v>2.9</v>
      </c>
    </row>
    <row r="893" spans="1:8" x14ac:dyDescent="0.25">
      <c r="A893" t="s">
        <v>921</v>
      </c>
      <c r="B893">
        <f>_xlfn.XLOOKUP(A893,'Subbu- Mini Project EXcel Clean'!A893:A1892,'Subbu- Mini Project EXcel Clean'!I893:I1892,"Entry Level",0)</f>
        <v>3</v>
      </c>
      <c r="C893" t="str">
        <f>_xlfn.XLOOKUP(A893,'Subbu- Mini Project EXcel Clean'!A893:A1892,'Subbu- Mini Project EXcel Clean'!J893:J1892," ",0)</f>
        <v>Consistent</v>
      </c>
      <c r="D893">
        <f>_xlfn.XLOOKUP(A893,'Subbu- Mini Project EXcel Clean'!A893:A1892,'Subbu- Mini Project EXcel Clean'!N893:N1892,"entry Level",0)</f>
        <v>6.6</v>
      </c>
      <c r="E893">
        <f>_xlfn.XLOOKUP(A893,'Subbu- Mini Project EXcel Clean'!A893:A1892,'Subbu- Mini Project EXcel Clean'!M893:M1892," ",0)</f>
        <v>78.400000000000006</v>
      </c>
      <c r="F893">
        <f>_xlfn.XLOOKUP(A893,'Subbu- Mini Project EXcel Clean'!A893:A1892,'Subbu- Mini Project EXcel Clean'!P893:P1892," ",0)</f>
        <v>1</v>
      </c>
      <c r="G893" t="str">
        <f>_xlfn.XLOOKUP(A893,'Subbu- Mini Project EXcel Clean'!A893:A1892,'Subbu- Mini Project EXcel Clean'!Q893:Q1892," ",0)</f>
        <v>Low</v>
      </c>
      <c r="H893">
        <f>VLOOKUP(A893,'Subbu- Mini Project EXcel Clean'!A892:R1892,15,FALSE)</f>
        <v>4.7</v>
      </c>
    </row>
    <row r="894" spans="1:8" x14ac:dyDescent="0.25">
      <c r="A894" t="s">
        <v>922</v>
      </c>
      <c r="B894">
        <f>_xlfn.XLOOKUP(A894,'Subbu- Mini Project EXcel Clean'!A894:A1893,'Subbu- Mini Project EXcel Clean'!I894:I1893,"Entry Level",0)</f>
        <v>5</v>
      </c>
      <c r="C894" t="str">
        <f>_xlfn.XLOOKUP(A894,'Subbu- Mini Project EXcel Clean'!A894:A1893,'Subbu- Mini Project EXcel Clean'!J894:J1893," ",0)</f>
        <v>Good</v>
      </c>
      <c r="D894">
        <f>_xlfn.XLOOKUP(A894,'Subbu- Mini Project EXcel Clean'!A894:A1893,'Subbu- Mini Project EXcel Clean'!N894:N1893,"entry Level",0)</f>
        <v>5.9</v>
      </c>
      <c r="E894">
        <f>_xlfn.XLOOKUP(A894,'Subbu- Mini Project EXcel Clean'!A894:A1893,'Subbu- Mini Project EXcel Clean'!M894:M1893," ",0)</f>
        <v>91.4</v>
      </c>
      <c r="F894">
        <f>_xlfn.XLOOKUP(A894,'Subbu- Mini Project EXcel Clean'!A894:A1893,'Subbu- Mini Project EXcel Clean'!P894:P1893," ",0)</f>
        <v>3</v>
      </c>
      <c r="G894" t="str">
        <f>_xlfn.XLOOKUP(A894,'Subbu- Mini Project EXcel Clean'!A894:A1893,'Subbu- Mini Project EXcel Clean'!Q894:Q1893," ",0)</f>
        <v>Moderate</v>
      </c>
      <c r="H894">
        <f>VLOOKUP(A894,'Subbu- Mini Project EXcel Clean'!A893:R1893,15,FALSE)</f>
        <v>3.4</v>
      </c>
    </row>
    <row r="895" spans="1:8" x14ac:dyDescent="0.25">
      <c r="A895" t="s">
        <v>923</v>
      </c>
      <c r="B895">
        <f>_xlfn.XLOOKUP(A895,'Subbu- Mini Project EXcel Clean'!A895:A1894,'Subbu- Mini Project EXcel Clean'!I895:I1894,"Entry Level",0)</f>
        <v>2</v>
      </c>
      <c r="C895" t="str">
        <f>_xlfn.XLOOKUP(A895,'Subbu- Mini Project EXcel Clean'!A895:A1894,'Subbu- Mini Project EXcel Clean'!J895:J1894," ",0)</f>
        <v>Consistent</v>
      </c>
      <c r="D895">
        <f>_xlfn.XLOOKUP(A895,'Subbu- Mini Project EXcel Clean'!A895:A1894,'Subbu- Mini Project EXcel Clean'!N895:N1894,"entry Level",0)</f>
        <v>7.4</v>
      </c>
      <c r="E895">
        <f>_xlfn.XLOOKUP(A895,'Subbu- Mini Project EXcel Clean'!A895:A1894,'Subbu- Mini Project EXcel Clean'!M895:M1894," ",0)</f>
        <v>67.5</v>
      </c>
      <c r="F895">
        <f>_xlfn.XLOOKUP(A895,'Subbu- Mini Project EXcel Clean'!A895:A1894,'Subbu- Mini Project EXcel Clean'!P895:P1894," ",0)</f>
        <v>2</v>
      </c>
      <c r="G895" t="str">
        <f>_xlfn.XLOOKUP(A895,'Subbu- Mini Project EXcel Clean'!A895:A1894,'Subbu- Mini Project EXcel Clean'!Q895:Q1894," ",0)</f>
        <v>Low</v>
      </c>
      <c r="H895">
        <f>VLOOKUP(A895,'Subbu- Mini Project EXcel Clean'!A894:R1894,15,FALSE)</f>
        <v>1.6</v>
      </c>
    </row>
    <row r="896" spans="1:8" x14ac:dyDescent="0.25">
      <c r="A896" t="s">
        <v>924</v>
      </c>
      <c r="B896">
        <f>_xlfn.XLOOKUP(A896,'Subbu- Mini Project EXcel Clean'!A896:A1895,'Subbu- Mini Project EXcel Clean'!I896:I1895,"Entry Level",0)</f>
        <v>2</v>
      </c>
      <c r="C896" t="str">
        <f>_xlfn.XLOOKUP(A896,'Subbu- Mini Project EXcel Clean'!A896:A1895,'Subbu- Mini Project EXcel Clean'!J896:J1895," ",0)</f>
        <v>Consistent</v>
      </c>
      <c r="D896">
        <f>_xlfn.XLOOKUP(A896,'Subbu- Mini Project EXcel Clean'!A896:A1895,'Subbu- Mini Project EXcel Clean'!N896:N1895,"entry Level",0)</f>
        <v>6.7</v>
      </c>
      <c r="E896">
        <f>_xlfn.XLOOKUP(A896,'Subbu- Mini Project EXcel Clean'!A896:A1895,'Subbu- Mini Project EXcel Clean'!M896:M1895," ",0)</f>
        <v>65.599999999999994</v>
      </c>
      <c r="F896">
        <f>_xlfn.XLOOKUP(A896,'Subbu- Mini Project EXcel Clean'!A896:A1895,'Subbu- Mini Project EXcel Clean'!P896:P1895," ",0)</f>
        <v>5</v>
      </c>
      <c r="G896" t="str">
        <f>_xlfn.XLOOKUP(A896,'Subbu- Mini Project EXcel Clean'!A896:A1895,'Subbu- Mini Project EXcel Clean'!Q896:Q1895," ",0)</f>
        <v>Moderate</v>
      </c>
      <c r="H896">
        <f>VLOOKUP(A896,'Subbu- Mini Project EXcel Clean'!A895:R1895,15,FALSE)</f>
        <v>5.6</v>
      </c>
    </row>
    <row r="897" spans="1:8" x14ac:dyDescent="0.25">
      <c r="A897" t="s">
        <v>925</v>
      </c>
      <c r="B897">
        <f>_xlfn.XLOOKUP(A897,'Subbu- Mini Project EXcel Clean'!A897:A1896,'Subbu- Mini Project EXcel Clean'!I897:I1896,"Entry Level",0)</f>
        <v>4</v>
      </c>
      <c r="C897" t="str">
        <f>_xlfn.XLOOKUP(A897,'Subbu- Mini Project EXcel Clean'!A897:A1896,'Subbu- Mini Project EXcel Clean'!J897:J1896," ",0)</f>
        <v>Excellent</v>
      </c>
      <c r="D897">
        <f>_xlfn.XLOOKUP(A897,'Subbu- Mini Project EXcel Clean'!A897:A1896,'Subbu- Mini Project EXcel Clean'!N897:N1896,"entry Level",0)</f>
        <v>6.5</v>
      </c>
      <c r="E897">
        <f>_xlfn.XLOOKUP(A897,'Subbu- Mini Project EXcel Clean'!A897:A1896,'Subbu- Mini Project EXcel Clean'!M897:M1896," ",0)</f>
        <v>93.7</v>
      </c>
      <c r="F897">
        <f>_xlfn.XLOOKUP(A897,'Subbu- Mini Project EXcel Clean'!A897:A1896,'Subbu- Mini Project EXcel Clean'!P897:P1896," ",0)</f>
        <v>1</v>
      </c>
      <c r="G897" t="str">
        <f>_xlfn.XLOOKUP(A897,'Subbu- Mini Project EXcel Clean'!A897:A1896,'Subbu- Mini Project EXcel Clean'!Q897:Q1896," ",0)</f>
        <v>Low</v>
      </c>
      <c r="H897">
        <f>VLOOKUP(A897,'Subbu- Mini Project EXcel Clean'!A896:R1896,15,FALSE)</f>
        <v>3.3</v>
      </c>
    </row>
    <row r="898" spans="1:8" x14ac:dyDescent="0.25">
      <c r="A898" t="s">
        <v>926</v>
      </c>
      <c r="B898">
        <f>_xlfn.XLOOKUP(A898,'Subbu- Mini Project EXcel Clean'!A898:A1897,'Subbu- Mini Project EXcel Clean'!I898:I1897,"Entry Level",0)</f>
        <v>3</v>
      </c>
      <c r="C898" t="str">
        <f>_xlfn.XLOOKUP(A898,'Subbu- Mini Project EXcel Clean'!A898:A1897,'Subbu- Mini Project EXcel Clean'!J898:J1897," ",0)</f>
        <v>Consistent</v>
      </c>
      <c r="D898">
        <f>_xlfn.XLOOKUP(A898,'Subbu- Mini Project EXcel Clean'!A898:A1897,'Subbu- Mini Project EXcel Clean'!N898:N1897,"entry Level",0)</f>
        <v>6.2</v>
      </c>
      <c r="E898">
        <f>_xlfn.XLOOKUP(A898,'Subbu- Mini Project EXcel Clean'!A898:A1897,'Subbu- Mini Project EXcel Clean'!M898:M1897," ",0)</f>
        <v>85.5</v>
      </c>
      <c r="F898">
        <f>_xlfn.XLOOKUP(A898,'Subbu- Mini Project EXcel Clean'!A898:A1897,'Subbu- Mini Project EXcel Clean'!P898:P1897," ",0)</f>
        <v>3</v>
      </c>
      <c r="G898" t="str">
        <f>_xlfn.XLOOKUP(A898,'Subbu- Mini Project EXcel Clean'!A898:A1897,'Subbu- Mini Project EXcel Clean'!Q898:Q1897," ",0)</f>
        <v>Moderate</v>
      </c>
      <c r="H898">
        <f>VLOOKUP(A898,'Subbu- Mini Project EXcel Clean'!A897:R1897,15,FALSE)</f>
        <v>4.7</v>
      </c>
    </row>
    <row r="899" spans="1:8" x14ac:dyDescent="0.25">
      <c r="A899" t="s">
        <v>927</v>
      </c>
      <c r="B899">
        <f>_xlfn.XLOOKUP(A899,'Subbu- Mini Project EXcel Clean'!A899:A1898,'Subbu- Mini Project EXcel Clean'!I899:I1898,"Entry Level",0)</f>
        <v>5</v>
      </c>
      <c r="C899" t="str">
        <f>_xlfn.XLOOKUP(A899,'Subbu- Mini Project EXcel Clean'!A899:A1898,'Subbu- Mini Project EXcel Clean'!J899:J1898," ",0)</f>
        <v>Good</v>
      </c>
      <c r="D899">
        <f>_xlfn.XLOOKUP(A899,'Subbu- Mini Project EXcel Clean'!A899:A1898,'Subbu- Mini Project EXcel Clean'!N899:N1898,"entry Level",0)</f>
        <v>7.5</v>
      </c>
      <c r="E899">
        <f>_xlfn.XLOOKUP(A899,'Subbu- Mini Project EXcel Clean'!A899:A1898,'Subbu- Mini Project EXcel Clean'!M899:M1898," ",0)</f>
        <v>92.7</v>
      </c>
      <c r="F899">
        <f>_xlfn.XLOOKUP(A899,'Subbu- Mini Project EXcel Clean'!A899:A1898,'Subbu- Mini Project EXcel Clean'!P899:P1898," ",0)</f>
        <v>1</v>
      </c>
      <c r="G899" t="str">
        <f>_xlfn.XLOOKUP(A899,'Subbu- Mini Project EXcel Clean'!A899:A1898,'Subbu- Mini Project EXcel Clean'!Q899:Q1898," ",0)</f>
        <v>Low</v>
      </c>
      <c r="H899">
        <f>VLOOKUP(A899,'Subbu- Mini Project EXcel Clean'!A898:R1898,15,FALSE)</f>
        <v>2.8</v>
      </c>
    </row>
    <row r="900" spans="1:8" x14ac:dyDescent="0.25">
      <c r="A900" t="s">
        <v>928</v>
      </c>
      <c r="B900">
        <f>_xlfn.XLOOKUP(A900,'Subbu- Mini Project EXcel Clean'!A900:A1899,'Subbu- Mini Project EXcel Clean'!I900:I1899,"Entry Level",0)</f>
        <v>2</v>
      </c>
      <c r="C900" t="str">
        <f>_xlfn.XLOOKUP(A900,'Subbu- Mini Project EXcel Clean'!A900:A1899,'Subbu- Mini Project EXcel Clean'!J900:J1899," ",0)</f>
        <v>Consistent</v>
      </c>
      <c r="D900">
        <f>_xlfn.XLOOKUP(A900,'Subbu- Mini Project EXcel Clean'!A900:A1899,'Subbu- Mini Project EXcel Clean'!N900:N1899,"entry Level",0)</f>
        <v>6.9</v>
      </c>
      <c r="E900">
        <f>_xlfn.XLOOKUP(A900,'Subbu- Mini Project EXcel Clean'!A900:A1899,'Subbu- Mini Project EXcel Clean'!M900:M1899," ",0)</f>
        <v>56</v>
      </c>
      <c r="F900">
        <f>_xlfn.XLOOKUP(A900,'Subbu- Mini Project EXcel Clean'!A900:A1899,'Subbu- Mini Project EXcel Clean'!P900:P1899," ",0)</f>
        <v>5</v>
      </c>
      <c r="G900" t="str">
        <f>_xlfn.XLOOKUP(A900,'Subbu- Mini Project EXcel Clean'!A900:A1899,'Subbu- Mini Project EXcel Clean'!Q900:Q1899," ",0)</f>
        <v>Moderate</v>
      </c>
      <c r="H900">
        <f>VLOOKUP(A900,'Subbu- Mini Project EXcel Clean'!A899:R1899,15,FALSE)</f>
        <v>1.1000000000000001</v>
      </c>
    </row>
    <row r="901" spans="1:8" x14ac:dyDescent="0.25">
      <c r="A901" t="s">
        <v>929</v>
      </c>
      <c r="B901">
        <f>_xlfn.XLOOKUP(A901,'Subbu- Mini Project EXcel Clean'!A901:A1900,'Subbu- Mini Project EXcel Clean'!I901:I1900,"Entry Level",0)</f>
        <v>4</v>
      </c>
      <c r="C901" t="str">
        <f>_xlfn.XLOOKUP(A901,'Subbu- Mini Project EXcel Clean'!A901:A1900,'Subbu- Mini Project EXcel Clean'!J901:J1900," ",0)</f>
        <v>Excellent</v>
      </c>
      <c r="D901">
        <f>_xlfn.XLOOKUP(A901,'Subbu- Mini Project EXcel Clean'!A901:A1900,'Subbu- Mini Project EXcel Clean'!N901:N1900,"entry Level",0)</f>
        <v>8.1</v>
      </c>
      <c r="E901">
        <f>_xlfn.XLOOKUP(A901,'Subbu- Mini Project EXcel Clean'!A901:A1900,'Subbu- Mini Project EXcel Clean'!M901:M1900," ",0)</f>
        <v>85.7</v>
      </c>
      <c r="F901">
        <f>_xlfn.XLOOKUP(A901,'Subbu- Mini Project EXcel Clean'!A901:A1900,'Subbu- Mini Project EXcel Clean'!P901:P1900," ",0)</f>
        <v>3</v>
      </c>
      <c r="G901" t="str">
        <f>_xlfn.XLOOKUP(A901,'Subbu- Mini Project EXcel Clean'!A901:A1900,'Subbu- Mini Project EXcel Clean'!Q901:Q1900," ",0)</f>
        <v>Low</v>
      </c>
      <c r="H901">
        <f>VLOOKUP(A901,'Subbu- Mini Project EXcel Clean'!A900:R1900,15,FALSE)</f>
        <v>1.5</v>
      </c>
    </row>
    <row r="902" spans="1:8" x14ac:dyDescent="0.25">
      <c r="A902" t="s">
        <v>930</v>
      </c>
      <c r="B902">
        <f>_xlfn.XLOOKUP(A902,'Subbu- Mini Project EXcel Clean'!A902:A1901,'Subbu- Mini Project EXcel Clean'!I902:I1901,"Entry Level",0)</f>
        <v>2</v>
      </c>
      <c r="C902" t="str">
        <f>_xlfn.XLOOKUP(A902,'Subbu- Mini Project EXcel Clean'!A902:A1901,'Subbu- Mini Project EXcel Clean'!J902:J1901," ",0)</f>
        <v>Consistent</v>
      </c>
      <c r="D902">
        <f>_xlfn.XLOOKUP(A902,'Subbu- Mini Project EXcel Clean'!A902:A1901,'Subbu- Mini Project EXcel Clean'!N902:N1901,"entry Level",0)</f>
        <v>6.7</v>
      </c>
      <c r="E902">
        <f>_xlfn.XLOOKUP(A902,'Subbu- Mini Project EXcel Clean'!A902:A1901,'Subbu- Mini Project EXcel Clean'!M902:M1901," ",0)</f>
        <v>70.8</v>
      </c>
      <c r="F902">
        <f>_xlfn.XLOOKUP(A902,'Subbu- Mini Project EXcel Clean'!A902:A1901,'Subbu- Mini Project EXcel Clean'!P902:P1901," ",0)</f>
        <v>1</v>
      </c>
      <c r="G902" t="str">
        <f>_xlfn.XLOOKUP(A902,'Subbu- Mini Project EXcel Clean'!A902:A1901,'Subbu- Mini Project EXcel Clean'!Q902:Q1901," ",0)</f>
        <v>Low</v>
      </c>
      <c r="H902">
        <f>VLOOKUP(A902,'Subbu- Mini Project EXcel Clean'!A901:R1901,15,FALSE)</f>
        <v>3.5</v>
      </c>
    </row>
    <row r="903" spans="1:8" x14ac:dyDescent="0.25">
      <c r="A903" t="s">
        <v>931</v>
      </c>
      <c r="B903">
        <f>_xlfn.XLOOKUP(A903,'Subbu- Mini Project EXcel Clean'!A903:A1902,'Subbu- Mini Project EXcel Clean'!I903:I1902,"Entry Level",0)</f>
        <v>2</v>
      </c>
      <c r="C903" t="str">
        <f>_xlfn.XLOOKUP(A903,'Subbu- Mini Project EXcel Clean'!A903:A1902,'Subbu- Mini Project EXcel Clean'!J903:J1902," ",0)</f>
        <v>Consistent</v>
      </c>
      <c r="D903">
        <f>_xlfn.XLOOKUP(A903,'Subbu- Mini Project EXcel Clean'!A903:A1902,'Subbu- Mini Project EXcel Clean'!N903:N1902,"entry Level",0)</f>
        <v>6.5</v>
      </c>
      <c r="E903">
        <f>_xlfn.XLOOKUP(A903,'Subbu- Mini Project EXcel Clean'!A903:A1902,'Subbu- Mini Project EXcel Clean'!M903:M1902," ",0)</f>
        <v>67.5</v>
      </c>
      <c r="F903">
        <f>_xlfn.XLOOKUP(A903,'Subbu- Mini Project EXcel Clean'!A903:A1902,'Subbu- Mini Project EXcel Clean'!P903:P1902," ",0)</f>
        <v>3</v>
      </c>
      <c r="G903" t="str">
        <f>_xlfn.XLOOKUP(A903,'Subbu- Mini Project EXcel Clean'!A903:A1902,'Subbu- Mini Project EXcel Clean'!Q903:Q1902," ",0)</f>
        <v>Low</v>
      </c>
      <c r="H903">
        <f>VLOOKUP(A903,'Subbu- Mini Project EXcel Clean'!A902:R1902,15,FALSE)</f>
        <v>4.4000000000000004</v>
      </c>
    </row>
    <row r="904" spans="1:8" x14ac:dyDescent="0.25">
      <c r="A904" t="s">
        <v>932</v>
      </c>
      <c r="B904">
        <f>_xlfn.XLOOKUP(A904,'Subbu- Mini Project EXcel Clean'!A904:A1903,'Subbu- Mini Project EXcel Clean'!I904:I1903,"Entry Level",0)</f>
        <v>4</v>
      </c>
      <c r="C904" t="str">
        <f>_xlfn.XLOOKUP(A904,'Subbu- Mini Project EXcel Clean'!A904:A1903,'Subbu- Mini Project EXcel Clean'!J904:J1903," ",0)</f>
        <v>Excellent</v>
      </c>
      <c r="D904">
        <f>_xlfn.XLOOKUP(A904,'Subbu- Mini Project EXcel Clean'!A904:A1903,'Subbu- Mini Project EXcel Clean'!N904:N1903,"entry Level",0)</f>
        <v>6.6</v>
      </c>
      <c r="E904">
        <f>_xlfn.XLOOKUP(A904,'Subbu- Mini Project EXcel Clean'!A904:A1903,'Subbu- Mini Project EXcel Clean'!M904:M1903," ",0)</f>
        <v>85.7</v>
      </c>
      <c r="F904">
        <f>_xlfn.XLOOKUP(A904,'Subbu- Mini Project EXcel Clean'!A904:A1903,'Subbu- Mini Project EXcel Clean'!P904:P1903," ",0)</f>
        <v>4</v>
      </c>
      <c r="G904" t="str">
        <f>_xlfn.XLOOKUP(A904,'Subbu- Mini Project EXcel Clean'!A904:A1903,'Subbu- Mini Project EXcel Clean'!Q904:Q1903," ",0)</f>
        <v>Moderate</v>
      </c>
      <c r="H904">
        <f>VLOOKUP(A904,'Subbu- Mini Project EXcel Clean'!A903:R1903,15,FALSE)</f>
        <v>2.7</v>
      </c>
    </row>
    <row r="905" spans="1:8" x14ac:dyDescent="0.25">
      <c r="A905" t="s">
        <v>933</v>
      </c>
      <c r="B905">
        <f>_xlfn.XLOOKUP(A905,'Subbu- Mini Project EXcel Clean'!A905:A1904,'Subbu- Mini Project EXcel Clean'!I905:I1904,"Entry Level",0)</f>
        <v>3</v>
      </c>
      <c r="C905" t="str">
        <f>_xlfn.XLOOKUP(A905,'Subbu- Mini Project EXcel Clean'!A905:A1904,'Subbu- Mini Project EXcel Clean'!J905:J1904," ",0)</f>
        <v>Excellent</v>
      </c>
      <c r="D905">
        <f>_xlfn.XLOOKUP(A905,'Subbu- Mini Project EXcel Clean'!A905:A1904,'Subbu- Mini Project EXcel Clean'!N905:N1904,"entry Level",0)</f>
        <v>6.8</v>
      </c>
      <c r="E905">
        <f>_xlfn.XLOOKUP(A905,'Subbu- Mini Project EXcel Clean'!A905:A1904,'Subbu- Mini Project EXcel Clean'!M905:M1904," ",0)</f>
        <v>84.4</v>
      </c>
      <c r="F905">
        <f>_xlfn.XLOOKUP(A905,'Subbu- Mini Project EXcel Clean'!A905:A1904,'Subbu- Mini Project EXcel Clean'!P905:P1904," ",0)</f>
        <v>1</v>
      </c>
      <c r="G905" t="str">
        <f>_xlfn.XLOOKUP(A905,'Subbu- Mini Project EXcel Clean'!A905:A1904,'Subbu- Mini Project EXcel Clean'!Q905:Q1904," ",0)</f>
        <v>Low</v>
      </c>
      <c r="H905">
        <f>VLOOKUP(A905,'Subbu- Mini Project EXcel Clean'!A904:R1904,15,FALSE)</f>
        <v>4.5</v>
      </c>
    </row>
    <row r="906" spans="1:8" x14ac:dyDescent="0.25">
      <c r="A906" t="s">
        <v>934</v>
      </c>
      <c r="B906">
        <f>_xlfn.XLOOKUP(A906,'Subbu- Mini Project EXcel Clean'!A906:A1905,'Subbu- Mini Project EXcel Clean'!I906:I1905,"Entry Level",0)</f>
        <v>4</v>
      </c>
      <c r="C906" t="str">
        <f>_xlfn.XLOOKUP(A906,'Subbu- Mini Project EXcel Clean'!A906:A1905,'Subbu- Mini Project EXcel Clean'!J906:J1905," ",0)</f>
        <v>Excellent</v>
      </c>
      <c r="D906">
        <f>_xlfn.XLOOKUP(A906,'Subbu- Mini Project EXcel Clean'!A906:A1905,'Subbu- Mini Project EXcel Clean'!N906:N1905,"entry Level",0)</f>
        <v>7.9</v>
      </c>
      <c r="E906">
        <f>_xlfn.XLOOKUP(A906,'Subbu- Mini Project EXcel Clean'!A906:A1905,'Subbu- Mini Project EXcel Clean'!M906:M1905," ",0)</f>
        <v>97.8</v>
      </c>
      <c r="F906">
        <f>_xlfn.XLOOKUP(A906,'Subbu- Mini Project EXcel Clean'!A906:A1905,'Subbu- Mini Project EXcel Clean'!P906:P1905," ",0)</f>
        <v>4</v>
      </c>
      <c r="G906" t="str">
        <f>_xlfn.XLOOKUP(A906,'Subbu- Mini Project EXcel Clean'!A906:A1905,'Subbu- Mini Project EXcel Clean'!Q906:Q1905," ",0)</f>
        <v>Moderate</v>
      </c>
      <c r="H906">
        <f>VLOOKUP(A906,'Subbu- Mini Project EXcel Clean'!A905:R1905,15,FALSE)</f>
        <v>4.5</v>
      </c>
    </row>
    <row r="907" spans="1:8" x14ac:dyDescent="0.25">
      <c r="A907" t="s">
        <v>935</v>
      </c>
      <c r="B907">
        <f>_xlfn.XLOOKUP(A907,'Subbu- Mini Project EXcel Clean'!A907:A1906,'Subbu- Mini Project EXcel Clean'!I907:I1906,"Entry Level",0)</f>
        <v>2</v>
      </c>
      <c r="C907" t="str">
        <f>_xlfn.XLOOKUP(A907,'Subbu- Mini Project EXcel Clean'!A907:A1906,'Subbu- Mini Project EXcel Clean'!J907:J1906," ",0)</f>
        <v>Consistent</v>
      </c>
      <c r="D907">
        <f>_xlfn.XLOOKUP(A907,'Subbu- Mini Project EXcel Clean'!A907:A1906,'Subbu- Mini Project EXcel Clean'!N907:N1906,"entry Level",0)</f>
        <v>7</v>
      </c>
      <c r="E907">
        <f>_xlfn.XLOOKUP(A907,'Subbu- Mini Project EXcel Clean'!A907:A1906,'Subbu- Mini Project EXcel Clean'!M907:M1906," ",0)</f>
        <v>74.3</v>
      </c>
      <c r="F907">
        <f>_xlfn.XLOOKUP(A907,'Subbu- Mini Project EXcel Clean'!A907:A1906,'Subbu- Mini Project EXcel Clean'!P907:P1906," ",0)</f>
        <v>2</v>
      </c>
      <c r="G907" t="str">
        <f>_xlfn.XLOOKUP(A907,'Subbu- Mini Project EXcel Clean'!A907:A1906,'Subbu- Mini Project EXcel Clean'!Q907:Q1906," ",0)</f>
        <v>Low</v>
      </c>
      <c r="H907">
        <f>VLOOKUP(A907,'Subbu- Mini Project EXcel Clean'!A906:R1906,15,FALSE)</f>
        <v>4.5</v>
      </c>
    </row>
    <row r="908" spans="1:8" x14ac:dyDescent="0.25">
      <c r="A908" t="s">
        <v>936</v>
      </c>
      <c r="B908">
        <f>_xlfn.XLOOKUP(A908,'Subbu- Mini Project EXcel Clean'!A908:A1907,'Subbu- Mini Project EXcel Clean'!I908:I1907,"Entry Level",0)</f>
        <v>3</v>
      </c>
      <c r="C908" t="str">
        <f>_xlfn.XLOOKUP(A908,'Subbu- Mini Project EXcel Clean'!A908:A1907,'Subbu- Mini Project EXcel Clean'!J908:J1907," ",0)</f>
        <v>Consistent</v>
      </c>
      <c r="D908">
        <f>_xlfn.XLOOKUP(A908,'Subbu- Mini Project EXcel Clean'!A908:A1907,'Subbu- Mini Project EXcel Clean'!N908:N1907,"entry Level",0)</f>
        <v>6.5</v>
      </c>
      <c r="E908">
        <f>_xlfn.XLOOKUP(A908,'Subbu- Mini Project EXcel Clean'!A908:A1907,'Subbu- Mini Project EXcel Clean'!M908:M1907," ",0)</f>
        <v>76.099999999999994</v>
      </c>
      <c r="F908">
        <f>_xlfn.XLOOKUP(A908,'Subbu- Mini Project EXcel Clean'!A908:A1907,'Subbu- Mini Project EXcel Clean'!P908:P1907," ",0)</f>
        <v>6</v>
      </c>
      <c r="G908" t="str">
        <f>_xlfn.XLOOKUP(A908,'Subbu- Mini Project EXcel Clean'!A908:A1907,'Subbu- Mini Project EXcel Clean'!Q908:Q1907," ",0)</f>
        <v>Moderate</v>
      </c>
      <c r="H908">
        <f>VLOOKUP(A908,'Subbu- Mini Project EXcel Clean'!A907:R1907,15,FALSE)</f>
        <v>3.5</v>
      </c>
    </row>
    <row r="909" spans="1:8" x14ac:dyDescent="0.25">
      <c r="A909" t="s">
        <v>937</v>
      </c>
      <c r="B909">
        <f>_xlfn.XLOOKUP(A909,'Subbu- Mini Project EXcel Clean'!A909:A1908,'Subbu- Mini Project EXcel Clean'!I909:I1908,"Entry Level",0)</f>
        <v>3</v>
      </c>
      <c r="C909" t="str">
        <f>_xlfn.XLOOKUP(A909,'Subbu- Mini Project EXcel Clean'!A909:A1908,'Subbu- Mini Project EXcel Clean'!J909:J1908," ",0)</f>
        <v>Consistent</v>
      </c>
      <c r="D909">
        <f>_xlfn.XLOOKUP(A909,'Subbu- Mini Project EXcel Clean'!A909:A1908,'Subbu- Mini Project EXcel Clean'!N909:N1908,"entry Level",0)</f>
        <v>6.9</v>
      </c>
      <c r="E909">
        <f>_xlfn.XLOOKUP(A909,'Subbu- Mini Project EXcel Clean'!A909:A1908,'Subbu- Mini Project EXcel Clean'!M909:M1908," ",0)</f>
        <v>73.7</v>
      </c>
      <c r="F909">
        <f>_xlfn.XLOOKUP(A909,'Subbu- Mini Project EXcel Clean'!A909:A1908,'Subbu- Mini Project EXcel Clean'!P909:P1908," ",0)</f>
        <v>1</v>
      </c>
      <c r="G909" t="str">
        <f>_xlfn.XLOOKUP(A909,'Subbu- Mini Project EXcel Clean'!A909:A1908,'Subbu- Mini Project EXcel Clean'!Q909:Q1908," ",0)</f>
        <v>Low</v>
      </c>
      <c r="H909">
        <f>VLOOKUP(A909,'Subbu- Mini Project EXcel Clean'!A908:R1908,15,FALSE)</f>
        <v>5.6</v>
      </c>
    </row>
    <row r="910" spans="1:8" x14ac:dyDescent="0.25">
      <c r="A910" t="s">
        <v>938</v>
      </c>
      <c r="B910">
        <f>_xlfn.XLOOKUP(A910,'Subbu- Mini Project EXcel Clean'!A910:A1909,'Subbu- Mini Project EXcel Clean'!I910:I1909,"Entry Level",0)</f>
        <v>5</v>
      </c>
      <c r="C910" t="str">
        <f>_xlfn.XLOOKUP(A910,'Subbu- Mini Project EXcel Clean'!A910:A1909,'Subbu- Mini Project EXcel Clean'!J910:J1909," ",0)</f>
        <v>Good</v>
      </c>
      <c r="D910">
        <f>_xlfn.XLOOKUP(A910,'Subbu- Mini Project EXcel Clean'!A910:A1909,'Subbu- Mini Project EXcel Clean'!N910:N1909,"entry Level",0)</f>
        <v>6.8</v>
      </c>
      <c r="E910">
        <f>_xlfn.XLOOKUP(A910,'Subbu- Mini Project EXcel Clean'!A910:A1909,'Subbu- Mini Project EXcel Clean'!M910:M1909," ",0)</f>
        <v>98.5</v>
      </c>
      <c r="F910">
        <f>_xlfn.XLOOKUP(A910,'Subbu- Mini Project EXcel Clean'!A910:A1909,'Subbu- Mini Project EXcel Clean'!P910:P1909," ",0)</f>
        <v>2</v>
      </c>
      <c r="G910" t="str">
        <f>_xlfn.XLOOKUP(A910,'Subbu- Mini Project EXcel Clean'!A910:A1909,'Subbu- Mini Project EXcel Clean'!Q910:Q1909," ",0)</f>
        <v>Low</v>
      </c>
      <c r="H910">
        <f>VLOOKUP(A910,'Subbu- Mini Project EXcel Clean'!A909:R1909,15,FALSE)</f>
        <v>3.4</v>
      </c>
    </row>
    <row r="911" spans="1:8" x14ac:dyDescent="0.25">
      <c r="A911" t="s">
        <v>939</v>
      </c>
      <c r="B911">
        <f>_xlfn.XLOOKUP(A911,'Subbu- Mini Project EXcel Clean'!A911:A1910,'Subbu- Mini Project EXcel Clean'!I911:I1910,"Entry Level",0)</f>
        <v>2</v>
      </c>
      <c r="C911" t="str">
        <f>_xlfn.XLOOKUP(A911,'Subbu- Mini Project EXcel Clean'!A911:A1910,'Subbu- Mini Project EXcel Clean'!J911:J1910," ",0)</f>
        <v>Consistent</v>
      </c>
      <c r="D911">
        <f>_xlfn.XLOOKUP(A911,'Subbu- Mini Project EXcel Clean'!A911:A1910,'Subbu- Mini Project EXcel Clean'!N911:N1910,"entry Level",0)</f>
        <v>7.7</v>
      </c>
      <c r="E911">
        <f>_xlfn.XLOOKUP(A911,'Subbu- Mini Project EXcel Clean'!A911:A1910,'Subbu- Mini Project EXcel Clean'!M911:M1910," ",0)</f>
        <v>79.900000000000006</v>
      </c>
      <c r="F911">
        <f>_xlfn.XLOOKUP(A911,'Subbu- Mini Project EXcel Clean'!A911:A1910,'Subbu- Mini Project EXcel Clean'!P911:P1910," ",0)</f>
        <v>3</v>
      </c>
      <c r="G911" t="str">
        <f>_xlfn.XLOOKUP(A911,'Subbu- Mini Project EXcel Clean'!A911:A1910,'Subbu- Mini Project EXcel Clean'!Q911:Q1910," ",0)</f>
        <v>Moderate</v>
      </c>
      <c r="H911">
        <f>VLOOKUP(A911,'Subbu- Mini Project EXcel Clean'!A910:R1910,15,FALSE)</f>
        <v>3.3</v>
      </c>
    </row>
    <row r="912" spans="1:8" x14ac:dyDescent="0.25">
      <c r="A912" t="s">
        <v>940</v>
      </c>
      <c r="B912">
        <f>_xlfn.XLOOKUP(A912,'Subbu- Mini Project EXcel Clean'!A912:A1911,'Subbu- Mini Project EXcel Clean'!I912:I1911,"Entry Level",0)</f>
        <v>2</v>
      </c>
      <c r="C912" t="str">
        <f>_xlfn.XLOOKUP(A912,'Subbu- Mini Project EXcel Clean'!A912:A1911,'Subbu- Mini Project EXcel Clean'!J912:J1911," ",0)</f>
        <v>Consistent</v>
      </c>
      <c r="D912">
        <f>_xlfn.XLOOKUP(A912,'Subbu- Mini Project EXcel Clean'!A912:A1911,'Subbu- Mini Project EXcel Clean'!N912:N1911,"entry Level",0)</f>
        <v>7.8</v>
      </c>
      <c r="E912">
        <f>_xlfn.XLOOKUP(A912,'Subbu- Mini Project EXcel Clean'!A912:A1911,'Subbu- Mini Project EXcel Clean'!M912:M1911," ",0)</f>
        <v>70.900000000000006</v>
      </c>
      <c r="F912">
        <f>_xlfn.XLOOKUP(A912,'Subbu- Mini Project EXcel Clean'!A912:A1911,'Subbu- Mini Project EXcel Clean'!P912:P1911," ",0)</f>
        <v>6</v>
      </c>
      <c r="G912" t="str">
        <f>_xlfn.XLOOKUP(A912,'Subbu- Mini Project EXcel Clean'!A912:A1911,'Subbu- Mini Project EXcel Clean'!Q912:Q1911," ",0)</f>
        <v>Moderate</v>
      </c>
      <c r="H912">
        <f>VLOOKUP(A912,'Subbu- Mini Project EXcel Clean'!A911:R1911,15,FALSE)</f>
        <v>2</v>
      </c>
    </row>
    <row r="913" spans="1:8" x14ac:dyDescent="0.25">
      <c r="A913" t="s">
        <v>941</v>
      </c>
      <c r="B913">
        <f>_xlfn.XLOOKUP(A913,'Subbu- Mini Project EXcel Clean'!A913:A1912,'Subbu- Mini Project EXcel Clean'!I913:I1912,"Entry Level",0)</f>
        <v>2</v>
      </c>
      <c r="C913" t="str">
        <f>_xlfn.XLOOKUP(A913,'Subbu- Mini Project EXcel Clean'!A913:A1912,'Subbu- Mini Project EXcel Clean'!J913:J1912," ",0)</f>
        <v>Consistent</v>
      </c>
      <c r="D913">
        <f>_xlfn.XLOOKUP(A913,'Subbu- Mini Project EXcel Clean'!A913:A1912,'Subbu- Mini Project EXcel Clean'!N913:N1912,"entry Level",0)</f>
        <v>5.8</v>
      </c>
      <c r="E913">
        <f>_xlfn.XLOOKUP(A913,'Subbu- Mini Project EXcel Clean'!A913:A1912,'Subbu- Mini Project EXcel Clean'!M913:M1912," ",0)</f>
        <v>74.099999999999994</v>
      </c>
      <c r="F913">
        <f>_xlfn.XLOOKUP(A913,'Subbu- Mini Project EXcel Clean'!A913:A1912,'Subbu- Mini Project EXcel Clean'!P913:P1912," ",0)</f>
        <v>4</v>
      </c>
      <c r="G913" t="str">
        <f>_xlfn.XLOOKUP(A913,'Subbu- Mini Project EXcel Clean'!A913:A1912,'Subbu- Mini Project EXcel Clean'!Q913:Q1912," ",0)</f>
        <v>Moderate</v>
      </c>
      <c r="H913">
        <f>VLOOKUP(A913,'Subbu- Mini Project EXcel Clean'!A912:R1912,15,FALSE)</f>
        <v>2.5</v>
      </c>
    </row>
    <row r="914" spans="1:8" x14ac:dyDescent="0.25">
      <c r="A914" t="s">
        <v>942</v>
      </c>
      <c r="B914">
        <f>_xlfn.XLOOKUP(A914,'Subbu- Mini Project EXcel Clean'!A914:A1913,'Subbu- Mini Project EXcel Clean'!I914:I1913,"Entry Level",0)</f>
        <v>3</v>
      </c>
      <c r="C914" t="str">
        <f>_xlfn.XLOOKUP(A914,'Subbu- Mini Project EXcel Clean'!A914:A1913,'Subbu- Mini Project EXcel Clean'!J914:J1913," ",0)</f>
        <v>Excellent</v>
      </c>
      <c r="D914">
        <f>_xlfn.XLOOKUP(A914,'Subbu- Mini Project EXcel Clean'!A914:A1913,'Subbu- Mini Project EXcel Clean'!N914:N1913,"entry Level",0)</f>
        <v>7.1</v>
      </c>
      <c r="E914">
        <f>_xlfn.XLOOKUP(A914,'Subbu- Mini Project EXcel Clean'!A914:A1913,'Subbu- Mini Project EXcel Clean'!M914:M1913," ",0)</f>
        <v>80.2</v>
      </c>
      <c r="F914">
        <f>_xlfn.XLOOKUP(A914,'Subbu- Mini Project EXcel Clean'!A914:A1913,'Subbu- Mini Project EXcel Clean'!P914:P1913," ",0)</f>
        <v>6</v>
      </c>
      <c r="G914" t="str">
        <f>_xlfn.XLOOKUP(A914,'Subbu- Mini Project EXcel Clean'!A914:A1913,'Subbu- Mini Project EXcel Clean'!Q914:Q1913," ",0)</f>
        <v>High</v>
      </c>
      <c r="H914">
        <f>VLOOKUP(A914,'Subbu- Mini Project EXcel Clean'!A913:R1913,15,FALSE)</f>
        <v>1.2</v>
      </c>
    </row>
    <row r="915" spans="1:8" x14ac:dyDescent="0.25">
      <c r="A915" t="s">
        <v>943</v>
      </c>
      <c r="B915">
        <f>_xlfn.XLOOKUP(A915,'Subbu- Mini Project EXcel Clean'!A915:A1914,'Subbu- Mini Project EXcel Clean'!I915:I1914,"Entry Level",0)</f>
        <v>2</v>
      </c>
      <c r="C915" t="str">
        <f>_xlfn.XLOOKUP(A915,'Subbu- Mini Project EXcel Clean'!A915:A1914,'Subbu- Mini Project EXcel Clean'!J915:J1914," ",0)</f>
        <v>Consistent</v>
      </c>
      <c r="D915">
        <f>_xlfn.XLOOKUP(A915,'Subbu- Mini Project EXcel Clean'!A915:A1914,'Subbu- Mini Project EXcel Clean'!N915:N1914,"entry Level",0)</f>
        <v>7.2</v>
      </c>
      <c r="E915">
        <f>_xlfn.XLOOKUP(A915,'Subbu- Mini Project EXcel Clean'!A915:A1914,'Subbu- Mini Project EXcel Clean'!M915:M1914," ",0)</f>
        <v>75.599999999999994</v>
      </c>
      <c r="F915">
        <f>_xlfn.XLOOKUP(A915,'Subbu- Mini Project EXcel Clean'!A915:A1914,'Subbu- Mini Project EXcel Clean'!P915:P1914," ",0)</f>
        <v>5</v>
      </c>
      <c r="G915" t="str">
        <f>_xlfn.XLOOKUP(A915,'Subbu- Mini Project EXcel Clean'!A915:A1914,'Subbu- Mini Project EXcel Clean'!Q915:Q1914," ",0)</f>
        <v>Moderate</v>
      </c>
      <c r="H915">
        <f>VLOOKUP(A915,'Subbu- Mini Project EXcel Clean'!A914:R1914,15,FALSE)</f>
        <v>4.2</v>
      </c>
    </row>
    <row r="916" spans="1:8" x14ac:dyDescent="0.25">
      <c r="A916" t="s">
        <v>944</v>
      </c>
      <c r="B916">
        <f>_xlfn.XLOOKUP(A916,'Subbu- Mini Project EXcel Clean'!A916:A1915,'Subbu- Mini Project EXcel Clean'!I916:I1915,"Entry Level",0)</f>
        <v>5</v>
      </c>
      <c r="C916" t="str">
        <f>_xlfn.XLOOKUP(A916,'Subbu- Mini Project EXcel Clean'!A916:A1915,'Subbu- Mini Project EXcel Clean'!J916:J1915," ",0)</f>
        <v>Good</v>
      </c>
      <c r="D916">
        <f>_xlfn.XLOOKUP(A916,'Subbu- Mini Project EXcel Clean'!A916:A1915,'Subbu- Mini Project EXcel Clean'!N916:N1915,"entry Level",0)</f>
        <v>7.4</v>
      </c>
      <c r="E916">
        <f>_xlfn.XLOOKUP(A916,'Subbu- Mini Project EXcel Clean'!A916:A1915,'Subbu- Mini Project EXcel Clean'!M916:M1915," ",0)</f>
        <v>106.4</v>
      </c>
      <c r="F916">
        <f>_xlfn.XLOOKUP(A916,'Subbu- Mini Project EXcel Clean'!A916:A1915,'Subbu- Mini Project EXcel Clean'!P916:P1915," ",0)</f>
        <v>2</v>
      </c>
      <c r="G916" t="str">
        <f>_xlfn.XLOOKUP(A916,'Subbu- Mini Project EXcel Clean'!A916:A1915,'Subbu- Mini Project EXcel Clean'!Q916:Q1915," ",0)</f>
        <v>Low</v>
      </c>
      <c r="H916">
        <f>VLOOKUP(A916,'Subbu- Mini Project EXcel Clean'!A915:R1915,15,FALSE)</f>
        <v>2.2000000000000002</v>
      </c>
    </row>
    <row r="917" spans="1:8" x14ac:dyDescent="0.25">
      <c r="A917" t="s">
        <v>945</v>
      </c>
      <c r="B917">
        <f>_xlfn.XLOOKUP(A917,'Subbu- Mini Project EXcel Clean'!A917:A1916,'Subbu- Mini Project EXcel Clean'!I917:I1916,"Entry Level",0)</f>
        <v>2</v>
      </c>
      <c r="C917" t="str">
        <f>_xlfn.XLOOKUP(A917,'Subbu- Mini Project EXcel Clean'!A917:A1916,'Subbu- Mini Project EXcel Clean'!J917:J1916," ",0)</f>
        <v>Consistent</v>
      </c>
      <c r="D917">
        <f>_xlfn.XLOOKUP(A917,'Subbu- Mini Project EXcel Clean'!A917:A1916,'Subbu- Mini Project EXcel Clean'!N917:N1916,"entry Level",0)</f>
        <v>6.7</v>
      </c>
      <c r="E917">
        <f>_xlfn.XLOOKUP(A917,'Subbu- Mini Project EXcel Clean'!A917:A1916,'Subbu- Mini Project EXcel Clean'!M917:M1916," ",0)</f>
        <v>72.900000000000006</v>
      </c>
      <c r="F917">
        <f>_xlfn.XLOOKUP(A917,'Subbu- Mini Project EXcel Clean'!A917:A1916,'Subbu- Mini Project EXcel Clean'!P917:P1916," ",0)</f>
        <v>6</v>
      </c>
      <c r="G917" t="str">
        <f>_xlfn.XLOOKUP(A917,'Subbu- Mini Project EXcel Clean'!A917:A1916,'Subbu- Mini Project EXcel Clean'!Q917:Q1916," ",0)</f>
        <v>Moderate</v>
      </c>
      <c r="H917">
        <f>VLOOKUP(A917,'Subbu- Mini Project EXcel Clean'!A916:R1916,15,FALSE)</f>
        <v>2.5</v>
      </c>
    </row>
    <row r="918" spans="1:8" x14ac:dyDescent="0.25">
      <c r="A918" t="s">
        <v>946</v>
      </c>
      <c r="B918">
        <f>_xlfn.XLOOKUP(A918,'Subbu- Mini Project EXcel Clean'!A918:A1917,'Subbu- Mini Project EXcel Clean'!I918:I1917,"Entry Level",0)</f>
        <v>5</v>
      </c>
      <c r="C918" t="str">
        <f>_xlfn.XLOOKUP(A918,'Subbu- Mini Project EXcel Clean'!A918:A1917,'Subbu- Mini Project EXcel Clean'!J918:J1917," ",0)</f>
        <v>Good</v>
      </c>
      <c r="D918">
        <f>_xlfn.XLOOKUP(A918,'Subbu- Mini Project EXcel Clean'!A918:A1917,'Subbu- Mini Project EXcel Clean'!N918:N1917,"entry Level",0)</f>
        <v>6.2</v>
      </c>
      <c r="E918">
        <f>_xlfn.XLOOKUP(A918,'Subbu- Mini Project EXcel Clean'!A918:A1917,'Subbu- Mini Project EXcel Clean'!M918:M1917," ",0)</f>
        <v>96.2</v>
      </c>
      <c r="F918">
        <f>_xlfn.XLOOKUP(A918,'Subbu- Mini Project EXcel Clean'!A918:A1917,'Subbu- Mini Project EXcel Clean'!P918:P1917," ",0)</f>
        <v>6</v>
      </c>
      <c r="G918" t="str">
        <f>_xlfn.XLOOKUP(A918,'Subbu- Mini Project EXcel Clean'!A918:A1917,'Subbu- Mini Project EXcel Clean'!Q918:Q1917," ",0)</f>
        <v>High</v>
      </c>
      <c r="H918">
        <f>VLOOKUP(A918,'Subbu- Mini Project EXcel Clean'!A917:R1917,15,FALSE)</f>
        <v>4.9000000000000004</v>
      </c>
    </row>
    <row r="919" spans="1:8" x14ac:dyDescent="0.25">
      <c r="A919" t="s">
        <v>947</v>
      </c>
      <c r="B919">
        <f>_xlfn.XLOOKUP(A919,'Subbu- Mini Project EXcel Clean'!A919:A1918,'Subbu- Mini Project EXcel Clean'!I919:I1918,"Entry Level",0)</f>
        <v>1</v>
      </c>
      <c r="C919" t="str">
        <f>_xlfn.XLOOKUP(A919,'Subbu- Mini Project EXcel Clean'!A919:A1918,'Subbu- Mini Project EXcel Clean'!J919:J1918," ",0)</f>
        <v>Consistent</v>
      </c>
      <c r="D919">
        <f>_xlfn.XLOOKUP(A919,'Subbu- Mini Project EXcel Clean'!A919:A1918,'Subbu- Mini Project EXcel Clean'!N919:N1918,"entry Level",0)</f>
        <v>6.3</v>
      </c>
      <c r="E919">
        <f>_xlfn.XLOOKUP(A919,'Subbu- Mini Project EXcel Clean'!A919:A1918,'Subbu- Mini Project EXcel Clean'!M919:M1918," ",0)</f>
        <v>64.3</v>
      </c>
      <c r="F919">
        <f>_xlfn.XLOOKUP(A919,'Subbu- Mini Project EXcel Clean'!A919:A1918,'Subbu- Mini Project EXcel Clean'!P919:P1918," ",0)</f>
        <v>2</v>
      </c>
      <c r="G919" t="str">
        <f>_xlfn.XLOOKUP(A919,'Subbu- Mini Project EXcel Clean'!A919:A1918,'Subbu- Mini Project EXcel Clean'!Q919:Q1918," ",0)</f>
        <v>Low</v>
      </c>
      <c r="H919">
        <f>VLOOKUP(A919,'Subbu- Mini Project EXcel Clean'!A918:R1918,15,FALSE)</f>
        <v>2.6</v>
      </c>
    </row>
    <row r="920" spans="1:8" x14ac:dyDescent="0.25">
      <c r="A920" t="s">
        <v>948</v>
      </c>
      <c r="B920">
        <f>_xlfn.XLOOKUP(A920,'Subbu- Mini Project EXcel Clean'!A920:A1919,'Subbu- Mini Project EXcel Clean'!I920:I1919,"Entry Level",0)</f>
        <v>4</v>
      </c>
      <c r="C920" t="str">
        <f>_xlfn.XLOOKUP(A920,'Subbu- Mini Project EXcel Clean'!A920:A1919,'Subbu- Mini Project EXcel Clean'!J920:J1919," ",0)</f>
        <v>Excellent</v>
      </c>
      <c r="D920">
        <f>_xlfn.XLOOKUP(A920,'Subbu- Mini Project EXcel Clean'!A920:A1919,'Subbu- Mini Project EXcel Clean'!N920:N1919,"entry Level",0)</f>
        <v>7.3</v>
      </c>
      <c r="E920">
        <f>_xlfn.XLOOKUP(A920,'Subbu- Mini Project EXcel Clean'!A920:A1919,'Subbu- Mini Project EXcel Clean'!M920:M1919," ",0)</f>
        <v>74.3</v>
      </c>
      <c r="F920">
        <f>_xlfn.XLOOKUP(A920,'Subbu- Mini Project EXcel Clean'!A920:A1919,'Subbu- Mini Project EXcel Clean'!P920:P1919," ",0)</f>
        <v>6</v>
      </c>
      <c r="G920" t="str">
        <f>_xlfn.XLOOKUP(A920,'Subbu- Mini Project EXcel Clean'!A920:A1919,'Subbu- Mini Project EXcel Clean'!Q920:Q1919," ",0)</f>
        <v>High</v>
      </c>
      <c r="H920">
        <f>VLOOKUP(A920,'Subbu- Mini Project EXcel Clean'!A919:R1919,15,FALSE)</f>
        <v>2.2000000000000002</v>
      </c>
    </row>
    <row r="921" spans="1:8" x14ac:dyDescent="0.25">
      <c r="A921" t="s">
        <v>949</v>
      </c>
      <c r="B921">
        <f>_xlfn.XLOOKUP(A921,'Subbu- Mini Project EXcel Clean'!A921:A1920,'Subbu- Mini Project EXcel Clean'!I921:I1920,"Entry Level",0)</f>
        <v>5</v>
      </c>
      <c r="C921" t="str">
        <f>_xlfn.XLOOKUP(A921,'Subbu- Mini Project EXcel Clean'!A921:A1920,'Subbu- Mini Project EXcel Clean'!J921:J1920," ",0)</f>
        <v>Good</v>
      </c>
      <c r="D921">
        <f>_xlfn.XLOOKUP(A921,'Subbu- Mini Project EXcel Clean'!A921:A1920,'Subbu- Mini Project EXcel Clean'!N921:N1920,"entry Level",0)</f>
        <v>8.6</v>
      </c>
      <c r="E921">
        <f>_xlfn.XLOOKUP(A921,'Subbu- Mini Project EXcel Clean'!A921:A1920,'Subbu- Mini Project EXcel Clean'!M921:M1920," ",0)</f>
        <v>100</v>
      </c>
      <c r="F921">
        <f>_xlfn.XLOOKUP(A921,'Subbu- Mini Project EXcel Clean'!A921:A1920,'Subbu- Mini Project EXcel Clean'!P921:P1920," ",0)</f>
        <v>5</v>
      </c>
      <c r="G921" t="str">
        <f>_xlfn.XLOOKUP(A921,'Subbu- Mini Project EXcel Clean'!A921:A1920,'Subbu- Mini Project EXcel Clean'!Q921:Q1920," ",0)</f>
        <v>Moderate</v>
      </c>
      <c r="H921">
        <f>VLOOKUP(A921,'Subbu- Mini Project EXcel Clean'!A920:R1920,15,FALSE)</f>
        <v>1.8</v>
      </c>
    </row>
    <row r="922" spans="1:8" x14ac:dyDescent="0.25">
      <c r="A922" t="s">
        <v>950</v>
      </c>
      <c r="B922">
        <f>_xlfn.XLOOKUP(A922,'Subbu- Mini Project EXcel Clean'!A922:A1921,'Subbu- Mini Project EXcel Clean'!I922:I1921,"Entry Level",0)</f>
        <v>2</v>
      </c>
      <c r="C922" t="str">
        <f>_xlfn.XLOOKUP(A922,'Subbu- Mini Project EXcel Clean'!A922:A1921,'Subbu- Mini Project EXcel Clean'!J922:J1921," ",0)</f>
        <v>Consistent</v>
      </c>
      <c r="D922">
        <f>_xlfn.XLOOKUP(A922,'Subbu- Mini Project EXcel Clean'!A922:A1921,'Subbu- Mini Project EXcel Clean'!N922:N1921,"entry Level",0)</f>
        <v>6.9</v>
      </c>
      <c r="E922">
        <f>_xlfn.XLOOKUP(A922,'Subbu- Mini Project EXcel Clean'!A922:A1921,'Subbu- Mini Project EXcel Clean'!M922:M1921," ",0)</f>
        <v>67.400000000000006</v>
      </c>
      <c r="F922">
        <f>_xlfn.XLOOKUP(A922,'Subbu- Mini Project EXcel Clean'!A922:A1921,'Subbu- Mini Project EXcel Clean'!P922:P1921," ",0)</f>
        <v>7</v>
      </c>
      <c r="G922" t="str">
        <f>_xlfn.XLOOKUP(A922,'Subbu- Mini Project EXcel Clean'!A922:A1921,'Subbu- Mini Project EXcel Clean'!Q922:Q1921," ",0)</f>
        <v>High</v>
      </c>
      <c r="H922">
        <f>VLOOKUP(A922,'Subbu- Mini Project EXcel Clean'!A921:R1921,15,FALSE)</f>
        <v>4.9000000000000004</v>
      </c>
    </row>
    <row r="923" spans="1:8" x14ac:dyDescent="0.25">
      <c r="A923" t="s">
        <v>951</v>
      </c>
      <c r="B923">
        <f>_xlfn.XLOOKUP(A923,'Subbu- Mini Project EXcel Clean'!A923:A1922,'Subbu- Mini Project EXcel Clean'!I923:I1922,"Entry Level",0)</f>
        <v>5</v>
      </c>
      <c r="C923" t="str">
        <f>_xlfn.XLOOKUP(A923,'Subbu- Mini Project EXcel Clean'!A923:A1922,'Subbu- Mini Project EXcel Clean'!J923:J1922," ",0)</f>
        <v>Good</v>
      </c>
      <c r="D923">
        <f>_xlfn.XLOOKUP(A923,'Subbu- Mini Project EXcel Clean'!A923:A1922,'Subbu- Mini Project EXcel Clean'!N923:N1922,"entry Level",0)</f>
        <v>8.6</v>
      </c>
      <c r="E923">
        <f>_xlfn.XLOOKUP(A923,'Subbu- Mini Project EXcel Clean'!A923:A1922,'Subbu- Mini Project EXcel Clean'!M923:M1922," ",0)</f>
        <v>100.9</v>
      </c>
      <c r="F923">
        <f>_xlfn.XLOOKUP(A923,'Subbu- Mini Project EXcel Clean'!A923:A1922,'Subbu- Mini Project EXcel Clean'!P923:P1922," ",0)</f>
        <v>1</v>
      </c>
      <c r="G923" t="str">
        <f>_xlfn.XLOOKUP(A923,'Subbu- Mini Project EXcel Clean'!A923:A1922,'Subbu- Mini Project EXcel Clean'!Q923:Q1922," ",0)</f>
        <v>Low</v>
      </c>
      <c r="H923">
        <f>VLOOKUP(A923,'Subbu- Mini Project EXcel Clean'!A922:R1922,15,FALSE)</f>
        <v>1.6</v>
      </c>
    </row>
    <row r="924" spans="1:8" x14ac:dyDescent="0.25">
      <c r="A924" t="s">
        <v>952</v>
      </c>
      <c r="B924">
        <f>_xlfn.XLOOKUP(A924,'Subbu- Mini Project EXcel Clean'!A924:A1923,'Subbu- Mini Project EXcel Clean'!I924:I1923,"Entry Level",0)</f>
        <v>3</v>
      </c>
      <c r="C924" t="str">
        <f>_xlfn.XLOOKUP(A924,'Subbu- Mini Project EXcel Clean'!A924:A1923,'Subbu- Mini Project EXcel Clean'!J924:J1923," ",0)</f>
        <v>Consistent</v>
      </c>
      <c r="D924">
        <f>_xlfn.XLOOKUP(A924,'Subbu- Mini Project EXcel Clean'!A924:A1923,'Subbu- Mini Project EXcel Clean'!N924:N1923,"entry Level",0)</f>
        <v>7.5</v>
      </c>
      <c r="E924">
        <f>_xlfn.XLOOKUP(A924,'Subbu- Mini Project EXcel Clean'!A924:A1923,'Subbu- Mini Project EXcel Clean'!M924:M1923," ",0)</f>
        <v>74.599999999999994</v>
      </c>
      <c r="F924">
        <f>_xlfn.XLOOKUP(A924,'Subbu- Mini Project EXcel Clean'!A924:A1923,'Subbu- Mini Project EXcel Clean'!P924:P1923," ",0)</f>
        <v>3</v>
      </c>
      <c r="G924" t="str">
        <f>_xlfn.XLOOKUP(A924,'Subbu- Mini Project EXcel Clean'!A924:A1923,'Subbu- Mini Project EXcel Clean'!Q924:Q1923," ",0)</f>
        <v>Low</v>
      </c>
      <c r="H924">
        <f>VLOOKUP(A924,'Subbu- Mini Project EXcel Clean'!A923:R1923,15,FALSE)</f>
        <v>3.3</v>
      </c>
    </row>
    <row r="925" spans="1:8" x14ac:dyDescent="0.25">
      <c r="A925" t="s">
        <v>953</v>
      </c>
      <c r="B925">
        <f>_xlfn.XLOOKUP(A925,'Subbu- Mini Project EXcel Clean'!A925:A1924,'Subbu- Mini Project EXcel Clean'!I925:I1924,"Entry Level",0)</f>
        <v>5</v>
      </c>
      <c r="C925" t="str">
        <f>_xlfn.XLOOKUP(A925,'Subbu- Mini Project EXcel Clean'!A925:A1924,'Subbu- Mini Project EXcel Clean'!J925:J1924," ",0)</f>
        <v>Good</v>
      </c>
      <c r="D925">
        <f>_xlfn.XLOOKUP(A925,'Subbu- Mini Project EXcel Clean'!A925:A1924,'Subbu- Mini Project EXcel Clean'!N925:N1924,"entry Level",0)</f>
        <v>7.5</v>
      </c>
      <c r="E925">
        <f>_xlfn.XLOOKUP(A925,'Subbu- Mini Project EXcel Clean'!A925:A1924,'Subbu- Mini Project EXcel Clean'!M925:M1924," ",0)</f>
        <v>95.9</v>
      </c>
      <c r="F925">
        <f>_xlfn.XLOOKUP(A925,'Subbu- Mini Project EXcel Clean'!A925:A1924,'Subbu- Mini Project EXcel Clean'!P925:P1924," ",0)</f>
        <v>3</v>
      </c>
      <c r="G925" t="str">
        <f>_xlfn.XLOOKUP(A925,'Subbu- Mini Project EXcel Clean'!A925:A1924,'Subbu- Mini Project EXcel Clean'!Q925:Q1924," ",0)</f>
        <v>Low</v>
      </c>
      <c r="H925">
        <f>VLOOKUP(A925,'Subbu- Mini Project EXcel Clean'!A924:R1924,15,FALSE)</f>
        <v>3.5</v>
      </c>
    </row>
    <row r="926" spans="1:8" x14ac:dyDescent="0.25">
      <c r="A926" t="s">
        <v>954</v>
      </c>
      <c r="B926">
        <f>_xlfn.XLOOKUP(A926,'Subbu- Mini Project EXcel Clean'!A926:A1925,'Subbu- Mini Project EXcel Clean'!I926:I1925,"Entry Level",0)</f>
        <v>4</v>
      </c>
      <c r="C926" t="str">
        <f>_xlfn.XLOOKUP(A926,'Subbu- Mini Project EXcel Clean'!A926:A1925,'Subbu- Mini Project EXcel Clean'!J926:J1925," ",0)</f>
        <v>Excellent</v>
      </c>
      <c r="D926">
        <f>_xlfn.XLOOKUP(A926,'Subbu- Mini Project EXcel Clean'!A926:A1925,'Subbu- Mini Project EXcel Clean'!N926:N1925,"entry Level",0)</f>
        <v>7.7</v>
      </c>
      <c r="E926">
        <f>_xlfn.XLOOKUP(A926,'Subbu- Mini Project EXcel Clean'!A926:A1925,'Subbu- Mini Project EXcel Clean'!M926:M1925," ",0)</f>
        <v>85</v>
      </c>
      <c r="F926">
        <f>_xlfn.XLOOKUP(A926,'Subbu- Mini Project EXcel Clean'!A926:A1925,'Subbu- Mini Project EXcel Clean'!P926:P1925," ",0)</f>
        <v>3</v>
      </c>
      <c r="G926" t="str">
        <f>_xlfn.XLOOKUP(A926,'Subbu- Mini Project EXcel Clean'!A926:A1925,'Subbu- Mini Project EXcel Clean'!Q926:Q1925," ",0)</f>
        <v>Moderate</v>
      </c>
      <c r="H926">
        <f>VLOOKUP(A926,'Subbu- Mini Project EXcel Clean'!A925:R1925,15,FALSE)</f>
        <v>4.4000000000000004</v>
      </c>
    </row>
    <row r="927" spans="1:8" x14ac:dyDescent="0.25">
      <c r="A927" t="s">
        <v>955</v>
      </c>
      <c r="B927">
        <f>_xlfn.XLOOKUP(A927,'Subbu- Mini Project EXcel Clean'!A927:A1926,'Subbu- Mini Project EXcel Clean'!I927:I1926,"Entry Level",0)</f>
        <v>2</v>
      </c>
      <c r="C927" t="str">
        <f>_xlfn.XLOOKUP(A927,'Subbu- Mini Project EXcel Clean'!A927:A1926,'Subbu- Mini Project EXcel Clean'!J927:J1926," ",0)</f>
        <v>Consistent</v>
      </c>
      <c r="D927">
        <f>_xlfn.XLOOKUP(A927,'Subbu- Mini Project EXcel Clean'!A927:A1926,'Subbu- Mini Project EXcel Clean'!N927:N1926,"entry Level",0)</f>
        <v>6.9</v>
      </c>
      <c r="E927">
        <f>_xlfn.XLOOKUP(A927,'Subbu- Mini Project EXcel Clean'!A927:A1926,'Subbu- Mini Project EXcel Clean'!M927:M1926," ",0)</f>
        <v>77.2</v>
      </c>
      <c r="F927">
        <f>_xlfn.XLOOKUP(A927,'Subbu- Mini Project EXcel Clean'!A927:A1926,'Subbu- Mini Project EXcel Clean'!P927:P1926," ",0)</f>
        <v>5</v>
      </c>
      <c r="G927" t="str">
        <f>_xlfn.XLOOKUP(A927,'Subbu- Mini Project EXcel Clean'!A927:A1926,'Subbu- Mini Project EXcel Clean'!Q927:Q1926," ",0)</f>
        <v>Moderate</v>
      </c>
      <c r="H927">
        <f>VLOOKUP(A927,'Subbu- Mini Project EXcel Clean'!A926:R1926,15,FALSE)</f>
        <v>4.2</v>
      </c>
    </row>
    <row r="928" spans="1:8" x14ac:dyDescent="0.25">
      <c r="A928" t="s">
        <v>956</v>
      </c>
      <c r="B928">
        <f>_xlfn.XLOOKUP(A928,'Subbu- Mini Project EXcel Clean'!A928:A1927,'Subbu- Mini Project EXcel Clean'!I928:I1927,"Entry Level",0)</f>
        <v>2</v>
      </c>
      <c r="C928" t="str">
        <f>_xlfn.XLOOKUP(A928,'Subbu- Mini Project EXcel Clean'!A928:A1927,'Subbu- Mini Project EXcel Clean'!J928:J1927," ",0)</f>
        <v>Consistent</v>
      </c>
      <c r="D928">
        <f>_xlfn.XLOOKUP(A928,'Subbu- Mini Project EXcel Clean'!A928:A1927,'Subbu- Mini Project EXcel Clean'!N928:N1927,"entry Level",0)</f>
        <v>6.4</v>
      </c>
      <c r="E928">
        <f>_xlfn.XLOOKUP(A928,'Subbu- Mini Project EXcel Clean'!A928:A1927,'Subbu- Mini Project EXcel Clean'!M928:M1927," ",0)</f>
        <v>65.599999999999994</v>
      </c>
      <c r="F928">
        <f>_xlfn.XLOOKUP(A928,'Subbu- Mini Project EXcel Clean'!A928:A1927,'Subbu- Mini Project EXcel Clean'!P928:P1927," ",0)</f>
        <v>5</v>
      </c>
      <c r="G928" t="str">
        <f>_xlfn.XLOOKUP(A928,'Subbu- Mini Project EXcel Clean'!A928:A1927,'Subbu- Mini Project EXcel Clean'!Q928:Q1927," ",0)</f>
        <v>Moderate</v>
      </c>
      <c r="H928">
        <f>VLOOKUP(A928,'Subbu- Mini Project EXcel Clean'!A927:R1927,15,FALSE)</f>
        <v>5.0999999999999996</v>
      </c>
    </row>
    <row r="929" spans="1:8" x14ac:dyDescent="0.25">
      <c r="A929" t="s">
        <v>957</v>
      </c>
      <c r="B929">
        <f>_xlfn.XLOOKUP(A929,'Subbu- Mini Project EXcel Clean'!A929:A1928,'Subbu- Mini Project EXcel Clean'!I929:I1928,"Entry Level",0)</f>
        <v>2</v>
      </c>
      <c r="C929" t="str">
        <f>_xlfn.XLOOKUP(A929,'Subbu- Mini Project EXcel Clean'!A929:A1928,'Subbu- Mini Project EXcel Clean'!J929:J1928," ",0)</f>
        <v>Consistent</v>
      </c>
      <c r="D929">
        <f>_xlfn.XLOOKUP(A929,'Subbu- Mini Project EXcel Clean'!A929:A1928,'Subbu- Mini Project EXcel Clean'!N929:N1928,"entry Level",0)</f>
        <v>8.1</v>
      </c>
      <c r="E929">
        <f>_xlfn.XLOOKUP(A929,'Subbu- Mini Project EXcel Clean'!A929:A1928,'Subbu- Mini Project EXcel Clean'!M929:M1928," ",0)</f>
        <v>82.6</v>
      </c>
      <c r="F929">
        <f>_xlfn.XLOOKUP(A929,'Subbu- Mini Project EXcel Clean'!A929:A1928,'Subbu- Mini Project EXcel Clean'!P929:P1928," ",0)</f>
        <v>3</v>
      </c>
      <c r="G929" t="str">
        <f>_xlfn.XLOOKUP(A929,'Subbu- Mini Project EXcel Clean'!A929:A1928,'Subbu- Mini Project EXcel Clean'!Q929:Q1928," ",0)</f>
        <v>Low</v>
      </c>
      <c r="H929">
        <f>VLOOKUP(A929,'Subbu- Mini Project EXcel Clean'!A928:R1928,15,FALSE)</f>
        <v>1.2</v>
      </c>
    </row>
    <row r="930" spans="1:8" x14ac:dyDescent="0.25">
      <c r="A930" t="s">
        <v>958</v>
      </c>
      <c r="B930">
        <f>_xlfn.XLOOKUP(A930,'Subbu- Mini Project EXcel Clean'!A930:A1929,'Subbu- Mini Project EXcel Clean'!I930:I1929,"Entry Level",0)</f>
        <v>1</v>
      </c>
      <c r="C930" t="str">
        <f>_xlfn.XLOOKUP(A930,'Subbu- Mini Project EXcel Clean'!A930:A1929,'Subbu- Mini Project EXcel Clean'!J930:J1929," ",0)</f>
        <v>Consistent</v>
      </c>
      <c r="D930">
        <f>_xlfn.XLOOKUP(A930,'Subbu- Mini Project EXcel Clean'!A930:A1929,'Subbu- Mini Project EXcel Clean'!N930:N1929,"entry Level",0)</f>
        <v>8</v>
      </c>
      <c r="E930">
        <f>_xlfn.XLOOKUP(A930,'Subbu- Mini Project EXcel Clean'!A930:A1929,'Subbu- Mini Project EXcel Clean'!M930:M1929," ",0)</f>
        <v>65.900000000000006</v>
      </c>
      <c r="F930">
        <f>_xlfn.XLOOKUP(A930,'Subbu- Mini Project EXcel Clean'!A930:A1929,'Subbu- Mini Project EXcel Clean'!P930:P1929," ",0)</f>
        <v>1</v>
      </c>
      <c r="G930" t="str">
        <f>_xlfn.XLOOKUP(A930,'Subbu- Mini Project EXcel Clean'!A930:A1929,'Subbu- Mini Project EXcel Clean'!Q930:Q1929," ",0)</f>
        <v>Low</v>
      </c>
      <c r="H930">
        <f>VLOOKUP(A930,'Subbu- Mini Project EXcel Clean'!A929:R1929,15,FALSE)</f>
        <v>2.5</v>
      </c>
    </row>
    <row r="931" spans="1:8" x14ac:dyDescent="0.25">
      <c r="A931" t="s">
        <v>959</v>
      </c>
      <c r="B931">
        <f>_xlfn.XLOOKUP(A931,'Subbu- Mini Project EXcel Clean'!A931:A1930,'Subbu- Mini Project EXcel Clean'!I931:I1930,"Entry Level",0)</f>
        <v>2</v>
      </c>
      <c r="C931" t="str">
        <f>_xlfn.XLOOKUP(A931,'Subbu- Mini Project EXcel Clean'!A931:A1930,'Subbu- Mini Project EXcel Clean'!J931:J1930," ",0)</f>
        <v>Consistent</v>
      </c>
      <c r="D931">
        <f>_xlfn.XLOOKUP(A931,'Subbu- Mini Project EXcel Clean'!A931:A1930,'Subbu- Mini Project EXcel Clean'!N931:N1930,"entry Level",0)</f>
        <v>7</v>
      </c>
      <c r="E931">
        <f>_xlfn.XLOOKUP(A931,'Subbu- Mini Project EXcel Clean'!A931:A1930,'Subbu- Mini Project EXcel Clean'!M931:M1930," ",0)</f>
        <v>59.4</v>
      </c>
      <c r="F931">
        <f>_xlfn.XLOOKUP(A931,'Subbu- Mini Project EXcel Clean'!A931:A1930,'Subbu- Mini Project EXcel Clean'!P931:P1930," ",0)</f>
        <v>5</v>
      </c>
      <c r="G931" t="str">
        <f>_xlfn.XLOOKUP(A931,'Subbu- Mini Project EXcel Clean'!A931:A1930,'Subbu- Mini Project EXcel Clean'!Q931:Q1930," ",0)</f>
        <v>Moderate</v>
      </c>
      <c r="H931">
        <f>VLOOKUP(A931,'Subbu- Mini Project EXcel Clean'!A930:R1930,15,FALSE)</f>
        <v>2.4</v>
      </c>
    </row>
    <row r="932" spans="1:8" x14ac:dyDescent="0.25">
      <c r="A932" t="s">
        <v>960</v>
      </c>
      <c r="B932">
        <f>_xlfn.XLOOKUP(A932,'Subbu- Mini Project EXcel Clean'!A932:A1931,'Subbu- Mini Project EXcel Clean'!I932:I1931,"Entry Level",0)</f>
        <v>1</v>
      </c>
      <c r="C932" t="str">
        <f>_xlfn.XLOOKUP(A932,'Subbu- Mini Project EXcel Clean'!A932:A1931,'Subbu- Mini Project EXcel Clean'!J932:J1931," ",0)</f>
        <v>Consistent</v>
      </c>
      <c r="D932">
        <f>_xlfn.XLOOKUP(A932,'Subbu- Mini Project EXcel Clean'!A932:A1931,'Subbu- Mini Project EXcel Clean'!N932:N1931,"entry Level",0)</f>
        <v>7.1</v>
      </c>
      <c r="E932">
        <f>_xlfn.XLOOKUP(A932,'Subbu- Mini Project EXcel Clean'!A932:A1931,'Subbu- Mini Project EXcel Clean'!M932:M1931," ",0)</f>
        <v>63.5</v>
      </c>
      <c r="F932">
        <f>_xlfn.XLOOKUP(A932,'Subbu- Mini Project EXcel Clean'!A932:A1931,'Subbu- Mini Project EXcel Clean'!P932:P1931," ",0)</f>
        <v>5</v>
      </c>
      <c r="G932" t="str">
        <f>_xlfn.XLOOKUP(A932,'Subbu- Mini Project EXcel Clean'!A932:A1931,'Subbu- Mini Project EXcel Clean'!Q932:Q1931," ",0)</f>
        <v>Moderate</v>
      </c>
      <c r="H932">
        <f>VLOOKUP(A932,'Subbu- Mini Project EXcel Clean'!A931:R1931,15,FALSE)</f>
        <v>1.7</v>
      </c>
    </row>
    <row r="933" spans="1:8" x14ac:dyDescent="0.25">
      <c r="A933" t="s">
        <v>961</v>
      </c>
      <c r="B933">
        <f>_xlfn.XLOOKUP(A933,'Subbu- Mini Project EXcel Clean'!A933:A1932,'Subbu- Mini Project EXcel Clean'!I933:I1932,"Entry Level",0)</f>
        <v>3</v>
      </c>
      <c r="C933" t="str">
        <f>_xlfn.XLOOKUP(A933,'Subbu- Mini Project EXcel Clean'!A933:A1932,'Subbu- Mini Project EXcel Clean'!J933:J1932," ",0)</f>
        <v>Consistent</v>
      </c>
      <c r="D933">
        <f>_xlfn.XLOOKUP(A933,'Subbu- Mini Project EXcel Clean'!A933:A1932,'Subbu- Mini Project EXcel Clean'!N933:N1932,"entry Level",0)</f>
        <v>7.3</v>
      </c>
      <c r="E933">
        <f>_xlfn.XLOOKUP(A933,'Subbu- Mini Project EXcel Clean'!A933:A1932,'Subbu- Mini Project EXcel Clean'!M933:M1932," ",0)</f>
        <v>73.7</v>
      </c>
      <c r="F933">
        <f>_xlfn.XLOOKUP(A933,'Subbu- Mini Project EXcel Clean'!A933:A1932,'Subbu- Mini Project EXcel Clean'!P933:P1932," ",0)</f>
        <v>7</v>
      </c>
      <c r="G933" t="str">
        <f>_xlfn.XLOOKUP(A933,'Subbu- Mini Project EXcel Clean'!A933:A1932,'Subbu- Mini Project EXcel Clean'!Q933:Q1932," ",0)</f>
        <v>High</v>
      </c>
      <c r="H933">
        <f>VLOOKUP(A933,'Subbu- Mini Project EXcel Clean'!A932:R1932,15,FALSE)</f>
        <v>2.4</v>
      </c>
    </row>
    <row r="934" spans="1:8" x14ac:dyDescent="0.25">
      <c r="A934" t="s">
        <v>962</v>
      </c>
      <c r="B934">
        <f>_xlfn.XLOOKUP(A934,'Subbu- Mini Project EXcel Clean'!A934:A1933,'Subbu- Mini Project EXcel Clean'!I934:I1933,"Entry Level",0)</f>
        <v>4</v>
      </c>
      <c r="C934" t="str">
        <f>_xlfn.XLOOKUP(A934,'Subbu- Mini Project EXcel Clean'!A934:A1933,'Subbu- Mini Project EXcel Clean'!J934:J1933," ",0)</f>
        <v>Good</v>
      </c>
      <c r="D934">
        <f>_xlfn.XLOOKUP(A934,'Subbu- Mini Project EXcel Clean'!A934:A1933,'Subbu- Mini Project EXcel Clean'!N934:N1933,"entry Level",0)</f>
        <v>7.7</v>
      </c>
      <c r="E934">
        <f>_xlfn.XLOOKUP(A934,'Subbu- Mini Project EXcel Clean'!A934:A1933,'Subbu- Mini Project EXcel Clean'!M934:M1933," ",0)</f>
        <v>80.900000000000006</v>
      </c>
      <c r="F934">
        <f>_xlfn.XLOOKUP(A934,'Subbu- Mini Project EXcel Clean'!A934:A1933,'Subbu- Mini Project EXcel Clean'!P934:P1933," ",0)</f>
        <v>2</v>
      </c>
      <c r="G934" t="str">
        <f>_xlfn.XLOOKUP(A934,'Subbu- Mini Project EXcel Clean'!A934:A1933,'Subbu- Mini Project EXcel Clean'!Q934:Q1933," ",0)</f>
        <v>Low</v>
      </c>
      <c r="H934">
        <f>VLOOKUP(A934,'Subbu- Mini Project EXcel Clean'!A933:R1933,15,FALSE)</f>
        <v>2.5</v>
      </c>
    </row>
    <row r="935" spans="1:8" x14ac:dyDescent="0.25">
      <c r="A935" t="s">
        <v>963</v>
      </c>
      <c r="B935">
        <f>_xlfn.XLOOKUP(A935,'Subbu- Mini Project EXcel Clean'!A935:A1934,'Subbu- Mini Project EXcel Clean'!I935:I1934,"Entry Level",0)</f>
        <v>2</v>
      </c>
      <c r="C935" t="str">
        <f>_xlfn.XLOOKUP(A935,'Subbu- Mini Project EXcel Clean'!A935:A1934,'Subbu- Mini Project EXcel Clean'!J935:J1934," ",0)</f>
        <v>Consistent</v>
      </c>
      <c r="D935">
        <f>_xlfn.XLOOKUP(A935,'Subbu- Mini Project EXcel Clean'!A935:A1934,'Subbu- Mini Project EXcel Clean'!N935:N1934,"entry Level",0)</f>
        <v>7.3</v>
      </c>
      <c r="E935">
        <f>_xlfn.XLOOKUP(A935,'Subbu- Mini Project EXcel Clean'!A935:A1934,'Subbu- Mini Project EXcel Clean'!M935:M1934," ",0)</f>
        <v>73.7</v>
      </c>
      <c r="F935">
        <f>_xlfn.XLOOKUP(A935,'Subbu- Mini Project EXcel Clean'!A935:A1934,'Subbu- Mini Project EXcel Clean'!P935:P1934," ",0)</f>
        <v>1</v>
      </c>
      <c r="G935" t="str">
        <f>_xlfn.XLOOKUP(A935,'Subbu- Mini Project EXcel Clean'!A935:A1934,'Subbu- Mini Project EXcel Clean'!Q935:Q1934," ",0)</f>
        <v>Low</v>
      </c>
      <c r="H935">
        <f>VLOOKUP(A935,'Subbu- Mini Project EXcel Clean'!A934:R1934,15,FALSE)</f>
        <v>3.6</v>
      </c>
    </row>
    <row r="936" spans="1:8" x14ac:dyDescent="0.25">
      <c r="A936" t="s">
        <v>964</v>
      </c>
      <c r="B936">
        <f>_xlfn.XLOOKUP(A936,'Subbu- Mini Project EXcel Clean'!A936:A1935,'Subbu- Mini Project EXcel Clean'!I936:I1935,"Entry Level",0)</f>
        <v>2</v>
      </c>
      <c r="C936" t="str">
        <f>_xlfn.XLOOKUP(A936,'Subbu- Mini Project EXcel Clean'!A936:A1935,'Subbu- Mini Project EXcel Clean'!J936:J1935," ",0)</f>
        <v>Consistent</v>
      </c>
      <c r="D936">
        <f>_xlfn.XLOOKUP(A936,'Subbu- Mini Project EXcel Clean'!A936:A1935,'Subbu- Mini Project EXcel Clean'!N936:N1935,"entry Level",0)</f>
        <v>6</v>
      </c>
      <c r="E936">
        <f>_xlfn.XLOOKUP(A936,'Subbu- Mini Project EXcel Clean'!A936:A1935,'Subbu- Mini Project EXcel Clean'!M936:M1935," ",0)</f>
        <v>68.7</v>
      </c>
      <c r="F936">
        <f>_xlfn.XLOOKUP(A936,'Subbu- Mini Project EXcel Clean'!A936:A1935,'Subbu- Mini Project EXcel Clean'!P936:P1935," ",0)</f>
        <v>4</v>
      </c>
      <c r="G936" t="str">
        <f>_xlfn.XLOOKUP(A936,'Subbu- Mini Project EXcel Clean'!A936:A1935,'Subbu- Mini Project EXcel Clean'!Q936:Q1935," ",0)</f>
        <v>Moderate</v>
      </c>
      <c r="H936">
        <f>VLOOKUP(A936,'Subbu- Mini Project EXcel Clean'!A935:R1935,15,FALSE)</f>
        <v>4.3</v>
      </c>
    </row>
    <row r="937" spans="1:8" x14ac:dyDescent="0.25">
      <c r="A937" t="s">
        <v>965</v>
      </c>
      <c r="B937">
        <f>_xlfn.XLOOKUP(A937,'Subbu- Mini Project EXcel Clean'!A937:A1936,'Subbu- Mini Project EXcel Clean'!I937:I1936,"Entry Level",0)</f>
        <v>4</v>
      </c>
      <c r="C937" t="str">
        <f>_xlfn.XLOOKUP(A937,'Subbu- Mini Project EXcel Clean'!A937:A1936,'Subbu- Mini Project EXcel Clean'!J937:J1936," ",0)</f>
        <v>Excellent</v>
      </c>
      <c r="D937">
        <f>_xlfn.XLOOKUP(A937,'Subbu- Mini Project EXcel Clean'!A937:A1936,'Subbu- Mini Project EXcel Clean'!N937:N1936,"entry Level",0)</f>
        <v>8.1</v>
      </c>
      <c r="E937">
        <f>_xlfn.XLOOKUP(A937,'Subbu- Mini Project EXcel Clean'!A937:A1936,'Subbu- Mini Project EXcel Clean'!M937:M1936," ",0)</f>
        <v>88.4</v>
      </c>
      <c r="F937">
        <f>_xlfn.XLOOKUP(A937,'Subbu- Mini Project EXcel Clean'!A937:A1936,'Subbu- Mini Project EXcel Clean'!P937:P1936," ",0)</f>
        <v>2</v>
      </c>
      <c r="G937" t="str">
        <f>_xlfn.XLOOKUP(A937,'Subbu- Mini Project EXcel Clean'!A937:A1936,'Subbu- Mini Project EXcel Clean'!Q937:Q1936," ",0)</f>
        <v>Low</v>
      </c>
      <c r="H937">
        <f>VLOOKUP(A937,'Subbu- Mini Project EXcel Clean'!A936:R1936,15,FALSE)</f>
        <v>2.9</v>
      </c>
    </row>
    <row r="938" spans="1:8" x14ac:dyDescent="0.25">
      <c r="A938" t="s">
        <v>966</v>
      </c>
      <c r="B938">
        <f>_xlfn.XLOOKUP(A938,'Subbu- Mini Project EXcel Clean'!A938:A1937,'Subbu- Mini Project EXcel Clean'!I938:I1937,"Entry Level",0)</f>
        <v>2</v>
      </c>
      <c r="C938" t="str">
        <f>_xlfn.XLOOKUP(A938,'Subbu- Mini Project EXcel Clean'!A938:A1937,'Subbu- Mini Project EXcel Clean'!J938:J1937," ",0)</f>
        <v>Consistent</v>
      </c>
      <c r="D938">
        <f>_xlfn.XLOOKUP(A938,'Subbu- Mini Project EXcel Clean'!A938:A1937,'Subbu- Mini Project EXcel Clean'!N938:N1937,"entry Level",0)</f>
        <v>6.3</v>
      </c>
      <c r="E938">
        <f>_xlfn.XLOOKUP(A938,'Subbu- Mini Project EXcel Clean'!A938:A1937,'Subbu- Mini Project EXcel Clean'!M938:M1937," ",0)</f>
        <v>68.7</v>
      </c>
      <c r="F938">
        <f>_xlfn.XLOOKUP(A938,'Subbu- Mini Project EXcel Clean'!A938:A1937,'Subbu- Mini Project EXcel Clean'!P938:P1937," ",0)</f>
        <v>3</v>
      </c>
      <c r="G938" t="str">
        <f>_xlfn.XLOOKUP(A938,'Subbu- Mini Project EXcel Clean'!A938:A1937,'Subbu- Mini Project EXcel Clean'!Q938:Q1937," ",0)</f>
        <v>Moderate</v>
      </c>
      <c r="H938">
        <f>VLOOKUP(A938,'Subbu- Mini Project EXcel Clean'!A937:R1937,15,FALSE)</f>
        <v>4.5999999999999996</v>
      </c>
    </row>
    <row r="939" spans="1:8" x14ac:dyDescent="0.25">
      <c r="A939" t="s">
        <v>967</v>
      </c>
      <c r="B939">
        <f>_xlfn.XLOOKUP(A939,'Subbu- Mini Project EXcel Clean'!A939:A1938,'Subbu- Mini Project EXcel Clean'!I939:I1938,"Entry Level",0)</f>
        <v>1</v>
      </c>
      <c r="C939" t="str">
        <f>_xlfn.XLOOKUP(A939,'Subbu- Mini Project EXcel Clean'!A939:A1938,'Subbu- Mini Project EXcel Clean'!J939:J1938," ",0)</f>
        <v>Consistent</v>
      </c>
      <c r="D939">
        <f>_xlfn.XLOOKUP(A939,'Subbu- Mini Project EXcel Clean'!A939:A1938,'Subbu- Mini Project EXcel Clean'!N939:N1938,"entry Level",0)</f>
        <v>7.1</v>
      </c>
      <c r="E939">
        <f>_xlfn.XLOOKUP(A939,'Subbu- Mini Project EXcel Clean'!A939:A1938,'Subbu- Mini Project EXcel Clean'!M939:M1938," ",0)</f>
        <v>57</v>
      </c>
      <c r="F939">
        <f>_xlfn.XLOOKUP(A939,'Subbu- Mini Project EXcel Clean'!A939:A1938,'Subbu- Mini Project EXcel Clean'!P939:P1938," ",0)</f>
        <v>6</v>
      </c>
      <c r="G939" t="str">
        <f>_xlfn.XLOOKUP(A939,'Subbu- Mini Project EXcel Clean'!A939:A1938,'Subbu- Mini Project EXcel Clean'!Q939:Q1938," ",0)</f>
        <v>Moderate</v>
      </c>
      <c r="H939">
        <f>VLOOKUP(A939,'Subbu- Mini Project EXcel Clean'!A938:R1938,15,FALSE)</f>
        <v>2.7</v>
      </c>
    </row>
    <row r="940" spans="1:8" x14ac:dyDescent="0.25">
      <c r="A940" t="s">
        <v>968</v>
      </c>
      <c r="B940">
        <f>_xlfn.XLOOKUP(A940,'Subbu- Mini Project EXcel Clean'!A940:A1939,'Subbu- Mini Project EXcel Clean'!I940:I1939,"Entry Level",0)</f>
        <v>2</v>
      </c>
      <c r="C940" t="str">
        <f>_xlfn.XLOOKUP(A940,'Subbu- Mini Project EXcel Clean'!A940:A1939,'Subbu- Mini Project EXcel Clean'!J940:J1939," ",0)</f>
        <v>Consistent</v>
      </c>
      <c r="D940">
        <f>_xlfn.XLOOKUP(A940,'Subbu- Mini Project EXcel Clean'!A940:A1939,'Subbu- Mini Project EXcel Clean'!N940:N1939,"entry Level",0)</f>
        <v>6.8</v>
      </c>
      <c r="E940">
        <f>_xlfn.XLOOKUP(A940,'Subbu- Mini Project EXcel Clean'!A940:A1939,'Subbu- Mini Project EXcel Clean'!M940:M1939," ",0)</f>
        <v>64.3</v>
      </c>
      <c r="F940">
        <f>_xlfn.XLOOKUP(A940,'Subbu- Mini Project EXcel Clean'!A940:A1939,'Subbu- Mini Project EXcel Clean'!P940:P1939," ",0)</f>
        <v>4</v>
      </c>
      <c r="G940" t="str">
        <f>_xlfn.XLOOKUP(A940,'Subbu- Mini Project EXcel Clean'!A940:A1939,'Subbu- Mini Project EXcel Clean'!Q940:Q1939," ",0)</f>
        <v>Moderate</v>
      </c>
      <c r="H940">
        <f>VLOOKUP(A940,'Subbu- Mini Project EXcel Clean'!A939:R1939,15,FALSE)</f>
        <v>2.5</v>
      </c>
    </row>
    <row r="941" spans="1:8" x14ac:dyDescent="0.25">
      <c r="A941" t="s">
        <v>969</v>
      </c>
      <c r="B941">
        <f>_xlfn.XLOOKUP(A941,'Subbu- Mini Project EXcel Clean'!A941:A1940,'Subbu- Mini Project EXcel Clean'!I941:I1940,"Entry Level",0)</f>
        <v>5</v>
      </c>
      <c r="C941" t="str">
        <f>_xlfn.XLOOKUP(A941,'Subbu- Mini Project EXcel Clean'!A941:A1940,'Subbu- Mini Project EXcel Clean'!J941:J1940," ",0)</f>
        <v>Good</v>
      </c>
      <c r="D941">
        <f>_xlfn.XLOOKUP(A941,'Subbu- Mini Project EXcel Clean'!A941:A1940,'Subbu- Mini Project EXcel Clean'!N941:N1940,"entry Level",0)</f>
        <v>8.1999999999999993</v>
      </c>
      <c r="E941">
        <f>_xlfn.XLOOKUP(A941,'Subbu- Mini Project EXcel Clean'!A941:A1940,'Subbu- Mini Project EXcel Clean'!M941:M1940," ",0)</f>
        <v>101.2</v>
      </c>
      <c r="F941">
        <f>_xlfn.XLOOKUP(A941,'Subbu- Mini Project EXcel Clean'!A941:A1940,'Subbu- Mini Project EXcel Clean'!P941:P1940," ",0)</f>
        <v>3</v>
      </c>
      <c r="G941" t="str">
        <f>_xlfn.XLOOKUP(A941,'Subbu- Mini Project EXcel Clean'!A941:A1940,'Subbu- Mini Project EXcel Clean'!Q941:Q1940," ",0)</f>
        <v>Low</v>
      </c>
      <c r="H941">
        <f>VLOOKUP(A941,'Subbu- Mini Project EXcel Clean'!A940:R1940,15,FALSE)</f>
        <v>3.7</v>
      </c>
    </row>
    <row r="942" spans="1:8" x14ac:dyDescent="0.25">
      <c r="A942" t="s">
        <v>970</v>
      </c>
      <c r="B942">
        <f>_xlfn.XLOOKUP(A942,'Subbu- Mini Project EXcel Clean'!A942:A1941,'Subbu- Mini Project EXcel Clean'!I942:I1941,"Entry Level",0)</f>
        <v>4</v>
      </c>
      <c r="C942" t="str">
        <f>_xlfn.XLOOKUP(A942,'Subbu- Mini Project EXcel Clean'!A942:A1941,'Subbu- Mini Project EXcel Clean'!J942:J1941," ",0)</f>
        <v>Good</v>
      </c>
      <c r="D942">
        <f>_xlfn.XLOOKUP(A942,'Subbu- Mini Project EXcel Clean'!A942:A1941,'Subbu- Mini Project EXcel Clean'!N942:N1941,"entry Level",0)</f>
        <v>7.8</v>
      </c>
      <c r="E942">
        <f>_xlfn.XLOOKUP(A942,'Subbu- Mini Project EXcel Clean'!A942:A1941,'Subbu- Mini Project EXcel Clean'!M942:M1941," ",0)</f>
        <v>87.6</v>
      </c>
      <c r="F942">
        <f>_xlfn.XLOOKUP(A942,'Subbu- Mini Project EXcel Clean'!A942:A1941,'Subbu- Mini Project EXcel Clean'!P942:P1941," ",0)</f>
        <v>2</v>
      </c>
      <c r="G942" t="str">
        <f>_xlfn.XLOOKUP(A942,'Subbu- Mini Project EXcel Clean'!A942:A1941,'Subbu- Mini Project EXcel Clean'!Q942:Q1941," ",0)</f>
        <v>Low</v>
      </c>
      <c r="H942">
        <f>VLOOKUP(A942,'Subbu- Mini Project EXcel Clean'!A941:R1941,15,FALSE)</f>
        <v>1.1000000000000001</v>
      </c>
    </row>
    <row r="943" spans="1:8" x14ac:dyDescent="0.25">
      <c r="A943" t="s">
        <v>971</v>
      </c>
      <c r="B943">
        <f>_xlfn.XLOOKUP(A943,'Subbu- Mini Project EXcel Clean'!A943:A1942,'Subbu- Mini Project EXcel Clean'!I943:I1942,"Entry Level",0)</f>
        <v>2</v>
      </c>
      <c r="C943" t="str">
        <f>_xlfn.XLOOKUP(A943,'Subbu- Mini Project EXcel Clean'!A943:A1942,'Subbu- Mini Project EXcel Clean'!J943:J1942," ",0)</f>
        <v>Consistent</v>
      </c>
      <c r="D943">
        <f>_xlfn.XLOOKUP(A943,'Subbu- Mini Project EXcel Clean'!A943:A1942,'Subbu- Mini Project EXcel Clean'!N943:N1942,"entry Level",0)</f>
        <v>7.2</v>
      </c>
      <c r="E943">
        <f>_xlfn.XLOOKUP(A943,'Subbu- Mini Project EXcel Clean'!A943:A1942,'Subbu- Mini Project EXcel Clean'!M943:M1942," ",0)</f>
        <v>61.5</v>
      </c>
      <c r="F943">
        <f>_xlfn.XLOOKUP(A943,'Subbu- Mini Project EXcel Clean'!A943:A1942,'Subbu- Mini Project EXcel Clean'!P943:P1942," ",0)</f>
        <v>3</v>
      </c>
      <c r="G943" t="str">
        <f>_xlfn.XLOOKUP(A943,'Subbu- Mini Project EXcel Clean'!A943:A1942,'Subbu- Mini Project EXcel Clean'!Q943:Q1942," ",0)</f>
        <v>Moderate</v>
      </c>
      <c r="H943">
        <f>VLOOKUP(A943,'Subbu- Mini Project EXcel Clean'!A942:R1942,15,FALSE)</f>
        <v>1.4</v>
      </c>
    </row>
    <row r="944" spans="1:8" x14ac:dyDescent="0.25">
      <c r="A944" t="s">
        <v>972</v>
      </c>
      <c r="B944">
        <f>_xlfn.XLOOKUP(A944,'Subbu- Mini Project EXcel Clean'!A944:A1943,'Subbu- Mini Project EXcel Clean'!I944:I1943,"Entry Level",0)</f>
        <v>4</v>
      </c>
      <c r="C944" t="str">
        <f>_xlfn.XLOOKUP(A944,'Subbu- Mini Project EXcel Clean'!A944:A1943,'Subbu- Mini Project EXcel Clean'!J944:J1943," ",0)</f>
        <v>Excellent</v>
      </c>
      <c r="D944">
        <f>_xlfn.XLOOKUP(A944,'Subbu- Mini Project EXcel Clean'!A944:A1943,'Subbu- Mini Project EXcel Clean'!N944:N1943,"entry Level",0)</f>
        <v>7.5</v>
      </c>
      <c r="E944">
        <f>_xlfn.XLOOKUP(A944,'Subbu- Mini Project EXcel Clean'!A944:A1943,'Subbu- Mini Project EXcel Clean'!M944:M1943," ",0)</f>
        <v>85.1</v>
      </c>
      <c r="F944">
        <f>_xlfn.XLOOKUP(A944,'Subbu- Mini Project EXcel Clean'!A944:A1943,'Subbu- Mini Project EXcel Clean'!P944:P1943," ",0)</f>
        <v>1</v>
      </c>
      <c r="G944" t="str">
        <f>_xlfn.XLOOKUP(A944,'Subbu- Mini Project EXcel Clean'!A944:A1943,'Subbu- Mini Project EXcel Clean'!Q944:Q1943," ",0)</f>
        <v>Low</v>
      </c>
      <c r="H944">
        <f>VLOOKUP(A944,'Subbu- Mini Project EXcel Clean'!A943:R1943,15,FALSE)</f>
        <v>3.1</v>
      </c>
    </row>
    <row r="945" spans="1:8" x14ac:dyDescent="0.25">
      <c r="A945" t="s">
        <v>973</v>
      </c>
      <c r="B945">
        <f>_xlfn.XLOOKUP(A945,'Subbu- Mini Project EXcel Clean'!A945:A1944,'Subbu- Mini Project EXcel Clean'!I945:I1944,"Entry Level",0)</f>
        <v>3</v>
      </c>
      <c r="C945" t="str">
        <f>_xlfn.XLOOKUP(A945,'Subbu- Mini Project EXcel Clean'!A945:A1944,'Subbu- Mini Project EXcel Clean'!J945:J1944," ",0)</f>
        <v>Excellent</v>
      </c>
      <c r="D945">
        <f>_xlfn.XLOOKUP(A945,'Subbu- Mini Project EXcel Clean'!A945:A1944,'Subbu- Mini Project EXcel Clean'!N945:N1944,"entry Level",0)</f>
        <v>6.7</v>
      </c>
      <c r="E945">
        <f>_xlfn.XLOOKUP(A945,'Subbu- Mini Project EXcel Clean'!A945:A1944,'Subbu- Mini Project EXcel Clean'!M945:M1944," ",0)</f>
        <v>80.8</v>
      </c>
      <c r="F945">
        <f>_xlfn.XLOOKUP(A945,'Subbu- Mini Project EXcel Clean'!A945:A1944,'Subbu- Mini Project EXcel Clean'!P945:P1944," ",0)</f>
        <v>2</v>
      </c>
      <c r="G945" t="str">
        <f>_xlfn.XLOOKUP(A945,'Subbu- Mini Project EXcel Clean'!A945:A1944,'Subbu- Mini Project EXcel Clean'!Q945:Q1944," ",0)</f>
        <v>Low</v>
      </c>
      <c r="H945">
        <f>VLOOKUP(A945,'Subbu- Mini Project EXcel Clean'!A944:R1944,15,FALSE)</f>
        <v>5.7</v>
      </c>
    </row>
    <row r="946" spans="1:8" x14ac:dyDescent="0.25">
      <c r="A946" t="s">
        <v>974</v>
      </c>
      <c r="B946">
        <f>_xlfn.XLOOKUP(A946,'Subbu- Mini Project EXcel Clean'!A946:A1945,'Subbu- Mini Project EXcel Clean'!I946:I1945,"Entry Level",0)</f>
        <v>4</v>
      </c>
      <c r="C946" t="str">
        <f>_xlfn.XLOOKUP(A946,'Subbu- Mini Project EXcel Clean'!A946:A1945,'Subbu- Mini Project EXcel Clean'!J946:J1945," ",0)</f>
        <v>Excellent</v>
      </c>
      <c r="D946">
        <f>_xlfn.XLOOKUP(A946,'Subbu- Mini Project EXcel Clean'!A946:A1945,'Subbu- Mini Project EXcel Clean'!N946:N1945,"entry Level",0)</f>
        <v>6.5</v>
      </c>
      <c r="E946">
        <f>_xlfn.XLOOKUP(A946,'Subbu- Mini Project EXcel Clean'!A946:A1945,'Subbu- Mini Project EXcel Clean'!M946:M1945," ",0)</f>
        <v>87.8</v>
      </c>
      <c r="F946">
        <f>_xlfn.XLOOKUP(A946,'Subbu- Mini Project EXcel Clean'!A946:A1945,'Subbu- Mini Project EXcel Clean'!P946:P1945," ",0)</f>
        <v>1</v>
      </c>
      <c r="G946" t="str">
        <f>_xlfn.XLOOKUP(A946,'Subbu- Mini Project EXcel Clean'!A946:A1945,'Subbu- Mini Project EXcel Clean'!Q946:Q1945," ",0)</f>
        <v>Low</v>
      </c>
      <c r="H946">
        <f>VLOOKUP(A946,'Subbu- Mini Project EXcel Clean'!A945:R1945,15,FALSE)</f>
        <v>4.5999999999999996</v>
      </c>
    </row>
    <row r="947" spans="1:8" x14ac:dyDescent="0.25">
      <c r="A947" t="s">
        <v>975</v>
      </c>
      <c r="B947">
        <f>_xlfn.XLOOKUP(A947,'Subbu- Mini Project EXcel Clean'!A947:A1946,'Subbu- Mini Project EXcel Clean'!I947:I1946,"Entry Level",0)</f>
        <v>4</v>
      </c>
      <c r="C947" t="str">
        <f>_xlfn.XLOOKUP(A947,'Subbu- Mini Project EXcel Clean'!A947:A1946,'Subbu- Mini Project EXcel Clean'!J947:J1946," ",0)</f>
        <v>Excellent</v>
      </c>
      <c r="D947">
        <f>_xlfn.XLOOKUP(A947,'Subbu- Mini Project EXcel Clean'!A947:A1946,'Subbu- Mini Project EXcel Clean'!N947:N1946,"entry Level",0)</f>
        <v>8</v>
      </c>
      <c r="E947">
        <f>_xlfn.XLOOKUP(A947,'Subbu- Mini Project EXcel Clean'!A947:A1946,'Subbu- Mini Project EXcel Clean'!M947:M1946," ",0)</f>
        <v>90.9</v>
      </c>
      <c r="F947">
        <f>_xlfn.XLOOKUP(A947,'Subbu- Mini Project EXcel Clean'!A947:A1946,'Subbu- Mini Project EXcel Clean'!P947:P1946," ",0)</f>
        <v>2</v>
      </c>
      <c r="G947" t="str">
        <f>_xlfn.XLOOKUP(A947,'Subbu- Mini Project EXcel Clean'!A947:A1946,'Subbu- Mini Project EXcel Clean'!Q947:Q1946," ",0)</f>
        <v>Low</v>
      </c>
      <c r="H947">
        <f>VLOOKUP(A947,'Subbu- Mini Project EXcel Clean'!A946:R1946,15,FALSE)</f>
        <v>1.4</v>
      </c>
    </row>
    <row r="948" spans="1:8" x14ac:dyDescent="0.25">
      <c r="A948" t="s">
        <v>976</v>
      </c>
      <c r="B948">
        <f>_xlfn.XLOOKUP(A948,'Subbu- Mini Project EXcel Clean'!A948:A1947,'Subbu- Mini Project EXcel Clean'!I948:I1947,"Entry Level",0)</f>
        <v>4</v>
      </c>
      <c r="C948" t="str">
        <f>_xlfn.XLOOKUP(A948,'Subbu- Mini Project EXcel Clean'!A948:A1947,'Subbu- Mini Project EXcel Clean'!J948:J1947," ",0)</f>
        <v>Excellent</v>
      </c>
      <c r="D948">
        <f>_xlfn.XLOOKUP(A948,'Subbu- Mini Project EXcel Clean'!A948:A1947,'Subbu- Mini Project EXcel Clean'!N948:N1947,"entry Level",0)</f>
        <v>6</v>
      </c>
      <c r="E948">
        <f>_xlfn.XLOOKUP(A948,'Subbu- Mini Project EXcel Clean'!A948:A1947,'Subbu- Mini Project EXcel Clean'!M948:M1947," ",0)</f>
        <v>88.3</v>
      </c>
      <c r="F948">
        <f>_xlfn.XLOOKUP(A948,'Subbu- Mini Project EXcel Clean'!A948:A1947,'Subbu- Mini Project EXcel Clean'!P948:P1947," ",0)</f>
        <v>1</v>
      </c>
      <c r="G948" t="str">
        <f>_xlfn.XLOOKUP(A948,'Subbu- Mini Project EXcel Clean'!A948:A1947,'Subbu- Mini Project EXcel Clean'!Q948:Q1947," ",0)</f>
        <v>Low</v>
      </c>
      <c r="H948">
        <f>VLOOKUP(A948,'Subbu- Mini Project EXcel Clean'!A947:R1947,15,FALSE)</f>
        <v>5.2</v>
      </c>
    </row>
    <row r="949" spans="1:8" x14ac:dyDescent="0.25">
      <c r="A949" t="s">
        <v>977</v>
      </c>
      <c r="B949">
        <f>_xlfn.XLOOKUP(A949,'Subbu- Mini Project EXcel Clean'!A949:A1948,'Subbu- Mini Project EXcel Clean'!I949:I1948,"Entry Level",0)</f>
        <v>2</v>
      </c>
      <c r="C949" t="str">
        <f>_xlfn.XLOOKUP(A949,'Subbu- Mini Project EXcel Clean'!A949:A1948,'Subbu- Mini Project EXcel Clean'!J949:J1948," ",0)</f>
        <v>Consistent</v>
      </c>
      <c r="D949">
        <f>_xlfn.XLOOKUP(A949,'Subbu- Mini Project EXcel Clean'!A949:A1948,'Subbu- Mini Project EXcel Clean'!N949:N1948,"entry Level",0)</f>
        <v>6.4</v>
      </c>
      <c r="E949">
        <f>_xlfn.XLOOKUP(A949,'Subbu- Mini Project EXcel Clean'!A949:A1948,'Subbu- Mini Project EXcel Clean'!M949:M1948," ",0)</f>
        <v>71.900000000000006</v>
      </c>
      <c r="F949">
        <f>_xlfn.XLOOKUP(A949,'Subbu- Mini Project EXcel Clean'!A949:A1948,'Subbu- Mini Project EXcel Clean'!P949:P1948," ",0)</f>
        <v>4</v>
      </c>
      <c r="G949" t="str">
        <f>_xlfn.XLOOKUP(A949,'Subbu- Mini Project EXcel Clean'!A949:A1948,'Subbu- Mini Project EXcel Clean'!Q949:Q1948," ",0)</f>
        <v>Moderate</v>
      </c>
      <c r="H949">
        <f>VLOOKUP(A949,'Subbu- Mini Project EXcel Clean'!A948:R1948,15,FALSE)</f>
        <v>4.7</v>
      </c>
    </row>
    <row r="950" spans="1:8" x14ac:dyDescent="0.25">
      <c r="A950" t="s">
        <v>978</v>
      </c>
      <c r="B950">
        <f>_xlfn.XLOOKUP(A950,'Subbu- Mini Project EXcel Clean'!A950:A1949,'Subbu- Mini Project EXcel Clean'!I950:I1949,"Entry Level",0)</f>
        <v>1</v>
      </c>
      <c r="C950" t="str">
        <f>_xlfn.XLOOKUP(A950,'Subbu- Mini Project EXcel Clean'!A950:A1949,'Subbu- Mini Project EXcel Clean'!J950:J1949," ",0)</f>
        <v>Consistent</v>
      </c>
      <c r="D950">
        <f>_xlfn.XLOOKUP(A950,'Subbu- Mini Project EXcel Clean'!A950:A1949,'Subbu- Mini Project EXcel Clean'!N950:N1949,"entry Level",0)</f>
        <v>5.8</v>
      </c>
      <c r="E950">
        <f>_xlfn.XLOOKUP(A950,'Subbu- Mini Project EXcel Clean'!A950:A1949,'Subbu- Mini Project EXcel Clean'!M950:M1949," ",0)</f>
        <v>67.5</v>
      </c>
      <c r="F950">
        <f>_xlfn.XLOOKUP(A950,'Subbu- Mini Project EXcel Clean'!A950:A1949,'Subbu- Mini Project EXcel Clean'!P950:P1949," ",0)</f>
        <v>1</v>
      </c>
      <c r="G950" t="str">
        <f>_xlfn.XLOOKUP(A950,'Subbu- Mini Project EXcel Clean'!A950:A1949,'Subbu- Mini Project EXcel Clean'!Q950:Q1949," ",0)</f>
        <v>Low</v>
      </c>
      <c r="H950">
        <f>VLOOKUP(A950,'Subbu- Mini Project EXcel Clean'!A949:R1949,15,FALSE)</f>
        <v>4.0999999999999996</v>
      </c>
    </row>
    <row r="951" spans="1:8" x14ac:dyDescent="0.25">
      <c r="A951" t="s">
        <v>979</v>
      </c>
      <c r="B951">
        <f>_xlfn.XLOOKUP(A951,'Subbu- Mini Project EXcel Clean'!A951:A1950,'Subbu- Mini Project EXcel Clean'!I951:I1950,"Entry Level",0)</f>
        <v>3</v>
      </c>
      <c r="C951" t="str">
        <f>_xlfn.XLOOKUP(A951,'Subbu- Mini Project EXcel Clean'!A951:A1950,'Subbu- Mini Project EXcel Clean'!J951:J1950," ",0)</f>
        <v>Consistent</v>
      </c>
      <c r="D951">
        <f>_xlfn.XLOOKUP(A951,'Subbu- Mini Project EXcel Clean'!A951:A1950,'Subbu- Mini Project EXcel Clean'!N951:N1950,"entry Level",0)</f>
        <v>5.8</v>
      </c>
      <c r="E951">
        <f>_xlfn.XLOOKUP(A951,'Subbu- Mini Project EXcel Clean'!A951:A1950,'Subbu- Mini Project EXcel Clean'!M951:M1950," ",0)</f>
        <v>70.599999999999994</v>
      </c>
      <c r="F951">
        <f>_xlfn.XLOOKUP(A951,'Subbu- Mini Project EXcel Clean'!A951:A1950,'Subbu- Mini Project EXcel Clean'!P951:P1950," ",0)</f>
        <v>1</v>
      </c>
      <c r="G951" t="str">
        <f>_xlfn.XLOOKUP(A951,'Subbu- Mini Project EXcel Clean'!A951:A1950,'Subbu- Mini Project EXcel Clean'!Q951:Q1950," ",0)</f>
        <v>Low</v>
      </c>
      <c r="H951">
        <f>VLOOKUP(A951,'Subbu- Mini Project EXcel Clean'!A950:R1950,15,FALSE)</f>
        <v>5.0999999999999996</v>
      </c>
    </row>
    <row r="952" spans="1:8" x14ac:dyDescent="0.25">
      <c r="A952" t="s">
        <v>980</v>
      </c>
      <c r="B952">
        <f>_xlfn.XLOOKUP(A952,'Subbu- Mini Project EXcel Clean'!A952:A1951,'Subbu- Mini Project EXcel Clean'!I952:I1951,"Entry Level",0)</f>
        <v>5</v>
      </c>
      <c r="C952" t="str">
        <f>_xlfn.XLOOKUP(A952,'Subbu- Mini Project EXcel Clean'!A952:A1951,'Subbu- Mini Project EXcel Clean'!J952:J1951," ",0)</f>
        <v>Good</v>
      </c>
      <c r="D952">
        <f>_xlfn.XLOOKUP(A952,'Subbu- Mini Project EXcel Clean'!A952:A1951,'Subbu- Mini Project EXcel Clean'!N952:N1951,"entry Level",0)</f>
        <v>8</v>
      </c>
      <c r="E952">
        <f>_xlfn.XLOOKUP(A952,'Subbu- Mini Project EXcel Clean'!A952:A1951,'Subbu- Mini Project EXcel Clean'!M952:M1951," ",0)</f>
        <v>98.2</v>
      </c>
      <c r="F952">
        <f>_xlfn.XLOOKUP(A952,'Subbu- Mini Project EXcel Clean'!A952:A1951,'Subbu- Mini Project EXcel Clean'!P952:P1951," ",0)</f>
        <v>4</v>
      </c>
      <c r="G952" t="str">
        <f>_xlfn.XLOOKUP(A952,'Subbu- Mini Project EXcel Clean'!A952:A1951,'Subbu- Mini Project EXcel Clean'!Q952:Q1951," ",0)</f>
        <v>Moderate</v>
      </c>
      <c r="H952">
        <f>VLOOKUP(A952,'Subbu- Mini Project EXcel Clean'!A951:R1951,15,FALSE)</f>
        <v>3</v>
      </c>
    </row>
    <row r="953" spans="1:8" x14ac:dyDescent="0.25">
      <c r="A953" t="s">
        <v>981</v>
      </c>
      <c r="B953">
        <f>_xlfn.XLOOKUP(A953,'Subbu- Mini Project EXcel Clean'!A953:A1952,'Subbu- Mini Project EXcel Clean'!I953:I1952,"Entry Level",0)</f>
        <v>3</v>
      </c>
      <c r="C953" t="str">
        <f>_xlfn.XLOOKUP(A953,'Subbu- Mini Project EXcel Clean'!A953:A1952,'Subbu- Mini Project EXcel Clean'!J953:J1952," ",0)</f>
        <v>Excellent</v>
      </c>
      <c r="D953">
        <f>_xlfn.XLOOKUP(A953,'Subbu- Mini Project EXcel Clean'!A953:A1952,'Subbu- Mini Project EXcel Clean'!N953:N1952,"entry Level",0)</f>
        <v>8.1999999999999993</v>
      </c>
      <c r="E953">
        <f>_xlfn.XLOOKUP(A953,'Subbu- Mini Project EXcel Clean'!A953:A1952,'Subbu- Mini Project EXcel Clean'!M953:M1952," ",0)</f>
        <v>85.9</v>
      </c>
      <c r="F953">
        <f>_xlfn.XLOOKUP(A953,'Subbu- Mini Project EXcel Clean'!A953:A1952,'Subbu- Mini Project EXcel Clean'!P953:P1952," ",0)</f>
        <v>1</v>
      </c>
      <c r="G953" t="str">
        <f>_xlfn.XLOOKUP(A953,'Subbu- Mini Project EXcel Clean'!A953:A1952,'Subbu- Mini Project EXcel Clean'!Q953:Q1952," ",0)</f>
        <v>Low</v>
      </c>
      <c r="H953">
        <f>VLOOKUP(A953,'Subbu- Mini Project EXcel Clean'!A952:R1952,15,FALSE)</f>
        <v>2.1</v>
      </c>
    </row>
    <row r="954" spans="1:8" x14ac:dyDescent="0.25">
      <c r="A954" t="s">
        <v>982</v>
      </c>
      <c r="B954">
        <f>_xlfn.XLOOKUP(A954,'Subbu- Mini Project EXcel Clean'!A954:A1953,'Subbu- Mini Project EXcel Clean'!I954:I1953,"Entry Level",0)</f>
        <v>4</v>
      </c>
      <c r="C954" t="str">
        <f>_xlfn.XLOOKUP(A954,'Subbu- Mini Project EXcel Clean'!A954:A1953,'Subbu- Mini Project EXcel Clean'!J954:J1953," ",0)</f>
        <v>Good</v>
      </c>
      <c r="D954">
        <f>_xlfn.XLOOKUP(A954,'Subbu- Mini Project EXcel Clean'!A954:A1953,'Subbu- Mini Project EXcel Clean'!N954:N1953,"entry Level",0)</f>
        <v>7</v>
      </c>
      <c r="E954">
        <f>_xlfn.XLOOKUP(A954,'Subbu- Mini Project EXcel Clean'!A954:A1953,'Subbu- Mini Project EXcel Clean'!M954:M1953," ",0)</f>
        <v>87.1</v>
      </c>
      <c r="F954">
        <f>_xlfn.XLOOKUP(A954,'Subbu- Mini Project EXcel Clean'!A954:A1953,'Subbu- Mini Project EXcel Clean'!P954:P1953," ",0)</f>
        <v>1</v>
      </c>
      <c r="G954" t="str">
        <f>_xlfn.XLOOKUP(A954,'Subbu- Mini Project EXcel Clean'!A954:A1953,'Subbu- Mini Project EXcel Clean'!Q954:Q1953," ",0)</f>
        <v>Low</v>
      </c>
      <c r="H954">
        <f>VLOOKUP(A954,'Subbu- Mini Project EXcel Clean'!A953:R1953,15,FALSE)</f>
        <v>3.6</v>
      </c>
    </row>
    <row r="955" spans="1:8" x14ac:dyDescent="0.25">
      <c r="A955" t="s">
        <v>983</v>
      </c>
      <c r="B955">
        <f>_xlfn.XLOOKUP(A955,'Subbu- Mini Project EXcel Clean'!A955:A1954,'Subbu- Mini Project EXcel Clean'!I955:I1954,"Entry Level",0)</f>
        <v>5</v>
      </c>
      <c r="C955" t="str">
        <f>_xlfn.XLOOKUP(A955,'Subbu- Mini Project EXcel Clean'!A955:A1954,'Subbu- Mini Project EXcel Clean'!J955:J1954," ",0)</f>
        <v>Good</v>
      </c>
      <c r="D955">
        <f>_xlfn.XLOOKUP(A955,'Subbu- Mini Project EXcel Clean'!A955:A1954,'Subbu- Mini Project EXcel Clean'!N955:N1954,"entry Level",0)</f>
        <v>7.7</v>
      </c>
      <c r="E955">
        <f>_xlfn.XLOOKUP(A955,'Subbu- Mini Project EXcel Clean'!A955:A1954,'Subbu- Mini Project EXcel Clean'!M955:M1954," ",0)</f>
        <v>92.2</v>
      </c>
      <c r="F955">
        <f>_xlfn.XLOOKUP(A955,'Subbu- Mini Project EXcel Clean'!A955:A1954,'Subbu- Mini Project EXcel Clean'!P955:P1954," ",0)</f>
        <v>6</v>
      </c>
      <c r="G955" t="str">
        <f>_xlfn.XLOOKUP(A955,'Subbu- Mini Project EXcel Clean'!A955:A1954,'Subbu- Mini Project EXcel Clean'!Q955:Q1954," ",0)</f>
        <v>High</v>
      </c>
      <c r="H955">
        <f>VLOOKUP(A955,'Subbu- Mini Project EXcel Clean'!A954:R1954,15,FALSE)</f>
        <v>3.7</v>
      </c>
    </row>
    <row r="956" spans="1:8" x14ac:dyDescent="0.25">
      <c r="A956" t="s">
        <v>984</v>
      </c>
      <c r="B956">
        <f>_xlfn.XLOOKUP(A956,'Subbu- Mini Project EXcel Clean'!A956:A1955,'Subbu- Mini Project EXcel Clean'!I956:I1955,"Entry Level",0)</f>
        <v>2</v>
      </c>
      <c r="C956" t="str">
        <f>_xlfn.XLOOKUP(A956,'Subbu- Mini Project EXcel Clean'!A956:A1955,'Subbu- Mini Project EXcel Clean'!J956:J1955," ",0)</f>
        <v>Consistent</v>
      </c>
      <c r="D956">
        <f>_xlfn.XLOOKUP(A956,'Subbu- Mini Project EXcel Clean'!A956:A1955,'Subbu- Mini Project EXcel Clean'!N956:N1955,"entry Level",0)</f>
        <v>6.8</v>
      </c>
      <c r="E956">
        <f>_xlfn.XLOOKUP(A956,'Subbu- Mini Project EXcel Clean'!A956:A1955,'Subbu- Mini Project EXcel Clean'!M956:M1955," ",0)</f>
        <v>62.8</v>
      </c>
      <c r="F956">
        <f>_xlfn.XLOOKUP(A956,'Subbu- Mini Project EXcel Clean'!A956:A1955,'Subbu- Mini Project EXcel Clean'!P956:P1955," ",0)</f>
        <v>2</v>
      </c>
      <c r="G956" t="str">
        <f>_xlfn.XLOOKUP(A956,'Subbu- Mini Project EXcel Clean'!A956:A1955,'Subbu- Mini Project EXcel Clean'!Q956:Q1955," ",0)</f>
        <v>Low</v>
      </c>
      <c r="H956">
        <f>VLOOKUP(A956,'Subbu- Mini Project EXcel Clean'!A955:R1955,15,FALSE)</f>
        <v>3.7</v>
      </c>
    </row>
    <row r="957" spans="1:8" x14ac:dyDescent="0.25">
      <c r="A957" t="s">
        <v>985</v>
      </c>
      <c r="B957">
        <f>_xlfn.XLOOKUP(A957,'Subbu- Mini Project EXcel Clean'!A957:A1956,'Subbu- Mini Project EXcel Clean'!I957:I1956,"Entry Level",0)</f>
        <v>4</v>
      </c>
      <c r="C957" t="str">
        <f>_xlfn.XLOOKUP(A957,'Subbu- Mini Project EXcel Clean'!A957:A1956,'Subbu- Mini Project EXcel Clean'!J957:J1956," ",0)</f>
        <v>Excellent</v>
      </c>
      <c r="D957">
        <f>_xlfn.XLOOKUP(A957,'Subbu- Mini Project EXcel Clean'!A957:A1956,'Subbu- Mini Project EXcel Clean'!N957:N1956,"entry Level",0)</f>
        <v>6.7</v>
      </c>
      <c r="E957">
        <f>_xlfn.XLOOKUP(A957,'Subbu- Mini Project EXcel Clean'!A957:A1956,'Subbu- Mini Project EXcel Clean'!M957:M1956," ",0)</f>
        <v>84.4</v>
      </c>
      <c r="F957">
        <f>_xlfn.XLOOKUP(A957,'Subbu- Mini Project EXcel Clean'!A957:A1956,'Subbu- Mini Project EXcel Clean'!P957:P1956," ",0)</f>
        <v>5</v>
      </c>
      <c r="G957" t="str">
        <f>_xlfn.XLOOKUP(A957,'Subbu- Mini Project EXcel Clean'!A957:A1956,'Subbu- Mini Project EXcel Clean'!Q957:Q1956," ",0)</f>
        <v>Moderate</v>
      </c>
      <c r="H957">
        <f>VLOOKUP(A957,'Subbu- Mini Project EXcel Clean'!A956:R1956,15,FALSE)</f>
        <v>3.8</v>
      </c>
    </row>
    <row r="958" spans="1:8" x14ac:dyDescent="0.25">
      <c r="A958" t="s">
        <v>986</v>
      </c>
      <c r="B958">
        <f>_xlfn.XLOOKUP(A958,'Subbu- Mini Project EXcel Clean'!A958:A1957,'Subbu- Mini Project EXcel Clean'!I958:I1957,"Entry Level",0)</f>
        <v>4</v>
      </c>
      <c r="C958" t="str">
        <f>_xlfn.XLOOKUP(A958,'Subbu- Mini Project EXcel Clean'!A958:A1957,'Subbu- Mini Project EXcel Clean'!J958:J1957," ",0)</f>
        <v>Excellent</v>
      </c>
      <c r="D958">
        <f>_xlfn.XLOOKUP(A958,'Subbu- Mini Project EXcel Clean'!A958:A1957,'Subbu- Mini Project EXcel Clean'!N958:N1957,"entry Level",0)</f>
        <v>6.3</v>
      </c>
      <c r="E958">
        <f>_xlfn.XLOOKUP(A958,'Subbu- Mini Project EXcel Clean'!A958:A1957,'Subbu- Mini Project EXcel Clean'!M958:M1957," ",0)</f>
        <v>90.7</v>
      </c>
      <c r="F958">
        <f>_xlfn.XLOOKUP(A958,'Subbu- Mini Project EXcel Clean'!A958:A1957,'Subbu- Mini Project EXcel Clean'!P958:P1957," ",0)</f>
        <v>1</v>
      </c>
      <c r="G958" t="str">
        <f>_xlfn.XLOOKUP(A958,'Subbu- Mini Project EXcel Clean'!A958:A1957,'Subbu- Mini Project EXcel Clean'!Q958:Q1957," ",0)</f>
        <v>Low</v>
      </c>
      <c r="H958">
        <f>VLOOKUP(A958,'Subbu- Mini Project EXcel Clean'!A957:R1957,15,FALSE)</f>
        <v>5.7</v>
      </c>
    </row>
    <row r="959" spans="1:8" x14ac:dyDescent="0.25">
      <c r="A959" t="s">
        <v>987</v>
      </c>
      <c r="B959">
        <f>_xlfn.XLOOKUP(A959,'Subbu- Mini Project EXcel Clean'!A959:A1958,'Subbu- Mini Project EXcel Clean'!I959:I1958,"Entry Level",0)</f>
        <v>5</v>
      </c>
      <c r="C959" t="str">
        <f>_xlfn.XLOOKUP(A959,'Subbu- Mini Project EXcel Clean'!A959:A1958,'Subbu- Mini Project EXcel Clean'!J959:J1958," ",0)</f>
        <v>Good</v>
      </c>
      <c r="D959">
        <f>_xlfn.XLOOKUP(A959,'Subbu- Mini Project EXcel Clean'!A959:A1958,'Subbu- Mini Project EXcel Clean'!N959:N1958,"entry Level",0)</f>
        <v>6.3</v>
      </c>
      <c r="E959">
        <f>_xlfn.XLOOKUP(A959,'Subbu- Mini Project EXcel Clean'!A959:A1958,'Subbu- Mini Project EXcel Clean'!M959:M1958," ",0)</f>
        <v>96.1</v>
      </c>
      <c r="F959">
        <f>_xlfn.XLOOKUP(A959,'Subbu- Mini Project EXcel Clean'!A959:A1958,'Subbu- Mini Project EXcel Clean'!P959:P1958," ",0)</f>
        <v>2</v>
      </c>
      <c r="G959" t="str">
        <f>_xlfn.XLOOKUP(A959,'Subbu- Mini Project EXcel Clean'!A959:A1958,'Subbu- Mini Project EXcel Clean'!Q959:Q1958," ",0)</f>
        <v>Low</v>
      </c>
      <c r="H959">
        <f>VLOOKUP(A959,'Subbu- Mini Project EXcel Clean'!A958:R1958,15,FALSE)</f>
        <v>5.5</v>
      </c>
    </row>
    <row r="960" spans="1:8" x14ac:dyDescent="0.25">
      <c r="A960" t="s">
        <v>988</v>
      </c>
      <c r="B960">
        <f>_xlfn.XLOOKUP(A960,'Subbu- Mini Project EXcel Clean'!A960:A1959,'Subbu- Mini Project EXcel Clean'!I960:I1959,"Entry Level",0)</f>
        <v>5</v>
      </c>
      <c r="C960" t="str">
        <f>_xlfn.XLOOKUP(A960,'Subbu- Mini Project EXcel Clean'!A960:A1959,'Subbu- Mini Project EXcel Clean'!J960:J1959," ",0)</f>
        <v>Good</v>
      </c>
      <c r="D960">
        <f>_xlfn.XLOOKUP(A960,'Subbu- Mini Project EXcel Clean'!A960:A1959,'Subbu- Mini Project EXcel Clean'!N960:N1959,"entry Level",0)</f>
        <v>6.3</v>
      </c>
      <c r="E960">
        <f>_xlfn.XLOOKUP(A960,'Subbu- Mini Project EXcel Clean'!A960:A1959,'Subbu- Mini Project EXcel Clean'!M960:M1959," ",0)</f>
        <v>95.1</v>
      </c>
      <c r="F960">
        <f>_xlfn.XLOOKUP(A960,'Subbu- Mini Project EXcel Clean'!A960:A1959,'Subbu- Mini Project EXcel Clean'!P960:P1959," ",0)</f>
        <v>4</v>
      </c>
      <c r="G960" t="str">
        <f>_xlfn.XLOOKUP(A960,'Subbu- Mini Project EXcel Clean'!A960:A1959,'Subbu- Mini Project EXcel Clean'!Q960:Q1959," ",0)</f>
        <v>Moderate</v>
      </c>
      <c r="H960">
        <f>VLOOKUP(A960,'Subbu- Mini Project EXcel Clean'!A959:R1959,15,FALSE)</f>
        <v>5.4</v>
      </c>
    </row>
    <row r="961" spans="1:8" x14ac:dyDescent="0.25">
      <c r="A961" t="s">
        <v>989</v>
      </c>
      <c r="B961">
        <f>_xlfn.XLOOKUP(A961,'Subbu- Mini Project EXcel Clean'!A961:A1960,'Subbu- Mini Project EXcel Clean'!I961:I1960,"Entry Level",0)</f>
        <v>4</v>
      </c>
      <c r="C961" t="str">
        <f>_xlfn.XLOOKUP(A961,'Subbu- Mini Project EXcel Clean'!A961:A1960,'Subbu- Mini Project EXcel Clean'!J961:J1960," ",0)</f>
        <v>Excellent</v>
      </c>
      <c r="D961">
        <f>_xlfn.XLOOKUP(A961,'Subbu- Mini Project EXcel Clean'!A961:A1960,'Subbu- Mini Project EXcel Clean'!N961:N1960,"entry Level",0)</f>
        <v>7.1</v>
      </c>
      <c r="E961">
        <f>_xlfn.XLOOKUP(A961,'Subbu- Mini Project EXcel Clean'!A961:A1960,'Subbu- Mini Project EXcel Clean'!M961:M1960," ",0)</f>
        <v>84.4</v>
      </c>
      <c r="F961">
        <f>_xlfn.XLOOKUP(A961,'Subbu- Mini Project EXcel Clean'!A961:A1960,'Subbu- Mini Project EXcel Clean'!P961:P1960," ",0)</f>
        <v>6</v>
      </c>
      <c r="G961" t="str">
        <f>_xlfn.XLOOKUP(A961,'Subbu- Mini Project EXcel Clean'!A961:A1960,'Subbu- Mini Project EXcel Clean'!Q961:Q1960," ",0)</f>
        <v>Moderate</v>
      </c>
      <c r="H961">
        <f>VLOOKUP(A961,'Subbu- Mini Project EXcel Clean'!A960:R1960,15,FALSE)</f>
        <v>5</v>
      </c>
    </row>
    <row r="962" spans="1:8" x14ac:dyDescent="0.25">
      <c r="A962" t="s">
        <v>990</v>
      </c>
      <c r="B962">
        <f>_xlfn.XLOOKUP(A962,'Subbu- Mini Project EXcel Clean'!A962:A1961,'Subbu- Mini Project EXcel Clean'!I962:I1961,"Entry Level",0)</f>
        <v>2</v>
      </c>
      <c r="C962" t="str">
        <f>_xlfn.XLOOKUP(A962,'Subbu- Mini Project EXcel Clean'!A962:A1961,'Subbu- Mini Project EXcel Clean'!J962:J1961," ",0)</f>
        <v>Consistent</v>
      </c>
      <c r="D962">
        <f>_xlfn.XLOOKUP(A962,'Subbu- Mini Project EXcel Clean'!A962:A1961,'Subbu- Mini Project EXcel Clean'!N962:N1961,"entry Level",0)</f>
        <v>6.4</v>
      </c>
      <c r="E962">
        <f>_xlfn.XLOOKUP(A962,'Subbu- Mini Project EXcel Clean'!A962:A1961,'Subbu- Mini Project EXcel Clean'!M962:M1961," ",0)</f>
        <v>75.3</v>
      </c>
      <c r="F962">
        <f>_xlfn.XLOOKUP(A962,'Subbu- Mini Project EXcel Clean'!A962:A1961,'Subbu- Mini Project EXcel Clean'!P962:P1961," ",0)</f>
        <v>2</v>
      </c>
      <c r="G962" t="str">
        <f>_xlfn.XLOOKUP(A962,'Subbu- Mini Project EXcel Clean'!A962:A1961,'Subbu- Mini Project EXcel Clean'!Q962:Q1961," ",0)</f>
        <v>Low</v>
      </c>
      <c r="H962">
        <f>VLOOKUP(A962,'Subbu- Mini Project EXcel Clean'!A961:R1961,15,FALSE)</f>
        <v>5.7</v>
      </c>
    </row>
    <row r="963" spans="1:8" x14ac:dyDescent="0.25">
      <c r="A963" t="s">
        <v>991</v>
      </c>
      <c r="B963">
        <f>_xlfn.XLOOKUP(A963,'Subbu- Mini Project EXcel Clean'!A963:A1962,'Subbu- Mini Project EXcel Clean'!I963:I1962,"Entry Level",0)</f>
        <v>4</v>
      </c>
      <c r="C963" t="str">
        <f>_xlfn.XLOOKUP(A963,'Subbu- Mini Project EXcel Clean'!A963:A1962,'Subbu- Mini Project EXcel Clean'!J963:J1962," ",0)</f>
        <v>Good</v>
      </c>
      <c r="D963">
        <f>_xlfn.XLOOKUP(A963,'Subbu- Mini Project EXcel Clean'!A963:A1962,'Subbu- Mini Project EXcel Clean'!N963:N1962,"entry Level",0)</f>
        <v>7.9</v>
      </c>
      <c r="E963">
        <f>_xlfn.XLOOKUP(A963,'Subbu- Mini Project EXcel Clean'!A963:A1962,'Subbu- Mini Project EXcel Clean'!M963:M1962," ",0)</f>
        <v>92</v>
      </c>
      <c r="F963">
        <f>_xlfn.XLOOKUP(A963,'Subbu- Mini Project EXcel Clean'!A963:A1962,'Subbu- Mini Project EXcel Clean'!P963:P1962," ",0)</f>
        <v>4</v>
      </c>
      <c r="G963" t="str">
        <f>_xlfn.XLOOKUP(A963,'Subbu- Mini Project EXcel Clean'!A963:A1962,'Subbu- Mini Project EXcel Clean'!Q963:Q1962," ",0)</f>
        <v>Moderate</v>
      </c>
      <c r="H963">
        <f>VLOOKUP(A963,'Subbu- Mini Project EXcel Clean'!A962:R1962,15,FALSE)</f>
        <v>1.5</v>
      </c>
    </row>
    <row r="964" spans="1:8" x14ac:dyDescent="0.25">
      <c r="A964" t="s">
        <v>992</v>
      </c>
      <c r="B964">
        <f>_xlfn.XLOOKUP(A964,'Subbu- Mini Project EXcel Clean'!A964:A1963,'Subbu- Mini Project EXcel Clean'!I964:I1963,"Entry Level",0)</f>
        <v>1</v>
      </c>
      <c r="C964" t="str">
        <f>_xlfn.XLOOKUP(A964,'Subbu- Mini Project EXcel Clean'!A964:A1963,'Subbu- Mini Project EXcel Clean'!J964:J1963," ",0)</f>
        <v>Consistent</v>
      </c>
      <c r="D964">
        <f>_xlfn.XLOOKUP(A964,'Subbu- Mini Project EXcel Clean'!A964:A1963,'Subbu- Mini Project EXcel Clean'!N964:N1963,"entry Level",0)</f>
        <v>7.8</v>
      </c>
      <c r="E964">
        <f>_xlfn.XLOOKUP(A964,'Subbu- Mini Project EXcel Clean'!A964:A1963,'Subbu- Mini Project EXcel Clean'!M964:M1963," ",0)</f>
        <v>63.4</v>
      </c>
      <c r="F964">
        <f>_xlfn.XLOOKUP(A964,'Subbu- Mini Project EXcel Clean'!A964:A1963,'Subbu- Mini Project EXcel Clean'!P964:P1963," ",0)</f>
        <v>6</v>
      </c>
      <c r="G964" t="str">
        <f>_xlfn.XLOOKUP(A964,'Subbu- Mini Project EXcel Clean'!A964:A1963,'Subbu- Mini Project EXcel Clean'!Q964:Q1963," ",0)</f>
        <v>Moderate</v>
      </c>
      <c r="H964">
        <f>VLOOKUP(A964,'Subbu- Mini Project EXcel Clean'!A963:R1963,15,FALSE)</f>
        <v>2.2999999999999998</v>
      </c>
    </row>
    <row r="965" spans="1:8" x14ac:dyDescent="0.25">
      <c r="A965" t="s">
        <v>993</v>
      </c>
      <c r="B965">
        <f>_xlfn.XLOOKUP(A965,'Subbu- Mini Project EXcel Clean'!A965:A1964,'Subbu- Mini Project EXcel Clean'!I965:I1964,"Entry Level",0)</f>
        <v>4</v>
      </c>
      <c r="C965" t="str">
        <f>_xlfn.XLOOKUP(A965,'Subbu- Mini Project EXcel Clean'!A965:A1964,'Subbu- Mini Project EXcel Clean'!J965:J1964," ",0)</f>
        <v>Good</v>
      </c>
      <c r="D965">
        <f>_xlfn.XLOOKUP(A965,'Subbu- Mini Project EXcel Clean'!A965:A1964,'Subbu- Mini Project EXcel Clean'!N965:N1964,"entry Level",0)</f>
        <v>7.2</v>
      </c>
      <c r="E965">
        <f>_xlfn.XLOOKUP(A965,'Subbu- Mini Project EXcel Clean'!A965:A1964,'Subbu- Mini Project EXcel Clean'!M965:M1964," ",0)</f>
        <v>90.7</v>
      </c>
      <c r="F965">
        <f>_xlfn.XLOOKUP(A965,'Subbu- Mini Project EXcel Clean'!A965:A1964,'Subbu- Mini Project EXcel Clean'!P965:P1964," ",0)</f>
        <v>2</v>
      </c>
      <c r="G965" t="str">
        <f>_xlfn.XLOOKUP(A965,'Subbu- Mini Project EXcel Clean'!A965:A1964,'Subbu- Mini Project EXcel Clean'!Q965:Q1964," ",0)</f>
        <v>Low</v>
      </c>
      <c r="H965">
        <f>VLOOKUP(A965,'Subbu- Mini Project EXcel Clean'!A964:R1964,15,FALSE)</f>
        <v>3.5</v>
      </c>
    </row>
    <row r="966" spans="1:8" x14ac:dyDescent="0.25">
      <c r="A966" t="s">
        <v>994</v>
      </c>
      <c r="B966">
        <f>_xlfn.XLOOKUP(A966,'Subbu- Mini Project EXcel Clean'!A966:A1965,'Subbu- Mini Project EXcel Clean'!I966:I1965,"Entry Level",0)</f>
        <v>5</v>
      </c>
      <c r="C966" t="str">
        <f>_xlfn.XLOOKUP(A966,'Subbu- Mini Project EXcel Clean'!A966:A1965,'Subbu- Mini Project EXcel Clean'!J966:J1965," ",0)</f>
        <v>Good</v>
      </c>
      <c r="D966">
        <f>_xlfn.XLOOKUP(A966,'Subbu- Mini Project EXcel Clean'!A966:A1965,'Subbu- Mini Project EXcel Clean'!N966:N1965,"entry Level",0)</f>
        <v>5.9</v>
      </c>
      <c r="E966">
        <f>_xlfn.XLOOKUP(A966,'Subbu- Mini Project EXcel Clean'!A966:A1965,'Subbu- Mini Project EXcel Clean'!M966:M1965," ",0)</f>
        <v>102.9</v>
      </c>
      <c r="F966">
        <f>_xlfn.XLOOKUP(A966,'Subbu- Mini Project EXcel Clean'!A966:A1965,'Subbu- Mini Project EXcel Clean'!P966:P1965," ",0)</f>
        <v>3</v>
      </c>
      <c r="G966" t="str">
        <f>_xlfn.XLOOKUP(A966,'Subbu- Mini Project EXcel Clean'!A966:A1965,'Subbu- Mini Project EXcel Clean'!Q966:Q1965," ",0)</f>
        <v>Low</v>
      </c>
      <c r="H966">
        <f>VLOOKUP(A966,'Subbu- Mini Project EXcel Clean'!A965:R1965,15,FALSE)</f>
        <v>5.2</v>
      </c>
    </row>
    <row r="967" spans="1:8" x14ac:dyDescent="0.25">
      <c r="A967" t="s">
        <v>995</v>
      </c>
      <c r="B967">
        <f>_xlfn.XLOOKUP(A967,'Subbu- Mini Project EXcel Clean'!A967:A1966,'Subbu- Mini Project EXcel Clean'!I967:I1966,"Entry Level",0)</f>
        <v>3</v>
      </c>
      <c r="C967" t="str">
        <f>_xlfn.XLOOKUP(A967,'Subbu- Mini Project EXcel Clean'!A967:A1966,'Subbu- Mini Project EXcel Clean'!J967:J1966," ",0)</f>
        <v>Consistent</v>
      </c>
      <c r="D967">
        <f>_xlfn.XLOOKUP(A967,'Subbu- Mini Project EXcel Clean'!A967:A1966,'Subbu- Mini Project EXcel Clean'!N967:N1966,"entry Level",0)</f>
        <v>6.3</v>
      </c>
      <c r="E967">
        <f>_xlfn.XLOOKUP(A967,'Subbu- Mini Project EXcel Clean'!A967:A1966,'Subbu- Mini Project EXcel Clean'!M967:M1966," ",0)</f>
        <v>71.599999999999994</v>
      </c>
      <c r="F967">
        <f>_xlfn.XLOOKUP(A967,'Subbu- Mini Project EXcel Clean'!A967:A1966,'Subbu- Mini Project EXcel Clean'!P967:P1966," ",0)</f>
        <v>5</v>
      </c>
      <c r="G967" t="str">
        <f>_xlfn.XLOOKUP(A967,'Subbu- Mini Project EXcel Clean'!A967:A1966,'Subbu- Mini Project EXcel Clean'!Q967:Q1966," ",0)</f>
        <v>Moderate</v>
      </c>
      <c r="H967">
        <f>VLOOKUP(A967,'Subbu- Mini Project EXcel Clean'!A966:R1966,15,FALSE)</f>
        <v>3.5</v>
      </c>
    </row>
    <row r="968" spans="1:8" x14ac:dyDescent="0.25">
      <c r="A968" t="s">
        <v>996</v>
      </c>
      <c r="B968">
        <f>_xlfn.XLOOKUP(A968,'Subbu- Mini Project EXcel Clean'!A968:A1967,'Subbu- Mini Project EXcel Clean'!I968:I1967,"Entry Level",0)</f>
        <v>4</v>
      </c>
      <c r="C968" t="str">
        <f>_xlfn.XLOOKUP(A968,'Subbu- Mini Project EXcel Clean'!A968:A1967,'Subbu- Mini Project EXcel Clean'!J968:J1967," ",0)</f>
        <v>Excellent</v>
      </c>
      <c r="D968">
        <f>_xlfn.XLOOKUP(A968,'Subbu- Mini Project EXcel Clean'!A968:A1967,'Subbu- Mini Project EXcel Clean'!N968:N1967,"entry Level",0)</f>
        <v>6.7</v>
      </c>
      <c r="E968">
        <f>_xlfn.XLOOKUP(A968,'Subbu- Mini Project EXcel Clean'!A968:A1967,'Subbu- Mini Project EXcel Clean'!M968:M1967," ",0)</f>
        <v>91.8</v>
      </c>
      <c r="F968">
        <f>_xlfn.XLOOKUP(A968,'Subbu- Mini Project EXcel Clean'!A968:A1967,'Subbu- Mini Project EXcel Clean'!P968:P1967," ",0)</f>
        <v>3</v>
      </c>
      <c r="G968" t="str">
        <f>_xlfn.XLOOKUP(A968,'Subbu- Mini Project EXcel Clean'!A968:A1967,'Subbu- Mini Project EXcel Clean'!Q968:Q1967," ",0)</f>
        <v>Low</v>
      </c>
      <c r="H968">
        <f>VLOOKUP(A968,'Subbu- Mini Project EXcel Clean'!A967:R1967,15,FALSE)</f>
        <v>4.7</v>
      </c>
    </row>
    <row r="969" spans="1:8" x14ac:dyDescent="0.25">
      <c r="A969" t="s">
        <v>997</v>
      </c>
      <c r="B969">
        <f>_xlfn.XLOOKUP(A969,'Subbu- Mini Project EXcel Clean'!A969:A1968,'Subbu- Mini Project EXcel Clean'!I969:I1968,"Entry Level",0)</f>
        <v>3</v>
      </c>
      <c r="C969" t="str">
        <f>_xlfn.XLOOKUP(A969,'Subbu- Mini Project EXcel Clean'!A969:A1968,'Subbu- Mini Project EXcel Clean'!J969:J1968," ",0)</f>
        <v>Consistent</v>
      </c>
      <c r="D969">
        <f>_xlfn.XLOOKUP(A969,'Subbu- Mini Project EXcel Clean'!A969:A1968,'Subbu- Mini Project EXcel Clean'!N969:N1968,"entry Level",0)</f>
        <v>7.4</v>
      </c>
      <c r="E969">
        <f>_xlfn.XLOOKUP(A969,'Subbu- Mini Project EXcel Clean'!A969:A1968,'Subbu- Mini Project EXcel Clean'!M969:M1968," ",0)</f>
        <v>78.3</v>
      </c>
      <c r="F969">
        <f>_xlfn.XLOOKUP(A969,'Subbu- Mini Project EXcel Clean'!A969:A1968,'Subbu- Mini Project EXcel Clean'!P969:P1968," ",0)</f>
        <v>1</v>
      </c>
      <c r="G969" t="str">
        <f>_xlfn.XLOOKUP(A969,'Subbu- Mini Project EXcel Clean'!A969:A1968,'Subbu- Mini Project EXcel Clean'!Q969:Q1968," ",0)</f>
        <v>Low</v>
      </c>
      <c r="H969">
        <f>VLOOKUP(A969,'Subbu- Mini Project EXcel Clean'!A968:R1968,15,FALSE)</f>
        <v>1.7</v>
      </c>
    </row>
    <row r="970" spans="1:8" x14ac:dyDescent="0.25">
      <c r="A970" t="s">
        <v>998</v>
      </c>
      <c r="B970">
        <f>_xlfn.XLOOKUP(A970,'Subbu- Mini Project EXcel Clean'!A970:A1969,'Subbu- Mini Project EXcel Clean'!I970:I1969,"Entry Level",0)</f>
        <v>3</v>
      </c>
      <c r="C970" t="str">
        <f>_xlfn.XLOOKUP(A970,'Subbu- Mini Project EXcel Clean'!A970:A1969,'Subbu- Mini Project EXcel Clean'!J970:J1969," ",0)</f>
        <v>Consistent</v>
      </c>
      <c r="D970">
        <f>_xlfn.XLOOKUP(A970,'Subbu- Mini Project EXcel Clean'!A970:A1969,'Subbu- Mini Project EXcel Clean'!N970:N1969,"entry Level",0)</f>
        <v>7.4</v>
      </c>
      <c r="E970">
        <f>_xlfn.XLOOKUP(A970,'Subbu- Mini Project EXcel Clean'!A970:A1969,'Subbu- Mini Project EXcel Clean'!M970:M1969," ",0)</f>
        <v>76.7</v>
      </c>
      <c r="F970">
        <f>_xlfn.XLOOKUP(A970,'Subbu- Mini Project EXcel Clean'!A970:A1969,'Subbu- Mini Project EXcel Clean'!P970:P1969," ",0)</f>
        <v>3</v>
      </c>
      <c r="G970" t="str">
        <f>_xlfn.XLOOKUP(A970,'Subbu- Mini Project EXcel Clean'!A970:A1969,'Subbu- Mini Project EXcel Clean'!Q970:Q1969," ",0)</f>
        <v>Moderate</v>
      </c>
      <c r="H970">
        <f>VLOOKUP(A970,'Subbu- Mini Project EXcel Clean'!A969:R1969,15,FALSE)</f>
        <v>2.2999999999999998</v>
      </c>
    </row>
    <row r="971" spans="1:8" x14ac:dyDescent="0.25">
      <c r="A971" t="s">
        <v>999</v>
      </c>
      <c r="B971">
        <f>_xlfn.XLOOKUP(A971,'Subbu- Mini Project EXcel Clean'!A971:A1970,'Subbu- Mini Project EXcel Clean'!I971:I1970,"Entry Level",0)</f>
        <v>2</v>
      </c>
      <c r="C971" t="str">
        <f>_xlfn.XLOOKUP(A971,'Subbu- Mini Project EXcel Clean'!A971:A1970,'Subbu- Mini Project EXcel Clean'!J971:J1970," ",0)</f>
        <v>Consistent</v>
      </c>
      <c r="D971">
        <f>_xlfn.XLOOKUP(A971,'Subbu- Mini Project EXcel Clean'!A971:A1970,'Subbu- Mini Project EXcel Clean'!N971:N1970,"entry Level",0)</f>
        <v>6.6</v>
      </c>
      <c r="E971">
        <f>_xlfn.XLOOKUP(A971,'Subbu- Mini Project EXcel Clean'!A971:A1970,'Subbu- Mini Project EXcel Clean'!M971:M1970," ",0)</f>
        <v>84.9</v>
      </c>
      <c r="F971">
        <f>_xlfn.XLOOKUP(A971,'Subbu- Mini Project EXcel Clean'!A971:A1970,'Subbu- Mini Project EXcel Clean'!P971:P1970," ",0)</f>
        <v>1</v>
      </c>
      <c r="G971" t="str">
        <f>_xlfn.XLOOKUP(A971,'Subbu- Mini Project EXcel Clean'!A971:A1970,'Subbu- Mini Project EXcel Clean'!Q971:Q1970," ",0)</f>
        <v>Low</v>
      </c>
      <c r="H971">
        <f>VLOOKUP(A971,'Subbu- Mini Project EXcel Clean'!A970:R1970,15,FALSE)</f>
        <v>4.7</v>
      </c>
    </row>
    <row r="972" spans="1:8" x14ac:dyDescent="0.25">
      <c r="A972" t="s">
        <v>1000</v>
      </c>
      <c r="B972">
        <f>_xlfn.XLOOKUP(A972,'Subbu- Mini Project EXcel Clean'!A972:A1971,'Subbu- Mini Project EXcel Clean'!I972:I1971,"Entry Level",0)</f>
        <v>4</v>
      </c>
      <c r="C972" t="str">
        <f>_xlfn.XLOOKUP(A972,'Subbu- Mini Project EXcel Clean'!A972:A1971,'Subbu- Mini Project EXcel Clean'!J972:J1971," ",0)</f>
        <v>Excellent</v>
      </c>
      <c r="D972">
        <f>_xlfn.XLOOKUP(A972,'Subbu- Mini Project EXcel Clean'!A972:A1971,'Subbu- Mini Project EXcel Clean'!N972:N1971,"entry Level",0)</f>
        <v>8.6999999999999993</v>
      </c>
      <c r="E972">
        <f>_xlfn.XLOOKUP(A972,'Subbu- Mini Project EXcel Clean'!A972:A1971,'Subbu- Mini Project EXcel Clean'!M972:M1971," ",0)</f>
        <v>85.2</v>
      </c>
      <c r="F972">
        <f>_xlfn.XLOOKUP(A972,'Subbu- Mini Project EXcel Clean'!A972:A1971,'Subbu- Mini Project EXcel Clean'!P972:P1971," ",0)</f>
        <v>5</v>
      </c>
      <c r="G972" t="str">
        <f>_xlfn.XLOOKUP(A972,'Subbu- Mini Project EXcel Clean'!A972:A1971,'Subbu- Mini Project EXcel Clean'!Q972:Q1971," ",0)</f>
        <v>Moderate</v>
      </c>
      <c r="H972">
        <f>VLOOKUP(A972,'Subbu- Mini Project EXcel Clean'!A971:R1971,15,FALSE)</f>
        <v>1.8</v>
      </c>
    </row>
    <row r="973" spans="1:8" x14ac:dyDescent="0.25">
      <c r="A973" t="s">
        <v>1001</v>
      </c>
      <c r="B973">
        <f>_xlfn.XLOOKUP(A973,'Subbu- Mini Project EXcel Clean'!A973:A1972,'Subbu- Mini Project EXcel Clean'!I973:I1972,"Entry Level",0)</f>
        <v>5</v>
      </c>
      <c r="C973" t="str">
        <f>_xlfn.XLOOKUP(A973,'Subbu- Mini Project EXcel Clean'!A973:A1972,'Subbu- Mini Project EXcel Clean'!J973:J1972," ",0)</f>
        <v>Good</v>
      </c>
      <c r="D973">
        <f>_xlfn.XLOOKUP(A973,'Subbu- Mini Project EXcel Clean'!A973:A1972,'Subbu- Mini Project EXcel Clean'!N973:N1972,"entry Level",0)</f>
        <v>6.5</v>
      </c>
      <c r="E973">
        <f>_xlfn.XLOOKUP(A973,'Subbu- Mini Project EXcel Clean'!A973:A1972,'Subbu- Mini Project EXcel Clean'!M973:M1972," ",0)</f>
        <v>95.7</v>
      </c>
      <c r="F973">
        <f>_xlfn.XLOOKUP(A973,'Subbu- Mini Project EXcel Clean'!A973:A1972,'Subbu- Mini Project EXcel Clean'!P973:P1972," ",0)</f>
        <v>3</v>
      </c>
      <c r="G973" t="str">
        <f>_xlfn.XLOOKUP(A973,'Subbu- Mini Project EXcel Clean'!A973:A1972,'Subbu- Mini Project EXcel Clean'!Q973:Q1972," ",0)</f>
        <v>Moderate</v>
      </c>
      <c r="H973">
        <f>VLOOKUP(A973,'Subbu- Mini Project EXcel Clean'!A972:R1972,15,FALSE)</f>
        <v>2.8</v>
      </c>
    </row>
    <row r="974" spans="1:8" x14ac:dyDescent="0.25">
      <c r="A974" t="s">
        <v>1002</v>
      </c>
      <c r="B974">
        <f>_xlfn.XLOOKUP(A974,'Subbu- Mini Project EXcel Clean'!A974:A1973,'Subbu- Mini Project EXcel Clean'!I974:I1973,"Entry Level",0)</f>
        <v>5</v>
      </c>
      <c r="C974" t="str">
        <f>_xlfn.XLOOKUP(A974,'Subbu- Mini Project EXcel Clean'!A974:A1973,'Subbu- Mini Project EXcel Clean'!J974:J1973," ",0)</f>
        <v>Good</v>
      </c>
      <c r="D974">
        <f>_xlfn.XLOOKUP(A974,'Subbu- Mini Project EXcel Clean'!A974:A1973,'Subbu- Mini Project EXcel Clean'!N974:N1973,"entry Level",0)</f>
        <v>6.3</v>
      </c>
      <c r="E974">
        <f>_xlfn.XLOOKUP(A974,'Subbu- Mini Project EXcel Clean'!A974:A1973,'Subbu- Mini Project EXcel Clean'!M974:M1973," ",0)</f>
        <v>91.5</v>
      </c>
      <c r="F974">
        <f>_xlfn.XLOOKUP(A974,'Subbu- Mini Project EXcel Clean'!A974:A1973,'Subbu- Mini Project EXcel Clean'!P974:P1973," ",0)</f>
        <v>4</v>
      </c>
      <c r="G974" t="str">
        <f>_xlfn.XLOOKUP(A974,'Subbu- Mini Project EXcel Clean'!A974:A1973,'Subbu- Mini Project EXcel Clean'!Q974:Q1973," ",0)</f>
        <v>Moderate</v>
      </c>
      <c r="H974">
        <f>VLOOKUP(A974,'Subbu- Mini Project EXcel Clean'!A973:R1973,15,FALSE)</f>
        <v>2.2999999999999998</v>
      </c>
    </row>
    <row r="975" spans="1:8" x14ac:dyDescent="0.25">
      <c r="A975" t="s">
        <v>1003</v>
      </c>
      <c r="B975">
        <f>_xlfn.XLOOKUP(A975,'Subbu- Mini Project EXcel Clean'!A975:A1974,'Subbu- Mini Project EXcel Clean'!I975:I1974,"Entry Level",0)</f>
        <v>2</v>
      </c>
      <c r="C975" t="str">
        <f>_xlfn.XLOOKUP(A975,'Subbu- Mini Project EXcel Clean'!A975:A1974,'Subbu- Mini Project EXcel Clean'!J975:J1974," ",0)</f>
        <v>Consistent</v>
      </c>
      <c r="D975">
        <f>_xlfn.XLOOKUP(A975,'Subbu- Mini Project EXcel Clean'!A975:A1974,'Subbu- Mini Project EXcel Clean'!N975:N1974,"entry Level",0)</f>
        <v>7.3</v>
      </c>
      <c r="E975">
        <f>_xlfn.XLOOKUP(A975,'Subbu- Mini Project EXcel Clean'!A975:A1974,'Subbu- Mini Project EXcel Clean'!M975:M1974," ",0)</f>
        <v>71.8</v>
      </c>
      <c r="F975">
        <f>_xlfn.XLOOKUP(A975,'Subbu- Mini Project EXcel Clean'!A975:A1974,'Subbu- Mini Project EXcel Clean'!P975:P1974," ",0)</f>
        <v>1</v>
      </c>
      <c r="G975" t="str">
        <f>_xlfn.XLOOKUP(A975,'Subbu- Mini Project EXcel Clean'!A975:A1974,'Subbu- Mini Project EXcel Clean'!Q975:Q1974," ",0)</f>
        <v>Low</v>
      </c>
      <c r="H975">
        <f>VLOOKUP(A975,'Subbu- Mini Project EXcel Clean'!A974:R1974,15,FALSE)</f>
        <v>2.7</v>
      </c>
    </row>
    <row r="976" spans="1:8" x14ac:dyDescent="0.25">
      <c r="A976" t="s">
        <v>1004</v>
      </c>
      <c r="B976">
        <f>_xlfn.XLOOKUP(A976,'Subbu- Mini Project EXcel Clean'!A976:A1975,'Subbu- Mini Project EXcel Clean'!I976:I1975,"Entry Level",0)</f>
        <v>5</v>
      </c>
      <c r="C976" t="str">
        <f>_xlfn.XLOOKUP(A976,'Subbu- Mini Project EXcel Clean'!A976:A1975,'Subbu- Mini Project EXcel Clean'!J976:J1975," ",0)</f>
        <v>Good</v>
      </c>
      <c r="D976">
        <f>_xlfn.XLOOKUP(A976,'Subbu- Mini Project EXcel Clean'!A976:A1975,'Subbu- Mini Project EXcel Clean'!N976:N1975,"entry Level",0)</f>
        <v>6.4</v>
      </c>
      <c r="E976">
        <f>_xlfn.XLOOKUP(A976,'Subbu- Mini Project EXcel Clean'!A976:A1975,'Subbu- Mini Project EXcel Clean'!M976:M1975," ",0)</f>
        <v>103.4</v>
      </c>
      <c r="F976">
        <f>_xlfn.XLOOKUP(A976,'Subbu- Mini Project EXcel Clean'!A976:A1975,'Subbu- Mini Project EXcel Clean'!P976:P1975," ",0)</f>
        <v>1</v>
      </c>
      <c r="G976" t="str">
        <f>_xlfn.XLOOKUP(A976,'Subbu- Mini Project EXcel Clean'!A976:A1975,'Subbu- Mini Project EXcel Clean'!Q976:Q1975," ",0)</f>
        <v>Low</v>
      </c>
      <c r="H976">
        <f>VLOOKUP(A976,'Subbu- Mini Project EXcel Clean'!A975:R1975,15,FALSE)</f>
        <v>4.5</v>
      </c>
    </row>
    <row r="977" spans="1:8" x14ac:dyDescent="0.25">
      <c r="A977" t="s">
        <v>1005</v>
      </c>
      <c r="B977">
        <f>_xlfn.XLOOKUP(A977,'Subbu- Mini Project EXcel Clean'!A977:A1976,'Subbu- Mini Project EXcel Clean'!I977:I1976,"Entry Level",0)</f>
        <v>4</v>
      </c>
      <c r="C977" t="str">
        <f>_xlfn.XLOOKUP(A977,'Subbu- Mini Project EXcel Clean'!A977:A1976,'Subbu- Mini Project EXcel Clean'!J977:J1976," ",0)</f>
        <v>Excellent</v>
      </c>
      <c r="D977">
        <f>_xlfn.XLOOKUP(A977,'Subbu- Mini Project EXcel Clean'!A977:A1976,'Subbu- Mini Project EXcel Clean'!N977:N1976,"entry Level",0)</f>
        <v>7.3</v>
      </c>
      <c r="E977">
        <f>_xlfn.XLOOKUP(A977,'Subbu- Mini Project EXcel Clean'!A977:A1976,'Subbu- Mini Project EXcel Clean'!M977:M1976," ",0)</f>
        <v>97.8</v>
      </c>
      <c r="F977">
        <f>_xlfn.XLOOKUP(A977,'Subbu- Mini Project EXcel Clean'!A977:A1976,'Subbu- Mini Project EXcel Clean'!P977:P1976," ",0)</f>
        <v>2</v>
      </c>
      <c r="G977" t="str">
        <f>_xlfn.XLOOKUP(A977,'Subbu- Mini Project EXcel Clean'!A977:A1976,'Subbu- Mini Project EXcel Clean'!Q977:Q1976," ",0)</f>
        <v>Low</v>
      </c>
      <c r="H977">
        <f>VLOOKUP(A977,'Subbu- Mini Project EXcel Clean'!A976:R1976,15,FALSE)</f>
        <v>2.8</v>
      </c>
    </row>
    <row r="978" spans="1:8" x14ac:dyDescent="0.25">
      <c r="A978" t="s">
        <v>1006</v>
      </c>
      <c r="B978">
        <f>_xlfn.XLOOKUP(A978,'Subbu- Mini Project EXcel Clean'!A978:A1977,'Subbu- Mini Project EXcel Clean'!I978:I1977,"Entry Level",0)</f>
        <v>2</v>
      </c>
      <c r="C978" t="str">
        <f>_xlfn.XLOOKUP(A978,'Subbu- Mini Project EXcel Clean'!A978:A1977,'Subbu- Mini Project EXcel Clean'!J978:J1977," ",0)</f>
        <v>Consistent</v>
      </c>
      <c r="D978">
        <f>_xlfn.XLOOKUP(A978,'Subbu- Mini Project EXcel Clean'!A978:A1977,'Subbu- Mini Project EXcel Clean'!N978:N1977,"entry Level",0)</f>
        <v>7.2</v>
      </c>
      <c r="E978">
        <f>_xlfn.XLOOKUP(A978,'Subbu- Mini Project EXcel Clean'!A978:A1977,'Subbu- Mini Project EXcel Clean'!M978:M1977," ",0)</f>
        <v>76.2</v>
      </c>
      <c r="F978">
        <f>_xlfn.XLOOKUP(A978,'Subbu- Mini Project EXcel Clean'!A978:A1977,'Subbu- Mini Project EXcel Clean'!P978:P1977," ",0)</f>
        <v>1</v>
      </c>
      <c r="G978" t="str">
        <f>_xlfn.XLOOKUP(A978,'Subbu- Mini Project EXcel Clean'!A978:A1977,'Subbu- Mini Project EXcel Clean'!Q978:Q1977," ",0)</f>
        <v>Low</v>
      </c>
      <c r="H978">
        <f>VLOOKUP(A978,'Subbu- Mini Project EXcel Clean'!A977:R1977,15,FALSE)</f>
        <v>3.8</v>
      </c>
    </row>
    <row r="979" spans="1:8" x14ac:dyDescent="0.25">
      <c r="A979" t="s">
        <v>1007</v>
      </c>
      <c r="B979">
        <f>_xlfn.XLOOKUP(A979,'Subbu- Mini Project EXcel Clean'!A979:A1978,'Subbu- Mini Project EXcel Clean'!I979:I1978,"Entry Level",0)</f>
        <v>1</v>
      </c>
      <c r="C979" t="str">
        <f>_xlfn.XLOOKUP(A979,'Subbu- Mini Project EXcel Clean'!A979:A1978,'Subbu- Mini Project EXcel Clean'!J979:J1978," ",0)</f>
        <v>Consistent</v>
      </c>
      <c r="D979">
        <f>_xlfn.XLOOKUP(A979,'Subbu- Mini Project EXcel Clean'!A979:A1978,'Subbu- Mini Project EXcel Clean'!N979:N1978,"entry Level",0)</f>
        <v>8.1999999999999993</v>
      </c>
      <c r="E979">
        <f>_xlfn.XLOOKUP(A979,'Subbu- Mini Project EXcel Clean'!A979:A1978,'Subbu- Mini Project EXcel Clean'!M979:M1978," ",0)</f>
        <v>61.7</v>
      </c>
      <c r="F979">
        <f>_xlfn.XLOOKUP(A979,'Subbu- Mini Project EXcel Clean'!A979:A1978,'Subbu- Mini Project EXcel Clean'!P979:P1978," ",0)</f>
        <v>4</v>
      </c>
      <c r="G979" t="str">
        <f>_xlfn.XLOOKUP(A979,'Subbu- Mini Project EXcel Clean'!A979:A1978,'Subbu- Mini Project EXcel Clean'!Q979:Q1978," ",0)</f>
        <v>Moderate</v>
      </c>
      <c r="H979">
        <f>VLOOKUP(A979,'Subbu- Mini Project EXcel Clean'!A978:R1978,15,FALSE)</f>
        <v>1.5</v>
      </c>
    </row>
    <row r="980" spans="1:8" x14ac:dyDescent="0.25">
      <c r="A980" t="s">
        <v>1008</v>
      </c>
      <c r="B980">
        <f>_xlfn.XLOOKUP(A980,'Subbu- Mini Project EXcel Clean'!A980:A1979,'Subbu- Mini Project EXcel Clean'!I980:I1979,"Entry Level",0)</f>
        <v>2</v>
      </c>
      <c r="C980" t="str">
        <f>_xlfn.XLOOKUP(A980,'Subbu- Mini Project EXcel Clean'!A980:A1979,'Subbu- Mini Project EXcel Clean'!J980:J1979," ",0)</f>
        <v>Consistent</v>
      </c>
      <c r="D980">
        <f>_xlfn.XLOOKUP(A980,'Subbu- Mini Project EXcel Clean'!A980:A1979,'Subbu- Mini Project EXcel Clean'!N980:N1979,"entry Level",0)</f>
        <v>5.7</v>
      </c>
      <c r="E980">
        <f>_xlfn.XLOOKUP(A980,'Subbu- Mini Project EXcel Clean'!A980:A1979,'Subbu- Mini Project EXcel Clean'!M980:M1979," ",0)</f>
        <v>68.900000000000006</v>
      </c>
      <c r="F980">
        <f>_xlfn.XLOOKUP(A980,'Subbu- Mini Project EXcel Clean'!A980:A1979,'Subbu- Mini Project EXcel Clean'!P980:P1979," ",0)</f>
        <v>3</v>
      </c>
      <c r="G980" t="str">
        <f>_xlfn.XLOOKUP(A980,'Subbu- Mini Project EXcel Clean'!A980:A1979,'Subbu- Mini Project EXcel Clean'!Q980:Q1979," ",0)</f>
        <v>Low</v>
      </c>
      <c r="H980">
        <f>VLOOKUP(A980,'Subbu- Mini Project EXcel Clean'!A979:R1979,15,FALSE)</f>
        <v>5</v>
      </c>
    </row>
    <row r="981" spans="1:8" x14ac:dyDescent="0.25">
      <c r="A981" t="s">
        <v>1009</v>
      </c>
      <c r="B981">
        <f>_xlfn.XLOOKUP(A981,'Subbu- Mini Project EXcel Clean'!A981:A1980,'Subbu- Mini Project EXcel Clean'!I981:I1980,"Entry Level",0)</f>
        <v>5</v>
      </c>
      <c r="C981" t="str">
        <f>_xlfn.XLOOKUP(A981,'Subbu- Mini Project EXcel Clean'!A981:A1980,'Subbu- Mini Project EXcel Clean'!J981:J1980," ",0)</f>
        <v>Good</v>
      </c>
      <c r="D981">
        <f>_xlfn.XLOOKUP(A981,'Subbu- Mini Project EXcel Clean'!A981:A1980,'Subbu- Mini Project EXcel Clean'!N981:N1980,"entry Level",0)</f>
        <v>6.9</v>
      </c>
      <c r="E981">
        <f>_xlfn.XLOOKUP(A981,'Subbu- Mini Project EXcel Clean'!A981:A1980,'Subbu- Mini Project EXcel Clean'!M981:M1980," ",0)</f>
        <v>88.1</v>
      </c>
      <c r="F981">
        <f>_xlfn.XLOOKUP(A981,'Subbu- Mini Project EXcel Clean'!A981:A1980,'Subbu- Mini Project EXcel Clean'!P981:P1980," ",0)</f>
        <v>4</v>
      </c>
      <c r="G981" t="str">
        <f>_xlfn.XLOOKUP(A981,'Subbu- Mini Project EXcel Clean'!A981:A1980,'Subbu- Mini Project EXcel Clean'!Q981:Q1980," ",0)</f>
        <v>Moderate</v>
      </c>
      <c r="H981">
        <f>VLOOKUP(A981,'Subbu- Mini Project EXcel Clean'!A980:R1980,15,FALSE)</f>
        <v>2.8</v>
      </c>
    </row>
    <row r="982" spans="1:8" x14ac:dyDescent="0.25">
      <c r="A982" t="s">
        <v>1010</v>
      </c>
      <c r="B982">
        <f>_xlfn.XLOOKUP(A982,'Subbu- Mini Project EXcel Clean'!A982:A1981,'Subbu- Mini Project EXcel Clean'!I982:I1981,"Entry Level",0)</f>
        <v>4</v>
      </c>
      <c r="C982" t="str">
        <f>_xlfn.XLOOKUP(A982,'Subbu- Mini Project EXcel Clean'!A982:A1981,'Subbu- Mini Project EXcel Clean'!J982:J1981," ",0)</f>
        <v>Excellent</v>
      </c>
      <c r="D982">
        <f>_xlfn.XLOOKUP(A982,'Subbu- Mini Project EXcel Clean'!A982:A1981,'Subbu- Mini Project EXcel Clean'!N982:N1981,"entry Level",0)</f>
        <v>6.9</v>
      </c>
      <c r="E982">
        <f>_xlfn.XLOOKUP(A982,'Subbu- Mini Project EXcel Clean'!A982:A1981,'Subbu- Mini Project EXcel Clean'!M982:M1981," ",0)</f>
        <v>95.5</v>
      </c>
      <c r="F982">
        <f>_xlfn.XLOOKUP(A982,'Subbu- Mini Project EXcel Clean'!A982:A1981,'Subbu- Mini Project EXcel Clean'!P982:P1981," ",0)</f>
        <v>6</v>
      </c>
      <c r="G982" t="str">
        <f>_xlfn.XLOOKUP(A982,'Subbu- Mini Project EXcel Clean'!A982:A1981,'Subbu- Mini Project EXcel Clean'!Q982:Q1981," ",0)</f>
        <v>Moderate</v>
      </c>
      <c r="H982">
        <f>VLOOKUP(A982,'Subbu- Mini Project EXcel Clean'!A981:R1981,15,FALSE)</f>
        <v>4.2</v>
      </c>
    </row>
    <row r="983" spans="1:8" x14ac:dyDescent="0.25">
      <c r="A983" t="s">
        <v>1011</v>
      </c>
      <c r="B983">
        <f>_xlfn.XLOOKUP(A983,'Subbu- Mini Project EXcel Clean'!A983:A1982,'Subbu- Mini Project EXcel Clean'!I983:I1982,"Entry Level",0)</f>
        <v>4</v>
      </c>
      <c r="C983" t="str">
        <f>_xlfn.XLOOKUP(A983,'Subbu- Mini Project EXcel Clean'!A983:A1982,'Subbu- Mini Project EXcel Clean'!J983:J1982," ",0)</f>
        <v>Excellent</v>
      </c>
      <c r="D983">
        <f>_xlfn.XLOOKUP(A983,'Subbu- Mini Project EXcel Clean'!A983:A1982,'Subbu- Mini Project EXcel Clean'!N983:N1982,"entry Level",0)</f>
        <v>7</v>
      </c>
      <c r="E983">
        <f>_xlfn.XLOOKUP(A983,'Subbu- Mini Project EXcel Clean'!A983:A1982,'Subbu- Mini Project EXcel Clean'!M983:M1982," ",0)</f>
        <v>91.2</v>
      </c>
      <c r="F983">
        <f>_xlfn.XLOOKUP(A983,'Subbu- Mini Project EXcel Clean'!A983:A1982,'Subbu- Mini Project EXcel Clean'!P983:P1982," ",0)</f>
        <v>5</v>
      </c>
      <c r="G983" t="str">
        <f>_xlfn.XLOOKUP(A983,'Subbu- Mini Project EXcel Clean'!A983:A1982,'Subbu- Mini Project EXcel Clean'!Q983:Q1982," ",0)</f>
        <v>Moderate</v>
      </c>
      <c r="H983">
        <f>VLOOKUP(A983,'Subbu- Mini Project EXcel Clean'!A982:R1982,15,FALSE)</f>
        <v>4.5999999999999996</v>
      </c>
    </row>
    <row r="984" spans="1:8" x14ac:dyDescent="0.25">
      <c r="A984" t="s">
        <v>1012</v>
      </c>
      <c r="B984">
        <f>_xlfn.XLOOKUP(A984,'Subbu- Mini Project EXcel Clean'!A984:A1983,'Subbu- Mini Project EXcel Clean'!I984:I1983,"Entry Level",0)</f>
        <v>2</v>
      </c>
      <c r="C984" t="str">
        <f>_xlfn.XLOOKUP(A984,'Subbu- Mini Project EXcel Clean'!A984:A1983,'Subbu- Mini Project EXcel Clean'!J984:J1983," ",0)</f>
        <v>Consistent</v>
      </c>
      <c r="D984">
        <f>_xlfn.XLOOKUP(A984,'Subbu- Mini Project EXcel Clean'!A984:A1983,'Subbu- Mini Project EXcel Clean'!N984:N1983,"entry Level",0)</f>
        <v>8.5</v>
      </c>
      <c r="E984">
        <f>_xlfn.XLOOKUP(A984,'Subbu- Mini Project EXcel Clean'!A984:A1983,'Subbu- Mini Project EXcel Clean'!M984:M1983," ",0)</f>
        <v>67.8</v>
      </c>
      <c r="F984">
        <f>_xlfn.XLOOKUP(A984,'Subbu- Mini Project EXcel Clean'!A984:A1983,'Subbu- Mini Project EXcel Clean'!P984:P1983," ",0)</f>
        <v>3</v>
      </c>
      <c r="G984" t="str">
        <f>_xlfn.XLOOKUP(A984,'Subbu- Mini Project EXcel Clean'!A984:A1983,'Subbu- Mini Project EXcel Clean'!Q984:Q1983," ",0)</f>
        <v>Low</v>
      </c>
      <c r="H984">
        <f>VLOOKUP(A984,'Subbu- Mini Project EXcel Clean'!A983:R1983,15,FALSE)</f>
        <v>2</v>
      </c>
    </row>
    <row r="985" spans="1:8" x14ac:dyDescent="0.25">
      <c r="A985" t="s">
        <v>1013</v>
      </c>
      <c r="B985">
        <f>_xlfn.XLOOKUP(A985,'Subbu- Mini Project EXcel Clean'!A985:A1984,'Subbu- Mini Project EXcel Clean'!I985:I1984,"Entry Level",0)</f>
        <v>4</v>
      </c>
      <c r="C985" t="str">
        <f>_xlfn.XLOOKUP(A985,'Subbu- Mini Project EXcel Clean'!A985:A1984,'Subbu- Mini Project EXcel Clean'!J985:J1984," ",0)</f>
        <v>Excellent</v>
      </c>
      <c r="D985">
        <f>_xlfn.XLOOKUP(A985,'Subbu- Mini Project EXcel Clean'!A985:A1984,'Subbu- Mini Project EXcel Clean'!N985:N1984,"entry Level",0)</f>
        <v>6.9</v>
      </c>
      <c r="E985">
        <f>_xlfn.XLOOKUP(A985,'Subbu- Mini Project EXcel Clean'!A985:A1984,'Subbu- Mini Project EXcel Clean'!M985:M1984," ",0)</f>
        <v>95.4</v>
      </c>
      <c r="F985">
        <f>_xlfn.XLOOKUP(A985,'Subbu- Mini Project EXcel Clean'!A985:A1984,'Subbu- Mini Project EXcel Clean'!P985:P1984," ",0)</f>
        <v>3</v>
      </c>
      <c r="G985" t="str">
        <f>_xlfn.XLOOKUP(A985,'Subbu- Mini Project EXcel Clean'!A985:A1984,'Subbu- Mini Project EXcel Clean'!Q985:Q1984," ",0)</f>
        <v>Low</v>
      </c>
      <c r="H985">
        <f>VLOOKUP(A985,'Subbu- Mini Project EXcel Clean'!A984:R1984,15,FALSE)</f>
        <v>5.4</v>
      </c>
    </row>
    <row r="986" spans="1:8" x14ac:dyDescent="0.25">
      <c r="A986" t="s">
        <v>1014</v>
      </c>
      <c r="B986">
        <f>_xlfn.XLOOKUP(A986,'Subbu- Mini Project EXcel Clean'!A986:A1985,'Subbu- Mini Project EXcel Clean'!I986:I1985,"Entry Level",0)</f>
        <v>1</v>
      </c>
      <c r="C986" t="str">
        <f>_xlfn.XLOOKUP(A986,'Subbu- Mini Project EXcel Clean'!A986:A1985,'Subbu- Mini Project EXcel Clean'!J986:J1985," ",0)</f>
        <v>Consistent</v>
      </c>
      <c r="D986">
        <f>_xlfn.XLOOKUP(A986,'Subbu- Mini Project EXcel Clean'!A986:A1985,'Subbu- Mini Project EXcel Clean'!N986:N1985,"entry Level",0)</f>
        <v>6.7</v>
      </c>
      <c r="E986">
        <f>_xlfn.XLOOKUP(A986,'Subbu- Mini Project EXcel Clean'!A986:A1985,'Subbu- Mini Project EXcel Clean'!M986:M1985," ",0)</f>
        <v>56.3</v>
      </c>
      <c r="F986">
        <f>_xlfn.XLOOKUP(A986,'Subbu- Mini Project EXcel Clean'!A986:A1985,'Subbu- Mini Project EXcel Clean'!P986:P1985," ",0)</f>
        <v>1</v>
      </c>
      <c r="G986" t="str">
        <f>_xlfn.XLOOKUP(A986,'Subbu- Mini Project EXcel Clean'!A986:A1985,'Subbu- Mini Project EXcel Clean'!Q986:Q1985," ",0)</f>
        <v>Low</v>
      </c>
      <c r="H986">
        <f>VLOOKUP(A986,'Subbu- Mini Project EXcel Clean'!A985:R1985,15,FALSE)</f>
        <v>4.0999999999999996</v>
      </c>
    </row>
    <row r="987" spans="1:8" x14ac:dyDescent="0.25">
      <c r="A987" t="s">
        <v>1015</v>
      </c>
      <c r="B987">
        <f>_xlfn.XLOOKUP(A987,'Subbu- Mini Project EXcel Clean'!A987:A1986,'Subbu- Mini Project EXcel Clean'!I987:I1986,"Entry Level",0)</f>
        <v>3</v>
      </c>
      <c r="C987" t="str">
        <f>_xlfn.XLOOKUP(A987,'Subbu- Mini Project EXcel Clean'!A987:A1986,'Subbu- Mini Project EXcel Clean'!J987:J1986," ",0)</f>
        <v>Consistent</v>
      </c>
      <c r="D987">
        <f>_xlfn.XLOOKUP(A987,'Subbu- Mini Project EXcel Clean'!A987:A1986,'Subbu- Mini Project EXcel Clean'!N987:N1986,"entry Level",0)</f>
        <v>6.6</v>
      </c>
      <c r="E987">
        <f>_xlfn.XLOOKUP(A987,'Subbu- Mini Project EXcel Clean'!A987:A1986,'Subbu- Mini Project EXcel Clean'!M987:M1986," ",0)</f>
        <v>77</v>
      </c>
      <c r="F987">
        <f>_xlfn.XLOOKUP(A987,'Subbu- Mini Project EXcel Clean'!A987:A1986,'Subbu- Mini Project EXcel Clean'!P987:P1986," ",0)</f>
        <v>3</v>
      </c>
      <c r="G987" t="str">
        <f>_xlfn.XLOOKUP(A987,'Subbu- Mini Project EXcel Clean'!A987:A1986,'Subbu- Mini Project EXcel Clean'!Q987:Q1986," ",0)</f>
        <v>Moderate</v>
      </c>
      <c r="H987">
        <f>VLOOKUP(A987,'Subbu- Mini Project EXcel Clean'!A986:R1986,15,FALSE)</f>
        <v>3.1</v>
      </c>
    </row>
    <row r="988" spans="1:8" x14ac:dyDescent="0.25">
      <c r="A988" t="s">
        <v>1016</v>
      </c>
      <c r="B988">
        <f>_xlfn.XLOOKUP(A988,'Subbu- Mini Project EXcel Clean'!A988:A1987,'Subbu- Mini Project EXcel Clean'!I988:I1987,"Entry Level",0)</f>
        <v>4</v>
      </c>
      <c r="C988" t="str">
        <f>_xlfn.XLOOKUP(A988,'Subbu- Mini Project EXcel Clean'!A988:A1987,'Subbu- Mini Project EXcel Clean'!J988:J1987," ",0)</f>
        <v>Excellent</v>
      </c>
      <c r="D988">
        <f>_xlfn.XLOOKUP(A988,'Subbu- Mini Project EXcel Clean'!A988:A1987,'Subbu- Mini Project EXcel Clean'!N988:N1987,"entry Level",0)</f>
        <v>7.1</v>
      </c>
      <c r="E988">
        <f>_xlfn.XLOOKUP(A988,'Subbu- Mini Project EXcel Clean'!A988:A1987,'Subbu- Mini Project EXcel Clean'!M988:M1987," ",0)</f>
        <v>84.2</v>
      </c>
      <c r="F988">
        <f>_xlfn.XLOOKUP(A988,'Subbu- Mini Project EXcel Clean'!A988:A1987,'Subbu- Mini Project EXcel Clean'!P988:P1987," ",0)</f>
        <v>3</v>
      </c>
      <c r="G988" t="str">
        <f>_xlfn.XLOOKUP(A988,'Subbu- Mini Project EXcel Clean'!A988:A1987,'Subbu- Mini Project EXcel Clean'!Q988:Q1987," ",0)</f>
        <v>Moderate</v>
      </c>
      <c r="H988">
        <f>VLOOKUP(A988,'Subbu- Mini Project EXcel Clean'!A987:R1987,15,FALSE)</f>
        <v>1.9</v>
      </c>
    </row>
    <row r="989" spans="1:8" x14ac:dyDescent="0.25">
      <c r="A989" t="s">
        <v>1017</v>
      </c>
      <c r="B989">
        <f>_xlfn.XLOOKUP(A989,'Subbu- Mini Project EXcel Clean'!A989:A1988,'Subbu- Mini Project EXcel Clean'!I989:I1988,"Entry Level",0)</f>
        <v>2</v>
      </c>
      <c r="C989" t="str">
        <f>_xlfn.XLOOKUP(A989,'Subbu- Mini Project EXcel Clean'!A989:A1988,'Subbu- Mini Project EXcel Clean'!J989:J1988," ",0)</f>
        <v>Consistent</v>
      </c>
      <c r="D989">
        <f>_xlfn.XLOOKUP(A989,'Subbu- Mini Project EXcel Clean'!A989:A1988,'Subbu- Mini Project EXcel Clean'!N989:N1988,"entry Level",0)</f>
        <v>6</v>
      </c>
      <c r="E989">
        <f>_xlfn.XLOOKUP(A989,'Subbu- Mini Project EXcel Clean'!A989:A1988,'Subbu- Mini Project EXcel Clean'!M989:M1988," ",0)</f>
        <v>69</v>
      </c>
      <c r="F989">
        <f>_xlfn.XLOOKUP(A989,'Subbu- Mini Project EXcel Clean'!A989:A1988,'Subbu- Mini Project EXcel Clean'!P989:P1988," ",0)</f>
        <v>2</v>
      </c>
      <c r="G989" t="str">
        <f>_xlfn.XLOOKUP(A989,'Subbu- Mini Project EXcel Clean'!A989:A1988,'Subbu- Mini Project EXcel Clean'!Q989:Q1988," ",0)</f>
        <v>Low</v>
      </c>
      <c r="H989">
        <f>VLOOKUP(A989,'Subbu- Mini Project EXcel Clean'!A988:R1988,15,FALSE)</f>
        <v>5.7</v>
      </c>
    </row>
    <row r="990" spans="1:8" x14ac:dyDescent="0.25">
      <c r="A990" t="s">
        <v>1018</v>
      </c>
      <c r="B990">
        <f>_xlfn.XLOOKUP(A990,'Subbu- Mini Project EXcel Clean'!A990:A1989,'Subbu- Mini Project EXcel Clean'!I990:I1989,"Entry Level",0)</f>
        <v>4</v>
      </c>
      <c r="C990" t="str">
        <f>_xlfn.XLOOKUP(A990,'Subbu- Mini Project EXcel Clean'!A990:A1989,'Subbu- Mini Project EXcel Clean'!J990:J1989," ",0)</f>
        <v>Good</v>
      </c>
      <c r="D990">
        <f>_xlfn.XLOOKUP(A990,'Subbu- Mini Project EXcel Clean'!A990:A1989,'Subbu- Mini Project EXcel Clean'!N990:N1989,"entry Level",0)</f>
        <v>6.9</v>
      </c>
      <c r="E990">
        <f>_xlfn.XLOOKUP(A990,'Subbu- Mini Project EXcel Clean'!A990:A1989,'Subbu- Mini Project EXcel Clean'!M990:M1989," ",0)</f>
        <v>92.6</v>
      </c>
      <c r="F990">
        <f>_xlfn.XLOOKUP(A990,'Subbu- Mini Project EXcel Clean'!A990:A1989,'Subbu- Mini Project EXcel Clean'!P990:P1989," ",0)</f>
        <v>4</v>
      </c>
      <c r="G990" t="str">
        <f>_xlfn.XLOOKUP(A990,'Subbu- Mini Project EXcel Clean'!A990:A1989,'Subbu- Mini Project EXcel Clean'!Q990:Q1989," ",0)</f>
        <v>Moderate</v>
      </c>
      <c r="H990">
        <f>VLOOKUP(A990,'Subbu- Mini Project EXcel Clean'!A989:R1989,15,FALSE)</f>
        <v>4.8</v>
      </c>
    </row>
    <row r="991" spans="1:8" x14ac:dyDescent="0.25">
      <c r="A991" t="s">
        <v>1019</v>
      </c>
      <c r="B991">
        <f>_xlfn.XLOOKUP(A991,'Subbu- Mini Project EXcel Clean'!A991:A1990,'Subbu- Mini Project EXcel Clean'!I991:I1990,"Entry Level",0)</f>
        <v>2</v>
      </c>
      <c r="C991" t="str">
        <f>_xlfn.XLOOKUP(A991,'Subbu- Mini Project EXcel Clean'!A991:A1990,'Subbu- Mini Project EXcel Clean'!J991:J1990," ",0)</f>
        <v>Consistent</v>
      </c>
      <c r="D991">
        <f>_xlfn.XLOOKUP(A991,'Subbu- Mini Project EXcel Clean'!A991:A1990,'Subbu- Mini Project EXcel Clean'!N991:N1990,"entry Level",0)</f>
        <v>7.5</v>
      </c>
      <c r="E991">
        <f>_xlfn.XLOOKUP(A991,'Subbu- Mini Project EXcel Clean'!A991:A1990,'Subbu- Mini Project EXcel Clean'!M991:M1990," ",0)</f>
        <v>62.1</v>
      </c>
      <c r="F991">
        <f>_xlfn.XLOOKUP(A991,'Subbu- Mini Project EXcel Clean'!A991:A1990,'Subbu- Mini Project EXcel Clean'!P991:P1990," ",0)</f>
        <v>3</v>
      </c>
      <c r="G991" t="str">
        <f>_xlfn.XLOOKUP(A991,'Subbu- Mini Project EXcel Clean'!A991:A1990,'Subbu- Mini Project EXcel Clean'!Q991:Q1990," ",0)</f>
        <v>Moderate</v>
      </c>
      <c r="H991">
        <f>VLOOKUP(A991,'Subbu- Mini Project EXcel Clean'!A990:R1990,15,FALSE)</f>
        <v>2</v>
      </c>
    </row>
    <row r="992" spans="1:8" x14ac:dyDescent="0.25">
      <c r="A992" t="s">
        <v>1020</v>
      </c>
      <c r="B992">
        <f>_xlfn.XLOOKUP(A992,'Subbu- Mini Project EXcel Clean'!A992:A1991,'Subbu- Mini Project EXcel Clean'!I992:I1991,"Entry Level",0)</f>
        <v>4</v>
      </c>
      <c r="C992" t="str">
        <f>_xlfn.XLOOKUP(A992,'Subbu- Mini Project EXcel Clean'!A992:A1991,'Subbu- Mini Project EXcel Clean'!J992:J1991," ",0)</f>
        <v>Excellent</v>
      </c>
      <c r="D992">
        <f>_xlfn.XLOOKUP(A992,'Subbu- Mini Project EXcel Clean'!A992:A1991,'Subbu- Mini Project EXcel Clean'!N992:N1991,"entry Level",0)</f>
        <v>6.5</v>
      </c>
      <c r="E992">
        <f>_xlfn.XLOOKUP(A992,'Subbu- Mini Project EXcel Clean'!A992:A1991,'Subbu- Mini Project EXcel Clean'!M992:M1991," ",0)</f>
        <v>86.5</v>
      </c>
      <c r="F992">
        <f>_xlfn.XLOOKUP(A992,'Subbu- Mini Project EXcel Clean'!A992:A1991,'Subbu- Mini Project EXcel Clean'!P992:P1991," ",0)</f>
        <v>2</v>
      </c>
      <c r="G992" t="str">
        <f>_xlfn.XLOOKUP(A992,'Subbu- Mini Project EXcel Clean'!A992:A1991,'Subbu- Mini Project EXcel Clean'!Q992:Q1991," ",0)</f>
        <v>Low</v>
      </c>
      <c r="H992">
        <f>VLOOKUP(A992,'Subbu- Mini Project EXcel Clean'!A991:R1991,15,FALSE)</f>
        <v>2.7</v>
      </c>
    </row>
    <row r="993" spans="1:8" x14ac:dyDescent="0.25">
      <c r="A993" t="s">
        <v>1021</v>
      </c>
      <c r="B993">
        <f>_xlfn.XLOOKUP(A993,'Subbu- Mini Project EXcel Clean'!A993:A1992,'Subbu- Mini Project EXcel Clean'!I993:I1992,"Entry Level",0)</f>
        <v>3</v>
      </c>
      <c r="C993" t="str">
        <f>_xlfn.XLOOKUP(A993,'Subbu- Mini Project EXcel Clean'!A993:A1992,'Subbu- Mini Project EXcel Clean'!J993:J1992," ",0)</f>
        <v>Consistent</v>
      </c>
      <c r="D993">
        <f>_xlfn.XLOOKUP(A993,'Subbu- Mini Project EXcel Clean'!A993:A1992,'Subbu- Mini Project EXcel Clean'!N993:N1992,"entry Level",0)</f>
        <v>6.3</v>
      </c>
      <c r="E993">
        <f>_xlfn.XLOOKUP(A993,'Subbu- Mini Project EXcel Clean'!A993:A1992,'Subbu- Mini Project EXcel Clean'!M993:M1992," ",0)</f>
        <v>81.5</v>
      </c>
      <c r="F993">
        <f>_xlfn.XLOOKUP(A993,'Subbu- Mini Project EXcel Clean'!A993:A1992,'Subbu- Mini Project EXcel Clean'!P993:P1992," ",0)</f>
        <v>5</v>
      </c>
      <c r="G993" t="str">
        <f>_xlfn.XLOOKUP(A993,'Subbu- Mini Project EXcel Clean'!A993:A1992,'Subbu- Mini Project EXcel Clean'!Q993:Q1992," ",0)</f>
        <v>Moderate</v>
      </c>
      <c r="H993">
        <f>VLOOKUP(A993,'Subbu- Mini Project EXcel Clean'!A992:R1992,15,FALSE)</f>
        <v>5</v>
      </c>
    </row>
    <row r="994" spans="1:8" x14ac:dyDescent="0.25">
      <c r="A994" t="s">
        <v>1022</v>
      </c>
      <c r="B994">
        <f>_xlfn.XLOOKUP(A994,'Subbu- Mini Project EXcel Clean'!A994:A1993,'Subbu- Mini Project EXcel Clean'!I994:I1993,"Entry Level",0)</f>
        <v>3</v>
      </c>
      <c r="C994" t="str">
        <f>_xlfn.XLOOKUP(A994,'Subbu- Mini Project EXcel Clean'!A994:A1993,'Subbu- Mini Project EXcel Clean'!J994:J1993," ",0)</f>
        <v>Excellent</v>
      </c>
      <c r="D994">
        <f>_xlfn.XLOOKUP(A994,'Subbu- Mini Project EXcel Clean'!A994:A1993,'Subbu- Mini Project EXcel Clean'!N994:N1993,"entry Level",0)</f>
        <v>7.1</v>
      </c>
      <c r="E994">
        <f>_xlfn.XLOOKUP(A994,'Subbu- Mini Project EXcel Clean'!A994:A1993,'Subbu- Mini Project EXcel Clean'!M994:M1993," ",0)</f>
        <v>83.7</v>
      </c>
      <c r="F994">
        <f>_xlfn.XLOOKUP(A994,'Subbu- Mini Project EXcel Clean'!A994:A1993,'Subbu- Mini Project EXcel Clean'!P994:P1993," ",0)</f>
        <v>2</v>
      </c>
      <c r="G994" t="str">
        <f>_xlfn.XLOOKUP(A994,'Subbu- Mini Project EXcel Clean'!A994:A1993,'Subbu- Mini Project EXcel Clean'!Q994:Q1993," ",0)</f>
        <v>Low</v>
      </c>
      <c r="H994">
        <f>VLOOKUP(A994,'Subbu- Mini Project EXcel Clean'!A993:R1993,15,FALSE)</f>
        <v>4.5</v>
      </c>
    </row>
    <row r="995" spans="1:8" x14ac:dyDescent="0.25">
      <c r="A995" t="s">
        <v>1023</v>
      </c>
      <c r="B995">
        <f>_xlfn.XLOOKUP(A995,'Subbu- Mini Project EXcel Clean'!A995:A1994,'Subbu- Mini Project EXcel Clean'!I995:I1994,"Entry Level",0)</f>
        <v>1</v>
      </c>
      <c r="C995" t="str">
        <f>_xlfn.XLOOKUP(A995,'Subbu- Mini Project EXcel Clean'!A995:A1994,'Subbu- Mini Project EXcel Clean'!J995:J1994," ",0)</f>
        <v>Consistent</v>
      </c>
      <c r="D995">
        <f>_xlfn.XLOOKUP(A995,'Subbu- Mini Project EXcel Clean'!A995:A1994,'Subbu- Mini Project EXcel Clean'!N995:N1994,"entry Level",0)</f>
        <v>6.7</v>
      </c>
      <c r="E995">
        <f>_xlfn.XLOOKUP(A995,'Subbu- Mini Project EXcel Clean'!A995:A1994,'Subbu- Mini Project EXcel Clean'!M995:M1994," ",0)</f>
        <v>68.2</v>
      </c>
      <c r="F995">
        <f>_xlfn.XLOOKUP(A995,'Subbu- Mini Project EXcel Clean'!A995:A1994,'Subbu- Mini Project EXcel Clean'!P995:P1994," ",0)</f>
        <v>1</v>
      </c>
      <c r="G995" t="str">
        <f>_xlfn.XLOOKUP(A995,'Subbu- Mini Project EXcel Clean'!A995:A1994,'Subbu- Mini Project EXcel Clean'!Q995:Q1994," ",0)</f>
        <v>Low</v>
      </c>
      <c r="H995">
        <f>VLOOKUP(A995,'Subbu- Mini Project EXcel Clean'!A994:R1994,15,FALSE)</f>
        <v>4.8</v>
      </c>
    </row>
    <row r="996" spans="1:8" x14ac:dyDescent="0.25">
      <c r="A996" t="s">
        <v>1024</v>
      </c>
      <c r="B996">
        <f>_xlfn.XLOOKUP(A996,'Subbu- Mini Project EXcel Clean'!A996:A1995,'Subbu- Mini Project EXcel Clean'!I996:I1995,"Entry Level",0)</f>
        <v>1</v>
      </c>
      <c r="C996" t="str">
        <f>_xlfn.XLOOKUP(A996,'Subbu- Mini Project EXcel Clean'!A996:A1995,'Subbu- Mini Project EXcel Clean'!J996:J1995," ",0)</f>
        <v>Consistent</v>
      </c>
      <c r="D996">
        <f>_xlfn.XLOOKUP(A996,'Subbu- Mini Project EXcel Clean'!A996:A1995,'Subbu- Mini Project EXcel Clean'!N996:N1995,"entry Level",0)</f>
        <v>7.3</v>
      </c>
      <c r="E996">
        <f>_xlfn.XLOOKUP(A996,'Subbu- Mini Project EXcel Clean'!A996:A1995,'Subbu- Mini Project EXcel Clean'!M996:M1995," ",0)</f>
        <v>55.4</v>
      </c>
      <c r="F996">
        <f>_xlfn.XLOOKUP(A996,'Subbu- Mini Project EXcel Clean'!A996:A1995,'Subbu- Mini Project EXcel Clean'!P996:P1995," ",0)</f>
        <v>1</v>
      </c>
      <c r="G996" t="str">
        <f>_xlfn.XLOOKUP(A996,'Subbu- Mini Project EXcel Clean'!A996:A1995,'Subbu- Mini Project EXcel Clean'!Q996:Q1995," ",0)</f>
        <v>Low</v>
      </c>
      <c r="H996">
        <f>VLOOKUP(A996,'Subbu- Mini Project EXcel Clean'!A995:R1995,15,FALSE)</f>
        <v>3.2</v>
      </c>
    </row>
    <row r="997" spans="1:8" x14ac:dyDescent="0.25">
      <c r="A997" t="s">
        <v>1025</v>
      </c>
      <c r="B997">
        <f>_xlfn.XLOOKUP(A997,'Subbu- Mini Project EXcel Clean'!A997:A1996,'Subbu- Mini Project EXcel Clean'!I997:I1996,"Entry Level",0)</f>
        <v>5</v>
      </c>
      <c r="C997" t="str">
        <f>_xlfn.XLOOKUP(A997,'Subbu- Mini Project EXcel Clean'!A997:A1996,'Subbu- Mini Project EXcel Clean'!J997:J1996," ",0)</f>
        <v>Good</v>
      </c>
      <c r="D997">
        <f>_xlfn.XLOOKUP(A997,'Subbu- Mini Project EXcel Clean'!A997:A1996,'Subbu- Mini Project EXcel Clean'!N997:N1996,"entry Level",0)</f>
        <v>6.8</v>
      </c>
      <c r="E997">
        <f>_xlfn.XLOOKUP(A997,'Subbu- Mini Project EXcel Clean'!A997:A1996,'Subbu- Mini Project EXcel Clean'!M997:M1996," ",0)</f>
        <v>96.3</v>
      </c>
      <c r="F997">
        <f>_xlfn.XLOOKUP(A997,'Subbu- Mini Project EXcel Clean'!A997:A1996,'Subbu- Mini Project EXcel Clean'!P997:P1996," ",0)</f>
        <v>3</v>
      </c>
      <c r="G997" t="str">
        <f>_xlfn.XLOOKUP(A997,'Subbu- Mini Project EXcel Clean'!A997:A1996,'Subbu- Mini Project EXcel Clean'!Q997:Q1996," ",0)</f>
        <v>Low</v>
      </c>
      <c r="H997">
        <f>VLOOKUP(A997,'Subbu- Mini Project EXcel Clean'!A996:R1996,15,FALSE)</f>
        <v>4.5999999999999996</v>
      </c>
    </row>
    <row r="998" spans="1:8" x14ac:dyDescent="0.25">
      <c r="A998" t="s">
        <v>1026</v>
      </c>
      <c r="B998">
        <f>_xlfn.XLOOKUP(A998,'Subbu- Mini Project EXcel Clean'!A998:A1997,'Subbu- Mini Project EXcel Clean'!I998:I1997,"Entry Level",0)</f>
        <v>2</v>
      </c>
      <c r="C998" t="str">
        <f>_xlfn.XLOOKUP(A998,'Subbu- Mini Project EXcel Clean'!A998:A1997,'Subbu- Mini Project EXcel Clean'!J998:J1997," ",0)</f>
        <v>Consistent</v>
      </c>
      <c r="D998">
        <f>_xlfn.XLOOKUP(A998,'Subbu- Mini Project EXcel Clean'!A998:A1997,'Subbu- Mini Project EXcel Clean'!N998:N1997,"entry Level",0)</f>
        <v>7.9</v>
      </c>
      <c r="E998">
        <f>_xlfn.XLOOKUP(A998,'Subbu- Mini Project EXcel Clean'!A998:A1997,'Subbu- Mini Project EXcel Clean'!M998:M1997," ",0)</f>
        <v>67.7</v>
      </c>
      <c r="F998">
        <f>_xlfn.XLOOKUP(A998,'Subbu- Mini Project EXcel Clean'!A998:A1997,'Subbu- Mini Project EXcel Clean'!P998:P1997," ",0)</f>
        <v>4</v>
      </c>
      <c r="G998" t="str">
        <f>_xlfn.XLOOKUP(A998,'Subbu- Mini Project EXcel Clean'!A998:A1997,'Subbu- Mini Project EXcel Clean'!Q998:Q1997," ",0)</f>
        <v>Moderate</v>
      </c>
      <c r="H998">
        <f>VLOOKUP(A998,'Subbu- Mini Project EXcel Clean'!A997:R1997,15,FALSE)</f>
        <v>2.9</v>
      </c>
    </row>
    <row r="999" spans="1:8" x14ac:dyDescent="0.25">
      <c r="A999" t="s">
        <v>1027</v>
      </c>
      <c r="B999">
        <f>_xlfn.XLOOKUP(A999,'Subbu- Mini Project EXcel Clean'!A999:A1998,'Subbu- Mini Project EXcel Clean'!I999:I1998,"Entry Level",0)</f>
        <v>4</v>
      </c>
      <c r="C999" t="str">
        <f>_xlfn.XLOOKUP(A999,'Subbu- Mini Project EXcel Clean'!A999:A1998,'Subbu- Mini Project EXcel Clean'!J999:J1998," ",0)</f>
        <v>Good</v>
      </c>
      <c r="D999">
        <f>_xlfn.XLOOKUP(A999,'Subbu- Mini Project EXcel Clean'!A999:A1998,'Subbu- Mini Project EXcel Clean'!N999:N1998,"entry Level",0)</f>
        <v>7.5</v>
      </c>
      <c r="E999">
        <f>_xlfn.XLOOKUP(A999,'Subbu- Mini Project EXcel Clean'!A999:A1998,'Subbu- Mini Project EXcel Clean'!M999:M1998," ",0)</f>
        <v>96.5</v>
      </c>
      <c r="F999">
        <f>_xlfn.XLOOKUP(A999,'Subbu- Mini Project EXcel Clean'!A999:A1998,'Subbu- Mini Project EXcel Clean'!P999:P1998," ",0)</f>
        <v>7</v>
      </c>
      <c r="G999" t="str">
        <f>_xlfn.XLOOKUP(A999,'Subbu- Mini Project EXcel Clean'!A999:A1998,'Subbu- Mini Project EXcel Clean'!Q999:Q1998," ",0)</f>
        <v>High</v>
      </c>
      <c r="H999">
        <f>VLOOKUP(A999,'Subbu- Mini Project EXcel Clean'!A998:R1998,15,FALSE)</f>
        <v>2.1</v>
      </c>
    </row>
    <row r="1000" spans="1:8" x14ac:dyDescent="0.25">
      <c r="A1000" t="s">
        <v>1028</v>
      </c>
      <c r="B1000">
        <f>_xlfn.XLOOKUP(A1000,'Subbu- Mini Project EXcel Clean'!A1000:A1999,'Subbu- Mini Project EXcel Clean'!I1000:I1999,"Entry Level",0)</f>
        <v>5</v>
      </c>
      <c r="C1000" t="str">
        <f>_xlfn.XLOOKUP(A1000,'Subbu- Mini Project EXcel Clean'!A1000:A1999,'Subbu- Mini Project EXcel Clean'!J1000:J1999," ",0)</f>
        <v>Good</v>
      </c>
      <c r="D1000">
        <f>_xlfn.XLOOKUP(A1000,'Subbu- Mini Project EXcel Clean'!A1000:A1999,'Subbu- Mini Project EXcel Clean'!N1000:N1999,"entry Level",0)</f>
        <v>6.6</v>
      </c>
      <c r="E1000">
        <f>_xlfn.XLOOKUP(A1000,'Subbu- Mini Project EXcel Clean'!A1000:A1999,'Subbu- Mini Project EXcel Clean'!M1000:M1999," ",0)</f>
        <v>100.1</v>
      </c>
      <c r="F1000">
        <f>_xlfn.XLOOKUP(A1000,'Subbu- Mini Project EXcel Clean'!A1000:A1999,'Subbu- Mini Project EXcel Clean'!P1000:P1999," ",0)</f>
        <v>5</v>
      </c>
      <c r="G1000" t="str">
        <f>_xlfn.XLOOKUP(A1000,'Subbu- Mini Project EXcel Clean'!A1000:A1999,'Subbu- Mini Project EXcel Clean'!Q1000:Q1999," ",0)</f>
        <v>Moderate</v>
      </c>
      <c r="H1000">
        <f>VLOOKUP(A1000,'Subbu- Mini Project EXcel Clean'!A999:R1999,15,FALSE)</f>
        <v>4.2</v>
      </c>
    </row>
    <row r="1001" spans="1:8" x14ac:dyDescent="0.25">
      <c r="A1001" t="s">
        <v>1029</v>
      </c>
      <c r="B1001">
        <f>_xlfn.XLOOKUP(A1001,'Subbu- Mini Project EXcel Clean'!A1001:A2000,'Subbu- Mini Project EXcel Clean'!I1001:I2000,"Entry Level",0)</f>
        <v>2</v>
      </c>
      <c r="C1001" t="str">
        <f>_xlfn.XLOOKUP(A1001,'Subbu- Mini Project EXcel Clean'!A1001:A2000,'Subbu- Mini Project EXcel Clean'!J1001:J2000," ",0)</f>
        <v>Consistent</v>
      </c>
      <c r="D1001">
        <f>_xlfn.XLOOKUP(A1001,'Subbu- Mini Project EXcel Clean'!A1001:A2000,'Subbu- Mini Project EXcel Clean'!N1001:N2000,"entry Level",0)</f>
        <v>5.8</v>
      </c>
      <c r="E1001">
        <f>_xlfn.XLOOKUP(A1001,'Subbu- Mini Project EXcel Clean'!A1001:A2000,'Subbu- Mini Project EXcel Clean'!M1001:M2000," ",0)</f>
        <v>71.900000000000006</v>
      </c>
      <c r="F1001">
        <f>_xlfn.XLOOKUP(A1001,'Subbu- Mini Project EXcel Clean'!A1001:A2000,'Subbu- Mini Project EXcel Clean'!P1001:P2000," ",0)</f>
        <v>5</v>
      </c>
      <c r="G1001" t="str">
        <f>_xlfn.XLOOKUP(A1001,'Subbu- Mini Project EXcel Clean'!A1001:A2000,'Subbu- Mini Project EXcel Clean'!Q1001:Q2000," ",0)</f>
        <v>Moderate</v>
      </c>
      <c r="H1001">
        <f>VLOOKUP(A1001,'Subbu- Mini Project EXcel Clean'!A1000:R2000,15,FALSE)</f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activeCell="F8" sqref="F8"/>
    </sheetView>
  </sheetViews>
  <sheetFormatPr defaultRowHeight="15" x14ac:dyDescent="0.25"/>
  <cols>
    <col min="1" max="1" width="11" customWidth="1"/>
    <col min="2" max="2" width="11" bestFit="1" customWidth="1"/>
    <col min="4" max="4" width="12.28515625" customWidth="1"/>
  </cols>
  <sheetData>
    <row r="1" spans="1:3" ht="15" customHeight="1" x14ac:dyDescent="0.25">
      <c r="A1" t="s">
        <v>0</v>
      </c>
      <c r="B1" t="s">
        <v>11</v>
      </c>
      <c r="C1" t="s">
        <v>1041</v>
      </c>
    </row>
    <row r="2" spans="1:3" x14ac:dyDescent="0.25">
      <c r="A2" t="s">
        <v>18</v>
      </c>
      <c r="B2">
        <f>_xlfn.XLOOKUP(A2,'Subbu- Mini Project EXcel Clean'!A2:A1001,'Subbu- Mini Project EXcel Clean'!L2:L1001," ",0)</f>
        <v>182</v>
      </c>
      <c r="C2">
        <f>_xlfn.XLOOKUP(A2,'Subbu- Mini Project EXcel Clean'!A2:A1001,'Subbu- Mini Project EXcel Clean'!K2:K1001," ",0)</f>
        <v>75.7</v>
      </c>
    </row>
    <row r="3" spans="1:3" x14ac:dyDescent="0.25">
      <c r="A3" t="s">
        <v>23</v>
      </c>
      <c r="B3">
        <f>_xlfn.XLOOKUP(A3,'Subbu- Mini Project EXcel Clean'!A3:A1002,'Subbu- Mini Project EXcel Clean'!L3:L1002," ",0)</f>
        <v>215</v>
      </c>
      <c r="C3">
        <f>_xlfn.XLOOKUP(A3,'Subbu- Mini Project EXcel Clean'!A3:A1002,'Subbu- Mini Project EXcel Clean'!K3:K1002," ",0)</f>
        <v>89.6</v>
      </c>
    </row>
    <row r="4" spans="1:3" x14ac:dyDescent="0.25">
      <c r="A4" t="s">
        <v>27</v>
      </c>
      <c r="B4">
        <f>_xlfn.XLOOKUP(A4,'Subbu- Mini Project EXcel Clean'!A4:A1003,'Subbu- Mini Project EXcel Clean'!L4:L1003," ",0)</f>
        <v>196</v>
      </c>
      <c r="C4">
        <f>_xlfn.XLOOKUP(A4,'Subbu- Mini Project EXcel Clean'!A4:A1003,'Subbu- Mini Project EXcel Clean'!K4:K1003," ",0)</f>
        <v>81.5</v>
      </c>
    </row>
    <row r="5" spans="1:3" x14ac:dyDescent="0.25">
      <c r="A5" t="s">
        <v>29</v>
      </c>
      <c r="B5">
        <f>_xlfn.XLOOKUP(A5,'Subbu- Mini Project EXcel Clean'!A5:A1004,'Subbu- Mini Project EXcel Clean'!L5:L1004," ",0)</f>
        <v>172</v>
      </c>
      <c r="C5">
        <f>_xlfn.XLOOKUP(A5,'Subbu- Mini Project EXcel Clean'!A5:A1004,'Subbu- Mini Project EXcel Clean'!K5:K1004," ",0)</f>
        <v>71.5</v>
      </c>
    </row>
    <row r="6" spans="1:3" x14ac:dyDescent="0.25">
      <c r="A6" t="s">
        <v>30</v>
      </c>
      <c r="B6">
        <f>_xlfn.XLOOKUP(A6,'Subbu- Mini Project EXcel Clean'!A6:A1005,'Subbu- Mini Project EXcel Clean'!L6:L1005," ",0)</f>
        <v>154</v>
      </c>
      <c r="C6">
        <f>_xlfn.XLOOKUP(A6,'Subbu- Mini Project EXcel Clean'!A6:A1005,'Subbu- Mini Project EXcel Clean'!K6:K1005," ",0)</f>
        <v>64.3</v>
      </c>
    </row>
    <row r="7" spans="1:3" x14ac:dyDescent="0.25">
      <c r="A7" t="s">
        <v>31</v>
      </c>
      <c r="B7">
        <f>_xlfn.XLOOKUP(A7,'Subbu- Mini Project EXcel Clean'!A7:A1006,'Subbu- Mini Project EXcel Clean'!L7:L1006," ",0)</f>
        <v>148</v>
      </c>
      <c r="C7">
        <f>_xlfn.XLOOKUP(A7,'Subbu- Mini Project EXcel Clean'!A7:A1006,'Subbu- Mini Project EXcel Clean'!K7:K1006," ",0)</f>
        <v>61.6</v>
      </c>
    </row>
    <row r="8" spans="1:3" x14ac:dyDescent="0.25">
      <c r="A8" t="s">
        <v>34</v>
      </c>
      <c r="B8">
        <f>_xlfn.XLOOKUP(A8,'Subbu- Mini Project EXcel Clean'!A8:A1007,'Subbu- Mini Project EXcel Clean'!L8:L1007," ",0)</f>
        <v>144</v>
      </c>
      <c r="C8">
        <f>_xlfn.XLOOKUP(A8,'Subbu- Mini Project EXcel Clean'!A8:A1007,'Subbu- Mini Project EXcel Clean'!K8:K1007," ",0)</f>
        <v>59.9</v>
      </c>
    </row>
    <row r="9" spans="1:3" x14ac:dyDescent="0.25">
      <c r="A9" t="s">
        <v>35</v>
      </c>
      <c r="B9">
        <f>_xlfn.XLOOKUP(A9,'Subbu- Mini Project EXcel Clean'!A9:A1008,'Subbu- Mini Project EXcel Clean'!L9:L1008," ",0)</f>
        <v>197</v>
      </c>
      <c r="C9">
        <f>_xlfn.XLOOKUP(A9,'Subbu- Mini Project EXcel Clean'!A9:A1008,'Subbu- Mini Project EXcel Clean'!K9:K1008," ",0)</f>
        <v>81.900000000000006</v>
      </c>
    </row>
    <row r="10" spans="1:3" x14ac:dyDescent="0.25">
      <c r="A10" t="s">
        <v>36</v>
      </c>
      <c r="B10">
        <f>_xlfn.XLOOKUP(A10,'Subbu- Mini Project EXcel Clean'!A10:A1009,'Subbu- Mini Project EXcel Clean'!L10:L1009," ",0)</f>
        <v>172</v>
      </c>
      <c r="C10">
        <f>_xlfn.XLOOKUP(A10,'Subbu- Mini Project EXcel Clean'!A10:A1009,'Subbu- Mini Project EXcel Clean'!K10:K1009," ",0)</f>
        <v>71.599999999999994</v>
      </c>
    </row>
    <row r="11" spans="1:3" x14ac:dyDescent="0.25">
      <c r="A11" t="s">
        <v>37</v>
      </c>
      <c r="B11">
        <f>_xlfn.XLOOKUP(A11,'Subbu- Mini Project EXcel Clean'!A11:A1010,'Subbu- Mini Project EXcel Clean'!L11:L1010," ",0)</f>
        <v>167</v>
      </c>
      <c r="C11">
        <f>_xlfn.XLOOKUP(A11,'Subbu- Mini Project EXcel Clean'!A11:A1010,'Subbu- Mini Project EXcel Clean'!K11:K1010," ",0)</f>
        <v>69.7</v>
      </c>
    </row>
    <row r="12" spans="1:3" x14ac:dyDescent="0.25">
      <c r="A12" t="s">
        <v>39</v>
      </c>
      <c r="B12">
        <f>_xlfn.XLOOKUP(A12,'Subbu- Mini Project EXcel Clean'!A12:A1011,'Subbu- Mini Project EXcel Clean'!L12:L1011," ",0)</f>
        <v>137</v>
      </c>
      <c r="C12">
        <f>_xlfn.XLOOKUP(A12,'Subbu- Mini Project EXcel Clean'!A12:A1011,'Subbu- Mini Project EXcel Clean'!K12:K1011," ",0)</f>
        <v>57.2</v>
      </c>
    </row>
    <row r="13" spans="1:3" x14ac:dyDescent="0.25">
      <c r="A13" t="s">
        <v>40</v>
      </c>
      <c r="B13">
        <f>_xlfn.XLOOKUP(A13,'Subbu- Mini Project EXcel Clean'!A13:A1012,'Subbu- Mini Project EXcel Clean'!L13:L1012," ",0)</f>
        <v>210</v>
      </c>
      <c r="C13">
        <f>_xlfn.XLOOKUP(A13,'Subbu- Mini Project EXcel Clean'!A13:A1012,'Subbu- Mini Project EXcel Clean'!K13:K1012," ",0)</f>
        <v>87.6</v>
      </c>
    </row>
    <row r="14" spans="1:3" x14ac:dyDescent="0.25">
      <c r="A14" t="s">
        <v>41</v>
      </c>
      <c r="B14">
        <f>_xlfn.XLOOKUP(A14,'Subbu- Mini Project EXcel Clean'!A14:A1013,'Subbu- Mini Project EXcel Clean'!L14:L1013," ",0)</f>
        <v>183</v>
      </c>
      <c r="C14">
        <f>_xlfn.XLOOKUP(A14,'Subbu- Mini Project EXcel Clean'!A14:A1013,'Subbu- Mini Project EXcel Clean'!K14:K1013," ",0)</f>
        <v>76.2</v>
      </c>
    </row>
    <row r="15" spans="1:3" x14ac:dyDescent="0.25">
      <c r="A15" t="s">
        <v>42</v>
      </c>
      <c r="B15">
        <f>_xlfn.XLOOKUP(A15,'Subbu- Mini Project EXcel Clean'!A15:A1014,'Subbu- Mini Project EXcel Clean'!L15:L1014," ",0)</f>
        <v>158</v>
      </c>
      <c r="C15">
        <f>_xlfn.XLOOKUP(A15,'Subbu- Mini Project EXcel Clean'!A15:A1014,'Subbu- Mini Project EXcel Clean'!K15:K1014," ",0)</f>
        <v>65.900000000000006</v>
      </c>
    </row>
    <row r="16" spans="1:3" x14ac:dyDescent="0.25">
      <c r="A16" t="s">
        <v>43</v>
      </c>
      <c r="B16">
        <f>_xlfn.XLOOKUP(A16,'Subbu- Mini Project EXcel Clean'!A16:A1015,'Subbu- Mini Project EXcel Clean'!L16:L1015," ",0)</f>
        <v>179</v>
      </c>
      <c r="C16">
        <f>_xlfn.XLOOKUP(A16,'Subbu- Mini Project EXcel Clean'!A16:A1015,'Subbu- Mini Project EXcel Clean'!K16:K1015," ",0)</f>
        <v>74.5</v>
      </c>
    </row>
    <row r="17" spans="1:3" x14ac:dyDescent="0.25">
      <c r="A17" t="s">
        <v>44</v>
      </c>
      <c r="B17">
        <f>_xlfn.XLOOKUP(A17,'Subbu- Mini Project EXcel Clean'!A17:A1016,'Subbu- Mini Project EXcel Clean'!L17:L1016," ",0)</f>
        <v>168</v>
      </c>
      <c r="C17">
        <f>_xlfn.XLOOKUP(A17,'Subbu- Mini Project EXcel Clean'!A17:A1016,'Subbu- Mini Project EXcel Clean'!K17:K1016," ",0)</f>
        <v>70.2</v>
      </c>
    </row>
    <row r="18" spans="1:3" x14ac:dyDescent="0.25">
      <c r="A18" t="s">
        <v>45</v>
      </c>
      <c r="B18">
        <f>_xlfn.XLOOKUP(A18,'Subbu- Mini Project EXcel Clean'!A18:A1017,'Subbu- Mini Project EXcel Clean'!L18:L1017," ",0)</f>
        <v>184</v>
      </c>
      <c r="C18">
        <f>_xlfn.XLOOKUP(A18,'Subbu- Mini Project EXcel Clean'!A18:A1017,'Subbu- Mini Project EXcel Clean'!K18:K1017," ",0)</f>
        <v>76.599999999999994</v>
      </c>
    </row>
    <row r="19" spans="1:3" x14ac:dyDescent="0.25">
      <c r="A19" t="s">
        <v>46</v>
      </c>
      <c r="B19">
        <f>_xlfn.XLOOKUP(A19,'Subbu- Mini Project EXcel Clean'!A19:A1018,'Subbu- Mini Project EXcel Clean'!L19:L1018," ",0)</f>
        <v>183</v>
      </c>
      <c r="C19">
        <f>_xlfn.XLOOKUP(A19,'Subbu- Mini Project EXcel Clean'!A19:A1018,'Subbu- Mini Project EXcel Clean'!K19:K1018," ",0)</f>
        <v>76.400000000000006</v>
      </c>
    </row>
    <row r="20" spans="1:3" x14ac:dyDescent="0.25">
      <c r="A20" t="s">
        <v>47</v>
      </c>
      <c r="B20">
        <f>_xlfn.XLOOKUP(A20,'Subbu- Mini Project EXcel Clean'!A20:A1019,'Subbu- Mini Project EXcel Clean'!L20:L1019," ",0)</f>
        <v>186</v>
      </c>
      <c r="C20">
        <f>_xlfn.XLOOKUP(A20,'Subbu- Mini Project EXcel Clean'!A20:A1019,'Subbu- Mini Project EXcel Clean'!K20:K1019," ",0)</f>
        <v>77.7</v>
      </c>
    </row>
    <row r="21" spans="1:3" x14ac:dyDescent="0.25">
      <c r="A21" t="s">
        <v>48</v>
      </c>
      <c r="B21">
        <f>_xlfn.XLOOKUP(A21,'Subbu- Mini Project EXcel Clean'!A21:A1020,'Subbu- Mini Project EXcel Clean'!L21:L1020," ",0)</f>
        <v>155</v>
      </c>
      <c r="C21">
        <f>_xlfn.XLOOKUP(A21,'Subbu- Mini Project EXcel Clean'!A21:A1020,'Subbu- Mini Project EXcel Clean'!K21:K1020," ",0)</f>
        <v>64.400000000000006</v>
      </c>
    </row>
    <row r="22" spans="1:3" x14ac:dyDescent="0.25">
      <c r="A22" t="s">
        <v>49</v>
      </c>
      <c r="B22">
        <f>_xlfn.XLOOKUP(A22,'Subbu- Mini Project EXcel Clean'!A22:A1021,'Subbu- Mini Project EXcel Clean'!L22:L1021," ",0)</f>
        <v>177</v>
      </c>
      <c r="C22">
        <f>_xlfn.XLOOKUP(A22,'Subbu- Mini Project EXcel Clean'!A22:A1021,'Subbu- Mini Project EXcel Clean'!K22:K1021," ",0)</f>
        <v>73.599999999999994</v>
      </c>
    </row>
    <row r="23" spans="1:3" x14ac:dyDescent="0.25">
      <c r="A23" t="s">
        <v>50</v>
      </c>
      <c r="B23">
        <f>_xlfn.XLOOKUP(A23,'Subbu- Mini Project EXcel Clean'!A23:A1022,'Subbu- Mini Project EXcel Clean'!L23:L1022," ",0)</f>
        <v>120</v>
      </c>
      <c r="C23">
        <f>_xlfn.XLOOKUP(A23,'Subbu- Mini Project EXcel Clean'!A23:A1022,'Subbu- Mini Project EXcel Clean'!K23:K1022," ",0)</f>
        <v>50.1</v>
      </c>
    </row>
    <row r="24" spans="1:3" x14ac:dyDescent="0.25">
      <c r="A24" t="s">
        <v>51</v>
      </c>
      <c r="B24">
        <f>_xlfn.XLOOKUP(A24,'Subbu- Mini Project EXcel Clean'!A24:A1023,'Subbu- Mini Project EXcel Clean'!L24:L1023," ",0)</f>
        <v>178</v>
      </c>
      <c r="C24">
        <f>_xlfn.XLOOKUP(A24,'Subbu- Mini Project EXcel Clean'!A24:A1023,'Subbu- Mini Project EXcel Clean'!K24:K1023," ",0)</f>
        <v>74</v>
      </c>
    </row>
    <row r="25" spans="1:3" x14ac:dyDescent="0.25">
      <c r="A25" t="s">
        <v>52</v>
      </c>
      <c r="B25">
        <f>_xlfn.XLOOKUP(A25,'Subbu- Mini Project EXcel Clean'!A25:A1024,'Subbu- Mini Project EXcel Clean'!L25:L1024," ",0)</f>
        <v>187</v>
      </c>
      <c r="C25">
        <f>_xlfn.XLOOKUP(A25,'Subbu- Mini Project EXcel Clean'!A25:A1024,'Subbu- Mini Project EXcel Clean'!K25:K1024," ",0)</f>
        <v>77.8</v>
      </c>
    </row>
    <row r="26" spans="1:3" x14ac:dyDescent="0.25">
      <c r="A26" t="s">
        <v>53</v>
      </c>
      <c r="B26">
        <f>_xlfn.XLOOKUP(A26,'Subbu- Mini Project EXcel Clean'!A26:A1025,'Subbu- Mini Project EXcel Clean'!L26:L1025," ",0)</f>
        <v>168</v>
      </c>
      <c r="C26">
        <f>_xlfn.XLOOKUP(A26,'Subbu- Mini Project EXcel Clean'!A26:A1025,'Subbu- Mini Project EXcel Clean'!K26:K1025," ",0)</f>
        <v>69.8</v>
      </c>
    </row>
    <row r="27" spans="1:3" x14ac:dyDescent="0.25">
      <c r="A27" t="s">
        <v>54</v>
      </c>
      <c r="B27">
        <f>_xlfn.XLOOKUP(A27,'Subbu- Mini Project EXcel Clean'!A27:A1026,'Subbu- Mini Project EXcel Clean'!L27:L1026," ",0)</f>
        <v>193</v>
      </c>
      <c r="C27">
        <f>_xlfn.XLOOKUP(A27,'Subbu- Mini Project EXcel Clean'!A27:A1026,'Subbu- Mini Project EXcel Clean'!K27:K1026," ",0)</f>
        <v>80.3</v>
      </c>
    </row>
    <row r="28" spans="1:3" x14ac:dyDescent="0.25">
      <c r="A28" t="s">
        <v>55</v>
      </c>
      <c r="B28">
        <f>_xlfn.XLOOKUP(A28,'Subbu- Mini Project EXcel Clean'!A28:A1027,'Subbu- Mini Project EXcel Clean'!L28:L1027," ",0)</f>
        <v>148</v>
      </c>
      <c r="C28">
        <f>_xlfn.XLOOKUP(A28,'Subbu- Mini Project EXcel Clean'!A28:A1027,'Subbu- Mini Project EXcel Clean'!K28:K1027," ",0)</f>
        <v>61.7</v>
      </c>
    </row>
    <row r="29" spans="1:3" x14ac:dyDescent="0.25">
      <c r="A29" t="s">
        <v>56</v>
      </c>
      <c r="B29">
        <f>_xlfn.XLOOKUP(A29,'Subbu- Mini Project EXcel Clean'!A29:A1028,'Subbu- Mini Project EXcel Clean'!L29:L1028," ",0)</f>
        <v>183</v>
      </c>
      <c r="C29">
        <f>_xlfn.XLOOKUP(A29,'Subbu- Mini Project EXcel Clean'!A29:A1028,'Subbu- Mini Project EXcel Clean'!K29:K1028," ",0)</f>
        <v>76.099999999999994</v>
      </c>
    </row>
    <row r="30" spans="1:3" x14ac:dyDescent="0.25">
      <c r="A30" t="s">
        <v>57</v>
      </c>
      <c r="B30">
        <f>_xlfn.XLOOKUP(A30,'Subbu- Mini Project EXcel Clean'!A30:A1029,'Subbu- Mini Project EXcel Clean'!L30:L1029," ",0)</f>
        <v>197</v>
      </c>
      <c r="C30">
        <f>_xlfn.XLOOKUP(A30,'Subbu- Mini Project EXcel Clean'!A30:A1029,'Subbu- Mini Project EXcel Clean'!K30:K1029," ",0)</f>
        <v>81.900000000000006</v>
      </c>
    </row>
    <row r="31" spans="1:3" x14ac:dyDescent="0.25">
      <c r="A31" t="s">
        <v>58</v>
      </c>
      <c r="B31">
        <f>_xlfn.XLOOKUP(A31,'Subbu- Mini Project EXcel Clean'!A31:A1030,'Subbu- Mini Project EXcel Clean'!L31:L1030," ",0)</f>
        <v>126</v>
      </c>
      <c r="C31">
        <f>_xlfn.XLOOKUP(A31,'Subbu- Mini Project EXcel Clean'!A31:A1030,'Subbu- Mini Project EXcel Clean'!K31:K1030," ",0)</f>
        <v>52.6</v>
      </c>
    </row>
    <row r="32" spans="1:3" x14ac:dyDescent="0.25">
      <c r="A32" t="s">
        <v>59</v>
      </c>
      <c r="B32">
        <f>_xlfn.XLOOKUP(A32,'Subbu- Mini Project EXcel Clean'!A32:A1031,'Subbu- Mini Project EXcel Clean'!L32:L1031," ",0)</f>
        <v>189</v>
      </c>
      <c r="C32">
        <f>_xlfn.XLOOKUP(A32,'Subbu- Mini Project EXcel Clean'!A32:A1031,'Subbu- Mini Project EXcel Clean'!K32:K1031," ",0)</f>
        <v>78.8</v>
      </c>
    </row>
    <row r="33" spans="1:3" x14ac:dyDescent="0.25">
      <c r="A33" t="s">
        <v>60</v>
      </c>
      <c r="B33">
        <f>_xlfn.XLOOKUP(A33,'Subbu- Mini Project EXcel Clean'!A33:A1032,'Subbu- Mini Project EXcel Clean'!L33:L1032," ",0)</f>
        <v>152</v>
      </c>
      <c r="C33">
        <f>_xlfn.XLOOKUP(A33,'Subbu- Mini Project EXcel Clean'!A33:A1032,'Subbu- Mini Project EXcel Clean'!K33:K1032," ",0)</f>
        <v>63.3</v>
      </c>
    </row>
    <row r="34" spans="1:3" x14ac:dyDescent="0.25">
      <c r="A34" t="s">
        <v>61</v>
      </c>
      <c r="B34">
        <f>_xlfn.XLOOKUP(A34,'Subbu- Mini Project EXcel Clean'!A34:A1033,'Subbu- Mini Project EXcel Clean'!L34:L1033," ",0)</f>
        <v>150</v>
      </c>
      <c r="C34">
        <f>_xlfn.XLOOKUP(A34,'Subbu- Mini Project EXcel Clean'!A34:A1033,'Subbu- Mini Project EXcel Clean'!K34:K1033," ",0)</f>
        <v>62.4</v>
      </c>
    </row>
    <row r="35" spans="1:3" x14ac:dyDescent="0.25">
      <c r="A35" t="s">
        <v>62</v>
      </c>
      <c r="B35">
        <f>_xlfn.XLOOKUP(A35,'Subbu- Mini Project EXcel Clean'!A35:A1034,'Subbu- Mini Project EXcel Clean'!L35:L1034," ",0)</f>
        <v>212</v>
      </c>
      <c r="C35">
        <f>_xlfn.XLOOKUP(A35,'Subbu- Mini Project EXcel Clean'!A35:A1034,'Subbu- Mini Project EXcel Clean'!K35:K1034," ",0)</f>
        <v>88.4</v>
      </c>
    </row>
    <row r="36" spans="1:3" x14ac:dyDescent="0.25">
      <c r="A36" t="s">
        <v>63</v>
      </c>
      <c r="B36">
        <f>_xlfn.XLOOKUP(A36,'Subbu- Mini Project EXcel Clean'!A36:A1035,'Subbu- Mini Project EXcel Clean'!L36:L1035," ",0)</f>
        <v>205</v>
      </c>
      <c r="C36">
        <f>_xlfn.XLOOKUP(A36,'Subbu- Mini Project EXcel Clean'!A36:A1035,'Subbu- Mini Project EXcel Clean'!K36:K1035," ",0)</f>
        <v>85.6</v>
      </c>
    </row>
    <row r="37" spans="1:3" x14ac:dyDescent="0.25">
      <c r="A37" t="s">
        <v>64</v>
      </c>
      <c r="B37">
        <f>_xlfn.XLOOKUP(A37,'Subbu- Mini Project EXcel Clean'!A37:A1036,'Subbu- Mini Project EXcel Clean'!L37:L1036," ",0)</f>
        <v>196</v>
      </c>
      <c r="C37">
        <f>_xlfn.XLOOKUP(A37,'Subbu- Mini Project EXcel Clean'!A37:A1036,'Subbu- Mini Project EXcel Clean'!K37:K1036," ",0)</f>
        <v>81.7</v>
      </c>
    </row>
    <row r="38" spans="1:3" x14ac:dyDescent="0.25">
      <c r="A38" t="s">
        <v>65</v>
      </c>
      <c r="B38">
        <f>_xlfn.XLOOKUP(A38,'Subbu- Mini Project EXcel Clean'!A38:A1037,'Subbu- Mini Project EXcel Clean'!L38:L1037," ",0)</f>
        <v>162</v>
      </c>
      <c r="C38">
        <f>_xlfn.XLOOKUP(A38,'Subbu- Mini Project EXcel Clean'!A38:A1037,'Subbu- Mini Project EXcel Clean'!K38:K1037," ",0)</f>
        <v>67.3</v>
      </c>
    </row>
    <row r="39" spans="1:3" x14ac:dyDescent="0.25">
      <c r="A39" t="s">
        <v>66</v>
      </c>
      <c r="B39">
        <f>_xlfn.XLOOKUP(A39,'Subbu- Mini Project EXcel Clean'!A39:A1038,'Subbu- Mini Project EXcel Clean'!L39:L1038," ",0)</f>
        <v>162</v>
      </c>
      <c r="C39">
        <f>_xlfn.XLOOKUP(A39,'Subbu- Mini Project EXcel Clean'!A39:A1038,'Subbu- Mini Project EXcel Clean'!K39:K1038," ",0)</f>
        <v>67.5</v>
      </c>
    </row>
    <row r="40" spans="1:3" x14ac:dyDescent="0.25">
      <c r="A40" t="s">
        <v>67</v>
      </c>
      <c r="B40">
        <f>_xlfn.XLOOKUP(A40,'Subbu- Mini Project EXcel Clean'!A40:A1039,'Subbu- Mini Project EXcel Clean'!L40:L1039," ",0)</f>
        <v>194</v>
      </c>
      <c r="C40">
        <f>_xlfn.XLOOKUP(A40,'Subbu- Mini Project EXcel Clean'!A40:A1039,'Subbu- Mini Project EXcel Clean'!K40:K1039," ",0)</f>
        <v>80.900000000000006</v>
      </c>
    </row>
    <row r="41" spans="1:3" x14ac:dyDescent="0.25">
      <c r="A41" t="s">
        <v>68</v>
      </c>
      <c r="B41">
        <f>_xlfn.XLOOKUP(A41,'Subbu- Mini Project EXcel Clean'!A41:A1040,'Subbu- Mini Project EXcel Clean'!L41:L1040," ",0)</f>
        <v>176</v>
      </c>
      <c r="C41">
        <f>_xlfn.XLOOKUP(A41,'Subbu- Mini Project EXcel Clean'!A41:A1040,'Subbu- Mini Project EXcel Clean'!K41:K1040," ",0)</f>
        <v>73.2</v>
      </c>
    </row>
    <row r="42" spans="1:3" x14ac:dyDescent="0.25">
      <c r="A42" t="s">
        <v>69</v>
      </c>
      <c r="B42">
        <f>_xlfn.XLOOKUP(A42,'Subbu- Mini Project EXcel Clean'!A42:A1041,'Subbu- Mini Project EXcel Clean'!L42:L1041," ",0)</f>
        <v>137</v>
      </c>
      <c r="C42">
        <f>_xlfn.XLOOKUP(A42,'Subbu- Mini Project EXcel Clean'!A42:A1041,'Subbu- Mini Project EXcel Clean'!K42:K1041," ",0)</f>
        <v>57</v>
      </c>
    </row>
    <row r="43" spans="1:3" x14ac:dyDescent="0.25">
      <c r="A43" t="s">
        <v>70</v>
      </c>
      <c r="B43">
        <f>_xlfn.XLOOKUP(A43,'Subbu- Mini Project EXcel Clean'!A43:A1042,'Subbu- Mini Project EXcel Clean'!L43:L1042," ",0)</f>
        <v>172</v>
      </c>
      <c r="C43">
        <f>_xlfn.XLOOKUP(A43,'Subbu- Mini Project EXcel Clean'!A43:A1042,'Subbu- Mini Project EXcel Clean'!K43:K1042," ",0)</f>
        <v>71.7</v>
      </c>
    </row>
    <row r="44" spans="1:3" x14ac:dyDescent="0.25">
      <c r="A44" t="s">
        <v>71</v>
      </c>
      <c r="B44">
        <f>_xlfn.XLOOKUP(A44,'Subbu- Mini Project EXcel Clean'!A44:A1043,'Subbu- Mini Project EXcel Clean'!L44:L1043," ",0)</f>
        <v>157</v>
      </c>
      <c r="C44">
        <f>_xlfn.XLOOKUP(A44,'Subbu- Mini Project EXcel Clean'!A44:A1043,'Subbu- Mini Project EXcel Clean'!K44:K1043," ",0)</f>
        <v>65.400000000000006</v>
      </c>
    </row>
    <row r="45" spans="1:3" x14ac:dyDescent="0.25">
      <c r="A45" t="s">
        <v>72</v>
      </c>
      <c r="B45">
        <f>_xlfn.XLOOKUP(A45,'Subbu- Mini Project EXcel Clean'!A45:A1044,'Subbu- Mini Project EXcel Clean'!L45:L1044," ",0)</f>
        <v>204</v>
      </c>
      <c r="C45">
        <f>_xlfn.XLOOKUP(A45,'Subbu- Mini Project EXcel Clean'!A45:A1044,'Subbu- Mini Project EXcel Clean'!K45:K1044," ",0)</f>
        <v>85.2</v>
      </c>
    </row>
    <row r="46" spans="1:3" x14ac:dyDescent="0.25">
      <c r="A46" t="s">
        <v>73</v>
      </c>
      <c r="B46">
        <f>_xlfn.XLOOKUP(A46,'Subbu- Mini Project EXcel Clean'!A46:A1045,'Subbu- Mini Project EXcel Clean'!L46:L1045," ",0)</f>
        <v>169</v>
      </c>
      <c r="C46">
        <f>_xlfn.XLOOKUP(A46,'Subbu- Mini Project EXcel Clean'!A46:A1045,'Subbu- Mini Project EXcel Clean'!K46:K1045," ",0)</f>
        <v>70.400000000000006</v>
      </c>
    </row>
    <row r="47" spans="1:3" x14ac:dyDescent="0.25">
      <c r="A47" t="s">
        <v>74</v>
      </c>
      <c r="B47">
        <f>_xlfn.XLOOKUP(A47,'Subbu- Mini Project EXcel Clean'!A47:A1046,'Subbu- Mini Project EXcel Clean'!L47:L1046," ",0)</f>
        <v>209</v>
      </c>
      <c r="C47">
        <f>_xlfn.XLOOKUP(A47,'Subbu- Mini Project EXcel Clean'!A47:A1046,'Subbu- Mini Project EXcel Clean'!K47:K1046," ",0)</f>
        <v>87.1</v>
      </c>
    </row>
    <row r="48" spans="1:3" x14ac:dyDescent="0.25">
      <c r="A48" t="s">
        <v>75</v>
      </c>
      <c r="B48">
        <f>_xlfn.XLOOKUP(A48,'Subbu- Mini Project EXcel Clean'!A48:A1047,'Subbu- Mini Project EXcel Clean'!L48:L1047," ",0)</f>
        <v>177</v>
      </c>
      <c r="C48">
        <f>_xlfn.XLOOKUP(A48,'Subbu- Mini Project EXcel Clean'!A48:A1047,'Subbu- Mini Project EXcel Clean'!K48:K1047," ",0)</f>
        <v>73.8</v>
      </c>
    </row>
    <row r="49" spans="1:3" x14ac:dyDescent="0.25">
      <c r="A49" t="s">
        <v>76</v>
      </c>
      <c r="B49">
        <f>_xlfn.XLOOKUP(A49,'Subbu- Mini Project EXcel Clean'!A49:A1048,'Subbu- Mini Project EXcel Clean'!L49:L1048," ",0)</f>
        <v>180</v>
      </c>
      <c r="C49">
        <f>_xlfn.XLOOKUP(A49,'Subbu- Mini Project EXcel Clean'!A49:A1048,'Subbu- Mini Project EXcel Clean'!K49:K1048," ",0)</f>
        <v>74.8</v>
      </c>
    </row>
    <row r="50" spans="1:3" x14ac:dyDescent="0.25">
      <c r="A50" t="s">
        <v>77</v>
      </c>
      <c r="B50">
        <f>_xlfn.XLOOKUP(A50,'Subbu- Mini Project EXcel Clean'!A50:A1049,'Subbu- Mini Project EXcel Clean'!L50:L1049," ",0)</f>
        <v>174</v>
      </c>
      <c r="C50">
        <f>_xlfn.XLOOKUP(A50,'Subbu- Mini Project EXcel Clean'!A50:A1049,'Subbu- Mini Project EXcel Clean'!K50:K1049," ",0)</f>
        <v>72.5</v>
      </c>
    </row>
    <row r="51" spans="1:3" x14ac:dyDescent="0.25">
      <c r="A51" t="s">
        <v>78</v>
      </c>
      <c r="B51">
        <f>_xlfn.XLOOKUP(A51,'Subbu- Mini Project EXcel Clean'!A51:A1050,'Subbu- Mini Project EXcel Clean'!L51:L1050," ",0)</f>
        <v>126</v>
      </c>
      <c r="C51">
        <f>_xlfn.XLOOKUP(A51,'Subbu- Mini Project EXcel Clean'!A51:A1050,'Subbu- Mini Project EXcel Clean'!K51:K1050," ",0)</f>
        <v>52.3</v>
      </c>
    </row>
    <row r="52" spans="1:3" x14ac:dyDescent="0.25">
      <c r="A52" t="s">
        <v>79</v>
      </c>
      <c r="B52">
        <f>_xlfn.XLOOKUP(A52,'Subbu- Mini Project EXcel Clean'!A52:A1051,'Subbu- Mini Project EXcel Clean'!L52:L1051," ",0)</f>
        <v>206</v>
      </c>
      <c r="C52">
        <f>_xlfn.XLOOKUP(A52,'Subbu- Mini Project EXcel Clean'!A52:A1051,'Subbu- Mini Project EXcel Clean'!K52:K1051," ",0)</f>
        <v>85.8</v>
      </c>
    </row>
    <row r="53" spans="1:3" x14ac:dyDescent="0.25">
      <c r="A53" t="s">
        <v>80</v>
      </c>
      <c r="B53">
        <f>_xlfn.XLOOKUP(A53,'Subbu- Mini Project EXcel Clean'!A53:A1052,'Subbu- Mini Project EXcel Clean'!L53:L1052," ",0)</f>
        <v>191</v>
      </c>
      <c r="C53">
        <f>_xlfn.XLOOKUP(A53,'Subbu- Mini Project EXcel Clean'!A53:A1052,'Subbu- Mini Project EXcel Clean'!K53:K1052," ",0)</f>
        <v>79.7</v>
      </c>
    </row>
    <row r="54" spans="1:3" x14ac:dyDescent="0.25">
      <c r="A54" t="s">
        <v>81</v>
      </c>
      <c r="B54">
        <f>_xlfn.XLOOKUP(A54,'Subbu- Mini Project EXcel Clean'!A54:A1053,'Subbu- Mini Project EXcel Clean'!L54:L1053," ",0)</f>
        <v>211</v>
      </c>
      <c r="C54">
        <f>_xlfn.XLOOKUP(A54,'Subbu- Mini Project EXcel Clean'!A54:A1053,'Subbu- Mini Project EXcel Clean'!K54:K1053," ",0)</f>
        <v>87.8</v>
      </c>
    </row>
    <row r="55" spans="1:3" x14ac:dyDescent="0.25">
      <c r="A55" t="s">
        <v>82</v>
      </c>
      <c r="B55">
        <f>_xlfn.XLOOKUP(A55,'Subbu- Mini Project EXcel Clean'!A55:A1054,'Subbu- Mini Project EXcel Clean'!L55:L1054," ",0)</f>
        <v>201</v>
      </c>
      <c r="C55">
        <f>_xlfn.XLOOKUP(A55,'Subbu- Mini Project EXcel Clean'!A55:A1054,'Subbu- Mini Project EXcel Clean'!K55:K1054," ",0)</f>
        <v>83.8</v>
      </c>
    </row>
    <row r="56" spans="1:3" x14ac:dyDescent="0.25">
      <c r="A56" t="s">
        <v>83</v>
      </c>
      <c r="B56">
        <f>_xlfn.XLOOKUP(A56,'Subbu- Mini Project EXcel Clean'!A56:A1055,'Subbu- Mini Project EXcel Clean'!L56:L1055," ",0)</f>
        <v>180</v>
      </c>
      <c r="C56">
        <f>_xlfn.XLOOKUP(A56,'Subbu- Mini Project EXcel Clean'!A56:A1055,'Subbu- Mini Project EXcel Clean'!K56:K1055," ",0)</f>
        <v>74.8</v>
      </c>
    </row>
    <row r="57" spans="1:3" x14ac:dyDescent="0.25">
      <c r="A57" t="s">
        <v>84</v>
      </c>
      <c r="B57">
        <f>_xlfn.XLOOKUP(A57,'Subbu- Mini Project EXcel Clean'!A57:A1056,'Subbu- Mini Project EXcel Clean'!L57:L1056," ",0)</f>
        <v>184</v>
      </c>
      <c r="C57">
        <f>_xlfn.XLOOKUP(A57,'Subbu- Mini Project EXcel Clean'!A57:A1056,'Subbu- Mini Project EXcel Clean'!K57:K1056," ",0)</f>
        <v>76.5</v>
      </c>
    </row>
    <row r="58" spans="1:3" x14ac:dyDescent="0.25">
      <c r="A58" t="s">
        <v>85</v>
      </c>
      <c r="B58">
        <f>_xlfn.XLOOKUP(A58,'Subbu- Mini Project EXcel Clean'!A58:A1057,'Subbu- Mini Project EXcel Clean'!L58:L1057," ",0)</f>
        <v>138</v>
      </c>
      <c r="C58">
        <f>_xlfn.XLOOKUP(A58,'Subbu- Mini Project EXcel Clean'!A58:A1057,'Subbu- Mini Project EXcel Clean'!K58:K1057," ",0)</f>
        <v>57.7</v>
      </c>
    </row>
    <row r="59" spans="1:3" x14ac:dyDescent="0.25">
      <c r="A59" t="s">
        <v>86</v>
      </c>
      <c r="B59">
        <f>_xlfn.XLOOKUP(A59,'Subbu- Mini Project EXcel Clean'!A59:A1058,'Subbu- Mini Project EXcel Clean'!L59:L1058," ",0)</f>
        <v>163</v>
      </c>
      <c r="C59">
        <f>_xlfn.XLOOKUP(A59,'Subbu- Mini Project EXcel Clean'!A59:A1058,'Subbu- Mini Project EXcel Clean'!K59:K1058," ",0)</f>
        <v>67.8</v>
      </c>
    </row>
    <row r="60" spans="1:3" x14ac:dyDescent="0.25">
      <c r="A60" t="s">
        <v>87</v>
      </c>
      <c r="B60">
        <f>_xlfn.XLOOKUP(A60,'Subbu- Mini Project EXcel Clean'!A60:A1059,'Subbu- Mini Project EXcel Clean'!L60:L1059," ",0)</f>
        <v>168</v>
      </c>
      <c r="C60">
        <f>_xlfn.XLOOKUP(A60,'Subbu- Mini Project EXcel Clean'!A60:A1059,'Subbu- Mini Project EXcel Clean'!K60:K1059," ",0)</f>
        <v>69.8</v>
      </c>
    </row>
    <row r="61" spans="1:3" x14ac:dyDescent="0.25">
      <c r="A61" t="s">
        <v>88</v>
      </c>
      <c r="B61">
        <f>_xlfn.XLOOKUP(A61,'Subbu- Mini Project EXcel Clean'!A61:A1060,'Subbu- Mini Project EXcel Clean'!L61:L1060," ",0)</f>
        <v>164</v>
      </c>
      <c r="C61">
        <f>_xlfn.XLOOKUP(A61,'Subbu- Mini Project EXcel Clean'!A61:A1060,'Subbu- Mini Project EXcel Clean'!K61:K1060," ",0)</f>
        <v>68.5</v>
      </c>
    </row>
    <row r="62" spans="1:3" x14ac:dyDescent="0.25">
      <c r="A62" t="s">
        <v>89</v>
      </c>
      <c r="B62">
        <f>_xlfn.XLOOKUP(A62,'Subbu- Mini Project EXcel Clean'!A62:A1061,'Subbu- Mini Project EXcel Clean'!L62:L1061," ",0)</f>
        <v>174</v>
      </c>
      <c r="C62">
        <f>_xlfn.XLOOKUP(A62,'Subbu- Mini Project EXcel Clean'!A62:A1061,'Subbu- Mini Project EXcel Clean'!K62:K1061," ",0)</f>
        <v>72.3</v>
      </c>
    </row>
    <row r="63" spans="1:3" x14ac:dyDescent="0.25">
      <c r="A63" t="s">
        <v>90</v>
      </c>
      <c r="B63">
        <f>_xlfn.XLOOKUP(A63,'Subbu- Mini Project EXcel Clean'!A63:A1062,'Subbu- Mini Project EXcel Clean'!L63:L1062," ",0)</f>
        <v>173</v>
      </c>
      <c r="C63">
        <f>_xlfn.XLOOKUP(A63,'Subbu- Mini Project EXcel Clean'!A63:A1062,'Subbu- Mini Project EXcel Clean'!K63:K1062," ",0)</f>
        <v>72.2</v>
      </c>
    </row>
    <row r="64" spans="1:3" x14ac:dyDescent="0.25">
      <c r="A64" t="s">
        <v>91</v>
      </c>
      <c r="B64">
        <f>_xlfn.XLOOKUP(A64,'Subbu- Mini Project EXcel Clean'!A64:A1063,'Subbu- Mini Project EXcel Clean'!L64:L1063," ",0)</f>
        <v>189</v>
      </c>
      <c r="C64">
        <f>_xlfn.XLOOKUP(A64,'Subbu- Mini Project EXcel Clean'!A64:A1063,'Subbu- Mini Project EXcel Clean'!K64:K1063," ",0)</f>
        <v>78.7</v>
      </c>
    </row>
    <row r="65" spans="1:3" x14ac:dyDescent="0.25">
      <c r="A65" t="s">
        <v>92</v>
      </c>
      <c r="B65">
        <f>_xlfn.XLOOKUP(A65,'Subbu- Mini Project EXcel Clean'!A65:A1064,'Subbu- Mini Project EXcel Clean'!L65:L1064," ",0)</f>
        <v>172</v>
      </c>
      <c r="C65">
        <f>_xlfn.XLOOKUP(A65,'Subbu- Mini Project EXcel Clean'!A65:A1064,'Subbu- Mini Project EXcel Clean'!K65:K1064," ",0)</f>
        <v>71.599999999999994</v>
      </c>
    </row>
    <row r="66" spans="1:3" x14ac:dyDescent="0.25">
      <c r="A66" t="s">
        <v>93</v>
      </c>
      <c r="B66">
        <f>_xlfn.XLOOKUP(A66,'Subbu- Mini Project EXcel Clean'!A66:A1065,'Subbu- Mini Project EXcel Clean'!L66:L1065," ",0)</f>
        <v>154</v>
      </c>
      <c r="C66">
        <f>_xlfn.XLOOKUP(A66,'Subbu- Mini Project EXcel Clean'!A66:A1065,'Subbu- Mini Project EXcel Clean'!K66:K1065," ",0)</f>
        <v>64</v>
      </c>
    </row>
    <row r="67" spans="1:3" x14ac:dyDescent="0.25">
      <c r="A67" t="s">
        <v>94</v>
      </c>
      <c r="B67">
        <f>_xlfn.XLOOKUP(A67,'Subbu- Mini Project EXcel Clean'!A67:A1066,'Subbu- Mini Project EXcel Clean'!L67:L1066," ",0)</f>
        <v>190</v>
      </c>
      <c r="C67">
        <f>_xlfn.XLOOKUP(A67,'Subbu- Mini Project EXcel Clean'!A67:A1066,'Subbu- Mini Project EXcel Clean'!K67:K1066," ",0)</f>
        <v>79.2</v>
      </c>
    </row>
    <row r="68" spans="1:3" x14ac:dyDescent="0.25">
      <c r="A68" t="s">
        <v>95</v>
      </c>
      <c r="B68">
        <f>_xlfn.XLOOKUP(A68,'Subbu- Mini Project EXcel Clean'!A68:A1067,'Subbu- Mini Project EXcel Clean'!L68:L1067," ",0)</f>
        <v>155</v>
      </c>
      <c r="C68">
        <f>_xlfn.XLOOKUP(A68,'Subbu- Mini Project EXcel Clean'!A68:A1067,'Subbu- Mini Project EXcel Clean'!K68:K1067," ",0)</f>
        <v>64.599999999999994</v>
      </c>
    </row>
    <row r="69" spans="1:3" x14ac:dyDescent="0.25">
      <c r="A69" t="s">
        <v>96</v>
      </c>
      <c r="B69">
        <f>_xlfn.XLOOKUP(A69,'Subbu- Mini Project EXcel Clean'!A69:A1068,'Subbu- Mini Project EXcel Clean'!L69:L1068," ",0)</f>
        <v>201</v>
      </c>
      <c r="C69">
        <f>_xlfn.XLOOKUP(A69,'Subbu- Mini Project EXcel Clean'!A69:A1068,'Subbu- Mini Project EXcel Clean'!K69:K1068," ",0)</f>
        <v>83.6</v>
      </c>
    </row>
    <row r="70" spans="1:3" x14ac:dyDescent="0.25">
      <c r="A70" t="s">
        <v>97</v>
      </c>
      <c r="B70">
        <f>_xlfn.XLOOKUP(A70,'Subbu- Mini Project EXcel Clean'!A70:A1069,'Subbu- Mini Project EXcel Clean'!L70:L1069," ",0)</f>
        <v>139</v>
      </c>
      <c r="C70">
        <f>_xlfn.XLOOKUP(A70,'Subbu- Mini Project EXcel Clean'!A70:A1069,'Subbu- Mini Project EXcel Clean'!K70:K1069," ",0)</f>
        <v>58.1</v>
      </c>
    </row>
    <row r="71" spans="1:3" x14ac:dyDescent="0.25">
      <c r="A71" t="s">
        <v>98</v>
      </c>
      <c r="B71">
        <f>_xlfn.XLOOKUP(A71,'Subbu- Mini Project EXcel Clean'!A71:A1070,'Subbu- Mini Project EXcel Clean'!L71:L1070," ",0)</f>
        <v>218</v>
      </c>
      <c r="C71">
        <f>_xlfn.XLOOKUP(A71,'Subbu- Mini Project EXcel Clean'!A71:A1070,'Subbu- Mini Project EXcel Clean'!K71:K1070," ",0)</f>
        <v>90.7</v>
      </c>
    </row>
    <row r="72" spans="1:3" x14ac:dyDescent="0.25">
      <c r="A72" t="s">
        <v>99</v>
      </c>
      <c r="B72">
        <f>_xlfn.XLOOKUP(A72,'Subbu- Mini Project EXcel Clean'!A72:A1071,'Subbu- Mini Project EXcel Clean'!L72:L1071," ",0)</f>
        <v>220</v>
      </c>
      <c r="C72">
        <f>_xlfn.XLOOKUP(A72,'Subbu- Mini Project EXcel Clean'!A72:A1071,'Subbu- Mini Project EXcel Clean'!K72:K1071," ",0)</f>
        <v>91.7</v>
      </c>
    </row>
    <row r="73" spans="1:3" x14ac:dyDescent="0.25">
      <c r="A73" t="s">
        <v>100</v>
      </c>
      <c r="B73">
        <f>_xlfn.XLOOKUP(A73,'Subbu- Mini Project EXcel Clean'!A73:A1072,'Subbu- Mini Project EXcel Clean'!L73:L1072," ",0)</f>
        <v>145</v>
      </c>
      <c r="C73">
        <f>_xlfn.XLOOKUP(A73,'Subbu- Mini Project EXcel Clean'!A73:A1072,'Subbu- Mini Project EXcel Clean'!K73:K1072," ",0)</f>
        <v>60.4</v>
      </c>
    </row>
    <row r="74" spans="1:3" x14ac:dyDescent="0.25">
      <c r="A74" t="s">
        <v>101</v>
      </c>
      <c r="B74">
        <f>_xlfn.XLOOKUP(A74,'Subbu- Mini Project EXcel Clean'!A74:A1073,'Subbu- Mini Project EXcel Clean'!L74:L1073," ",0)</f>
        <v>140</v>
      </c>
      <c r="C74">
        <f>_xlfn.XLOOKUP(A74,'Subbu- Mini Project EXcel Clean'!A74:A1073,'Subbu- Mini Project EXcel Clean'!K74:K1073," ",0)</f>
        <v>58.5</v>
      </c>
    </row>
    <row r="75" spans="1:3" x14ac:dyDescent="0.25">
      <c r="A75" t="s">
        <v>102</v>
      </c>
      <c r="B75">
        <f>_xlfn.XLOOKUP(A75,'Subbu- Mini Project EXcel Clean'!A75:A1074,'Subbu- Mini Project EXcel Clean'!L75:L1074," ",0)</f>
        <v>201</v>
      </c>
      <c r="C75">
        <f>_xlfn.XLOOKUP(A75,'Subbu- Mini Project EXcel Clean'!A75:A1074,'Subbu- Mini Project EXcel Clean'!K75:K1074," ",0)</f>
        <v>83.6</v>
      </c>
    </row>
    <row r="76" spans="1:3" x14ac:dyDescent="0.25">
      <c r="A76" t="s">
        <v>103</v>
      </c>
      <c r="B76">
        <f>_xlfn.XLOOKUP(A76,'Subbu- Mini Project EXcel Clean'!A76:A1075,'Subbu- Mini Project EXcel Clean'!L76:L1075," ",0)</f>
        <v>200</v>
      </c>
      <c r="C76">
        <f>_xlfn.XLOOKUP(A76,'Subbu- Mini Project EXcel Clean'!A76:A1075,'Subbu- Mini Project EXcel Clean'!K76:K1075," ",0)</f>
        <v>83.4</v>
      </c>
    </row>
    <row r="77" spans="1:3" x14ac:dyDescent="0.25">
      <c r="A77" t="s">
        <v>104</v>
      </c>
      <c r="B77">
        <f>_xlfn.XLOOKUP(A77,'Subbu- Mini Project EXcel Clean'!A77:A1076,'Subbu- Mini Project EXcel Clean'!L77:L1076," ",0)</f>
        <v>185</v>
      </c>
      <c r="C77">
        <f>_xlfn.XLOOKUP(A77,'Subbu- Mini Project EXcel Clean'!A77:A1076,'Subbu- Mini Project EXcel Clean'!K77:K1076," ",0)</f>
        <v>77.2</v>
      </c>
    </row>
    <row r="78" spans="1:3" x14ac:dyDescent="0.25">
      <c r="A78" t="s">
        <v>105</v>
      </c>
      <c r="B78">
        <f>_xlfn.XLOOKUP(A78,'Subbu- Mini Project EXcel Clean'!A78:A1077,'Subbu- Mini Project EXcel Clean'!L78:L1077," ",0)</f>
        <v>161</v>
      </c>
      <c r="C78">
        <f>_xlfn.XLOOKUP(A78,'Subbu- Mini Project EXcel Clean'!A78:A1077,'Subbu- Mini Project EXcel Clean'!K78:K1077," ",0)</f>
        <v>67</v>
      </c>
    </row>
    <row r="79" spans="1:3" x14ac:dyDescent="0.25">
      <c r="A79" t="s">
        <v>106</v>
      </c>
      <c r="B79">
        <f>_xlfn.XLOOKUP(A79,'Subbu- Mini Project EXcel Clean'!A79:A1078,'Subbu- Mini Project EXcel Clean'!L79:L1078," ",0)</f>
        <v>165</v>
      </c>
      <c r="C79">
        <f>_xlfn.XLOOKUP(A79,'Subbu- Mini Project EXcel Clean'!A79:A1078,'Subbu- Mini Project EXcel Clean'!K79:K1078," ",0)</f>
        <v>68.8</v>
      </c>
    </row>
    <row r="80" spans="1:3" x14ac:dyDescent="0.25">
      <c r="A80" t="s">
        <v>107</v>
      </c>
      <c r="B80">
        <f>_xlfn.XLOOKUP(A80,'Subbu- Mini Project EXcel Clean'!A80:A1079,'Subbu- Mini Project EXcel Clean'!L80:L1079," ",0)</f>
        <v>177</v>
      </c>
      <c r="C80">
        <f>_xlfn.XLOOKUP(A80,'Subbu- Mini Project EXcel Clean'!A80:A1079,'Subbu- Mini Project EXcel Clean'!K80:K1079," ",0)</f>
        <v>73.7</v>
      </c>
    </row>
    <row r="81" spans="1:3" x14ac:dyDescent="0.25">
      <c r="A81" t="s">
        <v>108</v>
      </c>
      <c r="B81">
        <f>_xlfn.XLOOKUP(A81,'Subbu- Mini Project EXcel Clean'!A81:A1080,'Subbu- Mini Project EXcel Clean'!L81:L1080," ",0)</f>
        <v>131</v>
      </c>
      <c r="C81">
        <f>_xlfn.XLOOKUP(A81,'Subbu- Mini Project EXcel Clean'!A81:A1080,'Subbu- Mini Project EXcel Clean'!K81:K1080," ",0)</f>
        <v>54.5</v>
      </c>
    </row>
    <row r="82" spans="1:3" x14ac:dyDescent="0.25">
      <c r="A82" t="s">
        <v>109</v>
      </c>
      <c r="B82">
        <f>_xlfn.XLOOKUP(A82,'Subbu- Mini Project EXcel Clean'!A82:A1081,'Subbu- Mini Project EXcel Clean'!L82:L1081," ",0)</f>
        <v>194</v>
      </c>
      <c r="C82">
        <f>_xlfn.XLOOKUP(A82,'Subbu- Mini Project EXcel Clean'!A82:A1081,'Subbu- Mini Project EXcel Clean'!K82:K1081," ",0)</f>
        <v>80.7</v>
      </c>
    </row>
    <row r="83" spans="1:3" x14ac:dyDescent="0.25">
      <c r="A83" t="s">
        <v>110</v>
      </c>
      <c r="B83">
        <f>_xlfn.XLOOKUP(A83,'Subbu- Mini Project EXcel Clean'!A83:A1082,'Subbu- Mini Project EXcel Clean'!L83:L1082," ",0)</f>
        <v>204</v>
      </c>
      <c r="C83">
        <f>_xlfn.XLOOKUP(A83,'Subbu- Mini Project EXcel Clean'!A83:A1082,'Subbu- Mini Project EXcel Clean'!K83:K1082," ",0)</f>
        <v>85</v>
      </c>
    </row>
    <row r="84" spans="1:3" x14ac:dyDescent="0.25">
      <c r="A84" t="s">
        <v>111</v>
      </c>
      <c r="B84">
        <f>_xlfn.XLOOKUP(A84,'Subbu- Mini Project EXcel Clean'!A84:A1083,'Subbu- Mini Project EXcel Clean'!L84:L1083," ",0)</f>
        <v>183</v>
      </c>
      <c r="C84">
        <f>_xlfn.XLOOKUP(A84,'Subbu- Mini Project EXcel Clean'!A84:A1083,'Subbu- Mini Project EXcel Clean'!K84:K1083," ",0)</f>
        <v>76.3</v>
      </c>
    </row>
    <row r="85" spans="1:3" x14ac:dyDescent="0.25">
      <c r="A85" t="s">
        <v>112</v>
      </c>
      <c r="B85">
        <f>_xlfn.XLOOKUP(A85,'Subbu- Mini Project EXcel Clean'!A85:A1084,'Subbu- Mini Project EXcel Clean'!L85:L1084," ",0)</f>
        <v>159</v>
      </c>
      <c r="C85">
        <f>_xlfn.XLOOKUP(A85,'Subbu- Mini Project EXcel Clean'!A85:A1084,'Subbu- Mini Project EXcel Clean'!K85:K1084," ",0)</f>
        <v>66.400000000000006</v>
      </c>
    </row>
    <row r="86" spans="1:3" x14ac:dyDescent="0.25">
      <c r="A86" t="s">
        <v>113</v>
      </c>
      <c r="B86">
        <f>_xlfn.XLOOKUP(A86,'Subbu- Mini Project EXcel Clean'!A86:A1085,'Subbu- Mini Project EXcel Clean'!L86:L1085," ",0)</f>
        <v>162</v>
      </c>
      <c r="C86">
        <f>_xlfn.XLOOKUP(A86,'Subbu- Mini Project EXcel Clean'!A86:A1085,'Subbu- Mini Project EXcel Clean'!K86:K1085," ",0)</f>
        <v>67.7</v>
      </c>
    </row>
    <row r="87" spans="1:3" x14ac:dyDescent="0.25">
      <c r="A87" t="s">
        <v>114</v>
      </c>
      <c r="B87">
        <f>_xlfn.XLOOKUP(A87,'Subbu- Mini Project EXcel Clean'!A87:A1086,'Subbu- Mini Project EXcel Clean'!L87:L1086," ",0)</f>
        <v>167</v>
      </c>
      <c r="C87">
        <f>_xlfn.XLOOKUP(A87,'Subbu- Mini Project EXcel Clean'!A87:A1086,'Subbu- Mini Project EXcel Clean'!K87:K1086," ",0)</f>
        <v>69.400000000000006</v>
      </c>
    </row>
    <row r="88" spans="1:3" x14ac:dyDescent="0.25">
      <c r="A88" t="s">
        <v>115</v>
      </c>
      <c r="B88">
        <f>_xlfn.XLOOKUP(A88,'Subbu- Mini Project EXcel Clean'!A88:A1087,'Subbu- Mini Project EXcel Clean'!L88:L1087," ",0)</f>
        <v>191</v>
      </c>
      <c r="C88">
        <f>_xlfn.XLOOKUP(A88,'Subbu- Mini Project EXcel Clean'!A88:A1087,'Subbu- Mini Project EXcel Clean'!K88:K1087," ",0)</f>
        <v>79.400000000000006</v>
      </c>
    </row>
    <row r="89" spans="1:3" x14ac:dyDescent="0.25">
      <c r="A89" t="s">
        <v>116</v>
      </c>
      <c r="B89">
        <f>_xlfn.XLOOKUP(A89,'Subbu- Mini Project EXcel Clean'!A89:A1088,'Subbu- Mini Project EXcel Clean'!L89:L1088," ",0)</f>
        <v>200</v>
      </c>
      <c r="C89">
        <f>_xlfn.XLOOKUP(A89,'Subbu- Mini Project EXcel Clean'!A89:A1088,'Subbu- Mini Project EXcel Clean'!K89:K1088," ",0)</f>
        <v>83.2</v>
      </c>
    </row>
    <row r="90" spans="1:3" x14ac:dyDescent="0.25">
      <c r="A90" t="s">
        <v>117</v>
      </c>
      <c r="B90">
        <f>_xlfn.XLOOKUP(A90,'Subbu- Mini Project EXcel Clean'!A90:A1089,'Subbu- Mini Project EXcel Clean'!L90:L1089," ",0)</f>
        <v>192</v>
      </c>
      <c r="C90">
        <f>_xlfn.XLOOKUP(A90,'Subbu- Mini Project EXcel Clean'!A90:A1089,'Subbu- Mini Project EXcel Clean'!K90:K1089," ",0)</f>
        <v>80</v>
      </c>
    </row>
    <row r="91" spans="1:3" x14ac:dyDescent="0.25">
      <c r="A91" t="s">
        <v>118</v>
      </c>
      <c r="B91">
        <f>_xlfn.XLOOKUP(A91,'Subbu- Mini Project EXcel Clean'!A91:A1090,'Subbu- Mini Project EXcel Clean'!L91:L1090," ",0)</f>
        <v>166</v>
      </c>
      <c r="C91">
        <f>_xlfn.XLOOKUP(A91,'Subbu- Mini Project EXcel Clean'!A91:A1090,'Subbu- Mini Project EXcel Clean'!K91:K1090," ",0)</f>
        <v>69</v>
      </c>
    </row>
    <row r="92" spans="1:3" x14ac:dyDescent="0.25">
      <c r="A92" t="s">
        <v>119</v>
      </c>
      <c r="B92">
        <f>_xlfn.XLOOKUP(A92,'Subbu- Mini Project EXcel Clean'!A92:A1091,'Subbu- Mini Project EXcel Clean'!L92:L1091," ",0)</f>
        <v>164</v>
      </c>
      <c r="C92">
        <f>_xlfn.XLOOKUP(A92,'Subbu- Mini Project EXcel Clean'!A92:A1091,'Subbu- Mini Project EXcel Clean'!K92:K1091," ",0)</f>
        <v>68.3</v>
      </c>
    </row>
    <row r="93" spans="1:3" x14ac:dyDescent="0.25">
      <c r="A93" t="s">
        <v>120</v>
      </c>
      <c r="B93">
        <f>_xlfn.XLOOKUP(A93,'Subbu- Mini Project EXcel Clean'!A93:A1092,'Subbu- Mini Project EXcel Clean'!L93:L1092," ",0)</f>
        <v>191</v>
      </c>
      <c r="C93">
        <f>_xlfn.XLOOKUP(A93,'Subbu- Mini Project EXcel Clean'!A93:A1092,'Subbu- Mini Project EXcel Clean'!K93:K1092," ",0)</f>
        <v>79.400000000000006</v>
      </c>
    </row>
    <row r="94" spans="1:3" x14ac:dyDescent="0.25">
      <c r="A94" t="s">
        <v>121</v>
      </c>
      <c r="B94">
        <f>_xlfn.XLOOKUP(A94,'Subbu- Mini Project EXcel Clean'!A94:A1093,'Subbu- Mini Project EXcel Clean'!L94:L1093," ",0)</f>
        <v>211</v>
      </c>
      <c r="C94">
        <f>_xlfn.XLOOKUP(A94,'Subbu- Mini Project EXcel Clean'!A94:A1093,'Subbu- Mini Project EXcel Clean'!K94:K1093," ",0)</f>
        <v>87.8</v>
      </c>
    </row>
    <row r="95" spans="1:3" x14ac:dyDescent="0.25">
      <c r="A95" t="s">
        <v>122</v>
      </c>
      <c r="B95">
        <f>_xlfn.XLOOKUP(A95,'Subbu- Mini Project EXcel Clean'!A95:A1094,'Subbu- Mini Project EXcel Clean'!L95:L1094," ",0)</f>
        <v>173</v>
      </c>
      <c r="C95">
        <f>_xlfn.XLOOKUP(A95,'Subbu- Mini Project EXcel Clean'!A95:A1094,'Subbu- Mini Project EXcel Clean'!K95:K1094," ",0)</f>
        <v>72.099999999999994</v>
      </c>
    </row>
    <row r="96" spans="1:3" x14ac:dyDescent="0.25">
      <c r="A96" t="s">
        <v>123</v>
      </c>
      <c r="B96">
        <f>_xlfn.XLOOKUP(A96,'Subbu- Mini Project EXcel Clean'!A96:A1095,'Subbu- Mini Project EXcel Clean'!L96:L1095," ",0)</f>
        <v>194</v>
      </c>
      <c r="C96">
        <f>_xlfn.XLOOKUP(A96,'Subbu- Mini Project EXcel Clean'!A96:A1095,'Subbu- Mini Project EXcel Clean'!K96:K1095," ",0)</f>
        <v>80.900000000000006</v>
      </c>
    </row>
    <row r="97" spans="1:3" x14ac:dyDescent="0.25">
      <c r="A97" t="s">
        <v>124</v>
      </c>
      <c r="B97">
        <f>_xlfn.XLOOKUP(A97,'Subbu- Mini Project EXcel Clean'!A97:A1096,'Subbu- Mini Project EXcel Clean'!L97:L1096," ",0)</f>
        <v>166</v>
      </c>
      <c r="C97">
        <f>_xlfn.XLOOKUP(A97,'Subbu- Mini Project EXcel Clean'!A97:A1096,'Subbu- Mini Project EXcel Clean'!K97:K1096," ",0)</f>
        <v>69</v>
      </c>
    </row>
    <row r="98" spans="1:3" x14ac:dyDescent="0.25">
      <c r="A98" t="s">
        <v>125</v>
      </c>
      <c r="B98">
        <f>_xlfn.XLOOKUP(A98,'Subbu- Mini Project EXcel Clean'!A98:A1097,'Subbu- Mini Project EXcel Clean'!L98:L1097," ",0)</f>
        <v>179</v>
      </c>
      <c r="C98">
        <f>_xlfn.XLOOKUP(A98,'Subbu- Mini Project EXcel Clean'!A98:A1097,'Subbu- Mini Project EXcel Clean'!K98:K1097," ",0)</f>
        <v>74.400000000000006</v>
      </c>
    </row>
    <row r="99" spans="1:3" x14ac:dyDescent="0.25">
      <c r="A99" t="s">
        <v>126</v>
      </c>
      <c r="B99">
        <f>_xlfn.XLOOKUP(A99,'Subbu- Mini Project EXcel Clean'!A99:A1098,'Subbu- Mini Project EXcel Clean'!L99:L1098," ",0)</f>
        <v>155</v>
      </c>
      <c r="C99">
        <f>_xlfn.XLOOKUP(A99,'Subbu- Mini Project EXcel Clean'!A99:A1098,'Subbu- Mini Project EXcel Clean'!K99:K1098," ",0)</f>
        <v>64.400000000000006</v>
      </c>
    </row>
    <row r="100" spans="1:3" x14ac:dyDescent="0.25">
      <c r="A100" t="s">
        <v>127</v>
      </c>
      <c r="B100">
        <f>_xlfn.XLOOKUP(A100,'Subbu- Mini Project EXcel Clean'!A100:A1099,'Subbu- Mini Project EXcel Clean'!L100:L1099," ",0)</f>
        <v>140</v>
      </c>
      <c r="C100">
        <f>_xlfn.XLOOKUP(A100,'Subbu- Mini Project EXcel Clean'!A100:A1099,'Subbu- Mini Project EXcel Clean'!K100:K1099," ",0)</f>
        <v>58.3</v>
      </c>
    </row>
    <row r="101" spans="1:3" x14ac:dyDescent="0.25">
      <c r="A101" t="s">
        <v>128</v>
      </c>
      <c r="B101">
        <f>_xlfn.XLOOKUP(A101,'Subbu- Mini Project EXcel Clean'!A101:A1100,'Subbu- Mini Project EXcel Clean'!L101:L1100," ",0)</f>
        <v>134</v>
      </c>
      <c r="C101">
        <f>_xlfn.XLOOKUP(A101,'Subbu- Mini Project EXcel Clean'!A101:A1100,'Subbu- Mini Project EXcel Clean'!K101:K1100," ",0)</f>
        <v>55.8</v>
      </c>
    </row>
    <row r="102" spans="1:3" x14ac:dyDescent="0.25">
      <c r="A102" t="s">
        <v>129</v>
      </c>
      <c r="B102">
        <f>_xlfn.XLOOKUP(A102,'Subbu- Mini Project EXcel Clean'!A102:A1101,'Subbu- Mini Project EXcel Clean'!L102:L1101," ",0)</f>
        <v>154</v>
      </c>
      <c r="C102">
        <f>_xlfn.XLOOKUP(A102,'Subbu- Mini Project EXcel Clean'!A102:A1101,'Subbu- Mini Project EXcel Clean'!K102:K1101," ",0)</f>
        <v>64.3</v>
      </c>
    </row>
    <row r="103" spans="1:3" x14ac:dyDescent="0.25">
      <c r="A103" t="s">
        <v>130</v>
      </c>
      <c r="B103">
        <f>_xlfn.XLOOKUP(A103,'Subbu- Mini Project EXcel Clean'!A103:A1102,'Subbu- Mini Project EXcel Clean'!L103:L1102," ",0)</f>
        <v>195</v>
      </c>
      <c r="C103">
        <f>_xlfn.XLOOKUP(A103,'Subbu- Mini Project EXcel Clean'!A103:A1102,'Subbu- Mini Project EXcel Clean'!K103:K1102," ",0)</f>
        <v>81.099999999999994</v>
      </c>
    </row>
    <row r="104" spans="1:3" x14ac:dyDescent="0.25">
      <c r="A104" t="s">
        <v>131</v>
      </c>
      <c r="B104">
        <f>_xlfn.XLOOKUP(A104,'Subbu- Mini Project EXcel Clean'!A104:A1103,'Subbu- Mini Project EXcel Clean'!L104:L1103," ",0)</f>
        <v>144</v>
      </c>
      <c r="C104">
        <f>_xlfn.XLOOKUP(A104,'Subbu- Mini Project EXcel Clean'!A104:A1103,'Subbu- Mini Project EXcel Clean'!K104:K1103," ",0)</f>
        <v>60</v>
      </c>
    </row>
    <row r="105" spans="1:3" x14ac:dyDescent="0.25">
      <c r="A105" t="s">
        <v>132</v>
      </c>
      <c r="B105">
        <f>_xlfn.XLOOKUP(A105,'Subbu- Mini Project EXcel Clean'!A105:A1104,'Subbu- Mini Project EXcel Clean'!L105:L1104," ",0)</f>
        <v>194</v>
      </c>
      <c r="C105">
        <f>_xlfn.XLOOKUP(A105,'Subbu- Mini Project EXcel Clean'!A105:A1104,'Subbu- Mini Project EXcel Clean'!K105:K1104," ",0)</f>
        <v>80.7</v>
      </c>
    </row>
    <row r="106" spans="1:3" x14ac:dyDescent="0.25">
      <c r="A106" t="s">
        <v>133</v>
      </c>
      <c r="B106">
        <f>_xlfn.XLOOKUP(A106,'Subbu- Mini Project EXcel Clean'!A106:A1105,'Subbu- Mini Project EXcel Clean'!L106:L1105," ",0)</f>
        <v>234</v>
      </c>
      <c r="C106">
        <f>_xlfn.XLOOKUP(A106,'Subbu- Mini Project EXcel Clean'!A106:A1105,'Subbu- Mini Project EXcel Clean'!K106:K1105," ",0)</f>
        <v>97.4</v>
      </c>
    </row>
    <row r="107" spans="1:3" x14ac:dyDescent="0.25">
      <c r="A107" t="s">
        <v>134</v>
      </c>
      <c r="B107">
        <f>_xlfn.XLOOKUP(A107,'Subbu- Mini Project EXcel Clean'!A107:A1106,'Subbu- Mini Project EXcel Clean'!L107:L1106," ",0)</f>
        <v>161</v>
      </c>
      <c r="C107">
        <f>_xlfn.XLOOKUP(A107,'Subbu- Mini Project EXcel Clean'!A107:A1106,'Subbu- Mini Project EXcel Clean'!K107:K1106," ",0)</f>
        <v>67.099999999999994</v>
      </c>
    </row>
    <row r="108" spans="1:3" x14ac:dyDescent="0.25">
      <c r="A108" t="s">
        <v>135</v>
      </c>
      <c r="B108">
        <f>_xlfn.XLOOKUP(A108,'Subbu- Mini Project EXcel Clean'!A108:A1107,'Subbu- Mini Project EXcel Clean'!L108:L1107," ",0)</f>
        <v>163</v>
      </c>
      <c r="C108">
        <f>_xlfn.XLOOKUP(A108,'Subbu- Mini Project EXcel Clean'!A108:A1107,'Subbu- Mini Project EXcel Clean'!K108:K1107," ",0)</f>
        <v>68.099999999999994</v>
      </c>
    </row>
    <row r="109" spans="1:3" x14ac:dyDescent="0.25">
      <c r="A109" t="s">
        <v>136</v>
      </c>
      <c r="B109">
        <f>_xlfn.XLOOKUP(A109,'Subbu- Mini Project EXcel Clean'!A109:A1108,'Subbu- Mini Project EXcel Clean'!L109:L1108," ",0)</f>
        <v>228</v>
      </c>
      <c r="C109">
        <f>_xlfn.XLOOKUP(A109,'Subbu- Mini Project EXcel Clean'!A109:A1108,'Subbu- Mini Project EXcel Clean'!K109:K1108," ",0)</f>
        <v>94.9</v>
      </c>
    </row>
    <row r="110" spans="1:3" x14ac:dyDescent="0.25">
      <c r="A110" t="s">
        <v>137</v>
      </c>
      <c r="B110">
        <f>_xlfn.XLOOKUP(A110,'Subbu- Mini Project EXcel Clean'!A110:A1109,'Subbu- Mini Project EXcel Clean'!L110:L1109," ",0)</f>
        <v>143</v>
      </c>
      <c r="C110">
        <f>_xlfn.XLOOKUP(A110,'Subbu- Mini Project EXcel Clean'!A110:A1109,'Subbu- Mini Project EXcel Clean'!K110:K1109," ",0)</f>
        <v>59.7</v>
      </c>
    </row>
    <row r="111" spans="1:3" x14ac:dyDescent="0.25">
      <c r="A111" t="s">
        <v>138</v>
      </c>
      <c r="B111">
        <f>_xlfn.XLOOKUP(A111,'Subbu- Mini Project EXcel Clean'!A111:A1110,'Subbu- Mini Project EXcel Clean'!L111:L1110," ",0)</f>
        <v>149</v>
      </c>
      <c r="C111">
        <f>_xlfn.XLOOKUP(A111,'Subbu- Mini Project EXcel Clean'!A111:A1110,'Subbu- Mini Project EXcel Clean'!K111:K1110," ",0)</f>
        <v>62.2</v>
      </c>
    </row>
    <row r="112" spans="1:3" x14ac:dyDescent="0.25">
      <c r="A112" t="s">
        <v>139</v>
      </c>
      <c r="B112">
        <f>_xlfn.XLOOKUP(A112,'Subbu- Mini Project EXcel Clean'!A112:A1111,'Subbu- Mini Project EXcel Clean'!L112:L1111," ",0)</f>
        <v>165</v>
      </c>
      <c r="C112">
        <f>_xlfn.XLOOKUP(A112,'Subbu- Mini Project EXcel Clean'!A112:A1111,'Subbu- Mini Project EXcel Clean'!K112:K1111," ",0)</f>
        <v>68.900000000000006</v>
      </c>
    </row>
    <row r="113" spans="1:3" x14ac:dyDescent="0.25">
      <c r="A113" t="s">
        <v>141</v>
      </c>
      <c r="B113">
        <f>_xlfn.XLOOKUP(A113,'Subbu- Mini Project EXcel Clean'!A113:A1112,'Subbu- Mini Project EXcel Clean'!L113:L1112," ",0)</f>
        <v>171</v>
      </c>
      <c r="C113">
        <f>_xlfn.XLOOKUP(A113,'Subbu- Mini Project EXcel Clean'!A113:A1112,'Subbu- Mini Project EXcel Clean'!K113:K1112," ",0)</f>
        <v>71.2</v>
      </c>
    </row>
    <row r="114" spans="1:3" x14ac:dyDescent="0.25">
      <c r="A114" t="s">
        <v>142</v>
      </c>
      <c r="B114">
        <f>_xlfn.XLOOKUP(A114,'Subbu- Mini Project EXcel Clean'!A114:A1113,'Subbu- Mini Project EXcel Clean'!L114:L1113," ",0)</f>
        <v>210</v>
      </c>
      <c r="C114">
        <f>_xlfn.XLOOKUP(A114,'Subbu- Mini Project EXcel Clean'!A114:A1113,'Subbu- Mini Project EXcel Clean'!K114:K1113," ",0)</f>
        <v>87.4</v>
      </c>
    </row>
    <row r="115" spans="1:3" x14ac:dyDescent="0.25">
      <c r="A115" t="s">
        <v>143</v>
      </c>
      <c r="B115">
        <f>_xlfn.XLOOKUP(A115,'Subbu- Mini Project EXcel Clean'!A115:A1114,'Subbu- Mini Project EXcel Clean'!L115:L1114," ",0)</f>
        <v>191</v>
      </c>
      <c r="C115">
        <f>_xlfn.XLOOKUP(A115,'Subbu- Mini Project EXcel Clean'!A115:A1114,'Subbu- Mini Project EXcel Clean'!K115:K1114," ",0)</f>
        <v>79.7</v>
      </c>
    </row>
    <row r="116" spans="1:3" x14ac:dyDescent="0.25">
      <c r="A116" t="s">
        <v>144</v>
      </c>
      <c r="B116">
        <f>_xlfn.XLOOKUP(A116,'Subbu- Mini Project EXcel Clean'!A116:A1115,'Subbu- Mini Project EXcel Clean'!L116:L1115," ",0)</f>
        <v>174</v>
      </c>
      <c r="C116">
        <f>_xlfn.XLOOKUP(A116,'Subbu- Mini Project EXcel Clean'!A116:A1115,'Subbu- Mini Project EXcel Clean'!K116:K1115," ",0)</f>
        <v>72.7</v>
      </c>
    </row>
    <row r="117" spans="1:3" x14ac:dyDescent="0.25">
      <c r="A117" t="s">
        <v>145</v>
      </c>
      <c r="B117">
        <f>_xlfn.XLOOKUP(A117,'Subbu- Mini Project EXcel Clean'!A117:A1116,'Subbu- Mini Project EXcel Clean'!L117:L1116," ",0)</f>
        <v>198</v>
      </c>
      <c r="C117">
        <f>_xlfn.XLOOKUP(A117,'Subbu- Mini Project EXcel Clean'!A117:A1116,'Subbu- Mini Project EXcel Clean'!K117:K1116," ",0)</f>
        <v>82.3</v>
      </c>
    </row>
    <row r="118" spans="1:3" x14ac:dyDescent="0.25">
      <c r="A118" t="s">
        <v>146</v>
      </c>
      <c r="B118">
        <f>_xlfn.XLOOKUP(A118,'Subbu- Mini Project EXcel Clean'!A118:A1117,'Subbu- Mini Project EXcel Clean'!L118:L1117," ",0)</f>
        <v>185</v>
      </c>
      <c r="C118">
        <f>_xlfn.XLOOKUP(A118,'Subbu- Mini Project EXcel Clean'!A118:A1117,'Subbu- Mini Project EXcel Clean'!K118:K1117," ",0)</f>
        <v>77.099999999999994</v>
      </c>
    </row>
    <row r="119" spans="1:3" x14ac:dyDescent="0.25">
      <c r="A119" t="s">
        <v>147</v>
      </c>
      <c r="B119">
        <f>_xlfn.XLOOKUP(A119,'Subbu- Mini Project EXcel Clean'!A119:A1118,'Subbu- Mini Project EXcel Clean'!L119:L1118," ",0)</f>
        <v>157</v>
      </c>
      <c r="C119">
        <f>_xlfn.XLOOKUP(A119,'Subbu- Mini Project EXcel Clean'!A119:A1118,'Subbu- Mini Project EXcel Clean'!K119:K1118," ",0)</f>
        <v>65.400000000000006</v>
      </c>
    </row>
    <row r="120" spans="1:3" x14ac:dyDescent="0.25">
      <c r="A120" t="s">
        <v>148</v>
      </c>
      <c r="B120">
        <f>_xlfn.XLOOKUP(A120,'Subbu- Mini Project EXcel Clean'!A120:A1119,'Subbu- Mini Project EXcel Clean'!L120:L1119," ",0)</f>
        <v>196</v>
      </c>
      <c r="C120">
        <f>_xlfn.XLOOKUP(A120,'Subbu- Mini Project EXcel Clean'!A120:A1119,'Subbu- Mini Project EXcel Clean'!K120:K1119," ",0)</f>
        <v>81.7</v>
      </c>
    </row>
    <row r="121" spans="1:3" x14ac:dyDescent="0.25">
      <c r="A121" t="s">
        <v>149</v>
      </c>
      <c r="B121">
        <f>_xlfn.XLOOKUP(A121,'Subbu- Mini Project EXcel Clean'!A121:A1120,'Subbu- Mini Project EXcel Clean'!L121:L1120," ",0)</f>
        <v>162</v>
      </c>
      <c r="C121">
        <f>_xlfn.XLOOKUP(A121,'Subbu- Mini Project EXcel Clean'!A121:A1120,'Subbu- Mini Project EXcel Clean'!K121:K1120," ",0)</f>
        <v>67.400000000000006</v>
      </c>
    </row>
    <row r="122" spans="1:3" x14ac:dyDescent="0.25">
      <c r="A122" t="s">
        <v>150</v>
      </c>
      <c r="B122">
        <f>_xlfn.XLOOKUP(A122,'Subbu- Mini Project EXcel Clean'!A122:A1121,'Subbu- Mini Project EXcel Clean'!L122:L1121," ",0)</f>
        <v>212</v>
      </c>
      <c r="C122">
        <f>_xlfn.XLOOKUP(A122,'Subbu- Mini Project EXcel Clean'!A122:A1121,'Subbu- Mini Project EXcel Clean'!K122:K1121," ",0)</f>
        <v>88.5</v>
      </c>
    </row>
    <row r="123" spans="1:3" x14ac:dyDescent="0.25">
      <c r="A123" t="s">
        <v>151</v>
      </c>
      <c r="B123">
        <f>_xlfn.XLOOKUP(A123,'Subbu- Mini Project EXcel Clean'!A123:A1122,'Subbu- Mini Project EXcel Clean'!L123:L1122," ",0)</f>
        <v>197</v>
      </c>
      <c r="C123">
        <f>_xlfn.XLOOKUP(A123,'Subbu- Mini Project EXcel Clean'!A123:A1122,'Subbu- Mini Project EXcel Clean'!K123:K1122," ",0)</f>
        <v>82.2</v>
      </c>
    </row>
    <row r="124" spans="1:3" x14ac:dyDescent="0.25">
      <c r="A124" t="s">
        <v>152</v>
      </c>
      <c r="B124">
        <f>_xlfn.XLOOKUP(A124,'Subbu- Mini Project EXcel Clean'!A124:A1123,'Subbu- Mini Project EXcel Clean'!L124:L1123," ",0)</f>
        <v>150</v>
      </c>
      <c r="C124">
        <f>_xlfn.XLOOKUP(A124,'Subbu- Mini Project EXcel Clean'!A124:A1123,'Subbu- Mini Project EXcel Clean'!K124:K1123," ",0)</f>
        <v>62.4</v>
      </c>
    </row>
    <row r="125" spans="1:3" x14ac:dyDescent="0.25">
      <c r="A125" t="s">
        <v>153</v>
      </c>
      <c r="B125">
        <f>_xlfn.XLOOKUP(A125,'Subbu- Mini Project EXcel Clean'!A125:A1124,'Subbu- Mini Project EXcel Clean'!L125:L1124," ",0)</f>
        <v>149</v>
      </c>
      <c r="C125">
        <f>_xlfn.XLOOKUP(A125,'Subbu- Mini Project EXcel Clean'!A125:A1124,'Subbu- Mini Project EXcel Clean'!K125:K1124," ",0)</f>
        <v>62.2</v>
      </c>
    </row>
    <row r="126" spans="1:3" x14ac:dyDescent="0.25">
      <c r="A126" t="s">
        <v>154</v>
      </c>
      <c r="B126">
        <f>_xlfn.XLOOKUP(A126,'Subbu- Mini Project EXcel Clean'!A126:A1125,'Subbu- Mini Project EXcel Clean'!L126:L1125," ",0)</f>
        <v>160</v>
      </c>
      <c r="C126">
        <f>_xlfn.XLOOKUP(A126,'Subbu- Mini Project EXcel Clean'!A126:A1125,'Subbu- Mini Project EXcel Clean'!K126:K1125," ",0)</f>
        <v>66.599999999999994</v>
      </c>
    </row>
    <row r="127" spans="1:3" x14ac:dyDescent="0.25">
      <c r="A127" t="s">
        <v>155</v>
      </c>
      <c r="B127">
        <f>_xlfn.XLOOKUP(A127,'Subbu- Mini Project EXcel Clean'!A127:A1126,'Subbu- Mini Project EXcel Clean'!L127:L1126," ",0)</f>
        <v>151</v>
      </c>
      <c r="C127">
        <f>_xlfn.XLOOKUP(A127,'Subbu- Mini Project EXcel Clean'!A127:A1126,'Subbu- Mini Project EXcel Clean'!K127:K1126," ",0)</f>
        <v>63</v>
      </c>
    </row>
    <row r="128" spans="1:3" x14ac:dyDescent="0.25">
      <c r="A128" t="s">
        <v>156</v>
      </c>
      <c r="B128">
        <f>_xlfn.XLOOKUP(A128,'Subbu- Mini Project EXcel Clean'!A128:A1127,'Subbu- Mini Project EXcel Clean'!L128:L1127," ",0)</f>
        <v>202</v>
      </c>
      <c r="C128">
        <f>_xlfn.XLOOKUP(A128,'Subbu- Mini Project EXcel Clean'!A128:A1127,'Subbu- Mini Project EXcel Clean'!K128:K1127," ",0)</f>
        <v>84.2</v>
      </c>
    </row>
    <row r="129" spans="1:3" x14ac:dyDescent="0.25">
      <c r="A129" t="s">
        <v>157</v>
      </c>
      <c r="B129">
        <f>_xlfn.XLOOKUP(A129,'Subbu- Mini Project EXcel Clean'!A129:A1128,'Subbu- Mini Project EXcel Clean'!L129:L1128," ",0)</f>
        <v>188</v>
      </c>
      <c r="C129">
        <f>_xlfn.XLOOKUP(A129,'Subbu- Mini Project EXcel Clean'!A129:A1128,'Subbu- Mini Project EXcel Clean'!K129:K1128," ",0)</f>
        <v>78.400000000000006</v>
      </c>
    </row>
    <row r="130" spans="1:3" x14ac:dyDescent="0.25">
      <c r="A130" t="s">
        <v>158</v>
      </c>
      <c r="B130">
        <f>_xlfn.XLOOKUP(A130,'Subbu- Mini Project EXcel Clean'!A130:A1129,'Subbu- Mini Project EXcel Clean'!L130:L1129," ",0)</f>
        <v>165</v>
      </c>
      <c r="C130">
        <f>_xlfn.XLOOKUP(A130,'Subbu- Mini Project EXcel Clean'!A130:A1129,'Subbu- Mini Project EXcel Clean'!K130:K1129," ",0)</f>
        <v>68.7</v>
      </c>
    </row>
    <row r="131" spans="1:3" x14ac:dyDescent="0.25">
      <c r="A131" t="s">
        <v>159</v>
      </c>
      <c r="B131">
        <f>_xlfn.XLOOKUP(A131,'Subbu- Mini Project EXcel Clean'!A131:A1130,'Subbu- Mini Project EXcel Clean'!L131:L1130," ",0)</f>
        <v>184</v>
      </c>
      <c r="C131">
        <f>_xlfn.XLOOKUP(A131,'Subbu- Mini Project EXcel Clean'!A131:A1130,'Subbu- Mini Project EXcel Clean'!K131:K1130," ",0)</f>
        <v>76.7</v>
      </c>
    </row>
    <row r="132" spans="1:3" x14ac:dyDescent="0.25">
      <c r="A132" t="s">
        <v>160</v>
      </c>
      <c r="B132">
        <f>_xlfn.XLOOKUP(A132,'Subbu- Mini Project EXcel Clean'!A132:A1131,'Subbu- Mini Project EXcel Clean'!L132:L1131," ",0)</f>
        <v>167</v>
      </c>
      <c r="C132">
        <f>_xlfn.XLOOKUP(A132,'Subbu- Mini Project EXcel Clean'!A132:A1131,'Subbu- Mini Project EXcel Clean'!K132:K1131," ",0)</f>
        <v>69.5</v>
      </c>
    </row>
    <row r="133" spans="1:3" x14ac:dyDescent="0.25">
      <c r="A133" t="s">
        <v>161</v>
      </c>
      <c r="B133">
        <f>_xlfn.XLOOKUP(A133,'Subbu- Mini Project EXcel Clean'!A133:A1132,'Subbu- Mini Project EXcel Clean'!L133:L1132," ",0)</f>
        <v>150</v>
      </c>
      <c r="C133">
        <f>_xlfn.XLOOKUP(A133,'Subbu- Mini Project EXcel Clean'!A133:A1132,'Subbu- Mini Project EXcel Clean'!K133:K1132," ",0)</f>
        <v>62.4</v>
      </c>
    </row>
    <row r="134" spans="1:3" x14ac:dyDescent="0.25">
      <c r="A134" t="s">
        <v>162</v>
      </c>
      <c r="B134">
        <f>_xlfn.XLOOKUP(A134,'Subbu- Mini Project EXcel Clean'!A134:A1133,'Subbu- Mini Project EXcel Clean'!L134:L1133," ",0)</f>
        <v>151</v>
      </c>
      <c r="C134">
        <f>_xlfn.XLOOKUP(A134,'Subbu- Mini Project EXcel Clean'!A134:A1133,'Subbu- Mini Project EXcel Clean'!K134:K1133," ",0)</f>
        <v>62.8</v>
      </c>
    </row>
    <row r="135" spans="1:3" x14ac:dyDescent="0.25">
      <c r="A135" t="s">
        <v>163</v>
      </c>
      <c r="B135">
        <f>_xlfn.XLOOKUP(A135,'Subbu- Mini Project EXcel Clean'!A135:A1134,'Subbu- Mini Project EXcel Clean'!L135:L1134," ",0)</f>
        <v>174</v>
      </c>
      <c r="C135">
        <f>_xlfn.XLOOKUP(A135,'Subbu- Mini Project EXcel Clean'!A135:A1134,'Subbu- Mini Project EXcel Clean'!K135:K1134," ",0)</f>
        <v>72.3</v>
      </c>
    </row>
    <row r="136" spans="1:3" x14ac:dyDescent="0.25">
      <c r="A136" t="s">
        <v>164</v>
      </c>
      <c r="B136">
        <f>_xlfn.XLOOKUP(A136,'Subbu- Mini Project EXcel Clean'!A136:A1135,'Subbu- Mini Project EXcel Clean'!L136:L1135," ",0)</f>
        <v>206</v>
      </c>
      <c r="C136">
        <f>_xlfn.XLOOKUP(A136,'Subbu- Mini Project EXcel Clean'!A136:A1135,'Subbu- Mini Project EXcel Clean'!K136:K1135," ",0)</f>
        <v>85.8</v>
      </c>
    </row>
    <row r="137" spans="1:3" x14ac:dyDescent="0.25">
      <c r="A137" t="s">
        <v>165</v>
      </c>
      <c r="B137">
        <f>_xlfn.XLOOKUP(A137,'Subbu- Mini Project EXcel Clean'!A137:A1136,'Subbu- Mini Project EXcel Clean'!L137:L1136," ",0)</f>
        <v>163</v>
      </c>
      <c r="C137">
        <f>_xlfn.XLOOKUP(A137,'Subbu- Mini Project EXcel Clean'!A137:A1136,'Subbu- Mini Project EXcel Clean'!K137:K1136," ",0)</f>
        <v>67.8</v>
      </c>
    </row>
    <row r="138" spans="1:3" x14ac:dyDescent="0.25">
      <c r="A138" t="s">
        <v>166</v>
      </c>
      <c r="B138">
        <f>_xlfn.XLOOKUP(A138,'Subbu- Mini Project EXcel Clean'!A138:A1137,'Subbu- Mini Project EXcel Clean'!L138:L1137," ",0)</f>
        <v>179</v>
      </c>
      <c r="C138">
        <f>_xlfn.XLOOKUP(A138,'Subbu- Mini Project EXcel Clean'!A138:A1137,'Subbu- Mini Project EXcel Clean'!K138:K1137," ",0)</f>
        <v>74.599999999999994</v>
      </c>
    </row>
    <row r="139" spans="1:3" x14ac:dyDescent="0.25">
      <c r="A139" t="s">
        <v>167</v>
      </c>
      <c r="B139">
        <f>_xlfn.XLOOKUP(A139,'Subbu- Mini Project EXcel Clean'!A139:A1138,'Subbu- Mini Project EXcel Clean'!L139:L1138," ",0)</f>
        <v>183</v>
      </c>
      <c r="C139">
        <f>_xlfn.XLOOKUP(A139,'Subbu- Mini Project EXcel Clean'!A139:A1138,'Subbu- Mini Project EXcel Clean'!K139:K1138," ",0)</f>
        <v>76.3</v>
      </c>
    </row>
    <row r="140" spans="1:3" x14ac:dyDescent="0.25">
      <c r="A140" t="s">
        <v>168</v>
      </c>
      <c r="B140">
        <f>_xlfn.XLOOKUP(A140,'Subbu- Mini Project EXcel Clean'!A140:A1139,'Subbu- Mini Project EXcel Clean'!L140:L1139," ",0)</f>
        <v>164</v>
      </c>
      <c r="C140">
        <f>_xlfn.XLOOKUP(A140,'Subbu- Mini Project EXcel Clean'!A140:A1139,'Subbu- Mini Project EXcel Clean'!K140:K1139," ",0)</f>
        <v>68.3</v>
      </c>
    </row>
    <row r="141" spans="1:3" x14ac:dyDescent="0.25">
      <c r="A141" t="s">
        <v>169</v>
      </c>
      <c r="B141">
        <f>_xlfn.XLOOKUP(A141,'Subbu- Mini Project EXcel Clean'!A141:A1140,'Subbu- Mini Project EXcel Clean'!L141:L1140," ",0)</f>
        <v>183</v>
      </c>
      <c r="C141">
        <f>_xlfn.XLOOKUP(A141,'Subbu- Mini Project EXcel Clean'!A141:A1140,'Subbu- Mini Project EXcel Clean'!K141:K1140," ",0)</f>
        <v>76.3</v>
      </c>
    </row>
    <row r="142" spans="1:3" x14ac:dyDescent="0.25">
      <c r="A142" t="s">
        <v>170</v>
      </c>
      <c r="B142">
        <f>_xlfn.XLOOKUP(A142,'Subbu- Mini Project EXcel Clean'!A142:A1141,'Subbu- Mini Project EXcel Clean'!L142:L1141," ",0)</f>
        <v>219</v>
      </c>
      <c r="C142">
        <f>_xlfn.XLOOKUP(A142,'Subbu- Mini Project EXcel Clean'!A142:A1141,'Subbu- Mini Project EXcel Clean'!K142:K1141," ",0)</f>
        <v>91.3</v>
      </c>
    </row>
    <row r="143" spans="1:3" x14ac:dyDescent="0.25">
      <c r="A143" t="s">
        <v>171</v>
      </c>
      <c r="B143">
        <f>_xlfn.XLOOKUP(A143,'Subbu- Mini Project EXcel Clean'!A143:A1142,'Subbu- Mini Project EXcel Clean'!L143:L1142," ",0)</f>
        <v>164</v>
      </c>
      <c r="C143">
        <f>_xlfn.XLOOKUP(A143,'Subbu- Mini Project EXcel Clean'!A143:A1142,'Subbu- Mini Project EXcel Clean'!K143:K1142," ",0)</f>
        <v>68.400000000000006</v>
      </c>
    </row>
    <row r="144" spans="1:3" x14ac:dyDescent="0.25">
      <c r="A144" t="s">
        <v>172</v>
      </c>
      <c r="B144">
        <f>_xlfn.XLOOKUP(A144,'Subbu- Mini Project EXcel Clean'!A144:A1143,'Subbu- Mini Project EXcel Clean'!L144:L1143," ",0)</f>
        <v>168</v>
      </c>
      <c r="C144">
        <f>_xlfn.XLOOKUP(A144,'Subbu- Mini Project EXcel Clean'!A144:A1143,'Subbu- Mini Project EXcel Clean'!K144:K1143," ",0)</f>
        <v>69.8</v>
      </c>
    </row>
    <row r="145" spans="1:3" x14ac:dyDescent="0.25">
      <c r="A145" t="s">
        <v>173</v>
      </c>
      <c r="B145">
        <f>_xlfn.XLOOKUP(A145,'Subbu- Mini Project EXcel Clean'!A145:A1144,'Subbu- Mini Project EXcel Clean'!L145:L1144," ",0)</f>
        <v>187</v>
      </c>
      <c r="C145">
        <f>_xlfn.XLOOKUP(A145,'Subbu- Mini Project EXcel Clean'!A145:A1144,'Subbu- Mini Project EXcel Clean'!K145:K1144," ",0)</f>
        <v>77.8</v>
      </c>
    </row>
    <row r="146" spans="1:3" x14ac:dyDescent="0.25">
      <c r="A146" t="s">
        <v>174</v>
      </c>
      <c r="B146">
        <f>_xlfn.XLOOKUP(A146,'Subbu- Mini Project EXcel Clean'!A146:A1145,'Subbu- Mini Project EXcel Clean'!L146:L1145," ",0)</f>
        <v>164</v>
      </c>
      <c r="C146">
        <f>_xlfn.XLOOKUP(A146,'Subbu- Mini Project EXcel Clean'!A146:A1145,'Subbu- Mini Project EXcel Clean'!K146:K1145," ",0)</f>
        <v>68.3</v>
      </c>
    </row>
    <row r="147" spans="1:3" x14ac:dyDescent="0.25">
      <c r="A147" t="s">
        <v>175</v>
      </c>
      <c r="B147">
        <f>_xlfn.XLOOKUP(A147,'Subbu- Mini Project EXcel Clean'!A147:A1146,'Subbu- Mini Project EXcel Clean'!L147:L1146," ",0)</f>
        <v>134</v>
      </c>
      <c r="C147">
        <f>_xlfn.XLOOKUP(A147,'Subbu- Mini Project EXcel Clean'!A147:A1146,'Subbu- Mini Project EXcel Clean'!K147:K1146," ",0)</f>
        <v>55.8</v>
      </c>
    </row>
    <row r="148" spans="1:3" x14ac:dyDescent="0.25">
      <c r="A148" t="s">
        <v>176</v>
      </c>
      <c r="B148">
        <f>_xlfn.XLOOKUP(A148,'Subbu- Mini Project EXcel Clean'!A148:A1147,'Subbu- Mini Project EXcel Clean'!L148:L1147," ",0)</f>
        <v>194</v>
      </c>
      <c r="C148">
        <f>_xlfn.XLOOKUP(A148,'Subbu- Mini Project EXcel Clean'!A148:A1147,'Subbu- Mini Project EXcel Clean'!K148:K1147," ",0)</f>
        <v>81</v>
      </c>
    </row>
    <row r="149" spans="1:3" x14ac:dyDescent="0.25">
      <c r="A149" t="s">
        <v>177</v>
      </c>
      <c r="B149">
        <f>_xlfn.XLOOKUP(A149,'Subbu- Mini Project EXcel Clean'!A149:A1148,'Subbu- Mini Project EXcel Clean'!L149:L1148," ",0)</f>
        <v>182</v>
      </c>
      <c r="C149">
        <f>_xlfn.XLOOKUP(A149,'Subbu- Mini Project EXcel Clean'!A149:A1148,'Subbu- Mini Project EXcel Clean'!K149:K1148," ",0)</f>
        <v>75.8</v>
      </c>
    </row>
    <row r="150" spans="1:3" x14ac:dyDescent="0.25">
      <c r="A150" t="s">
        <v>178</v>
      </c>
      <c r="B150">
        <f>_xlfn.XLOOKUP(A150,'Subbu- Mini Project EXcel Clean'!A150:A1149,'Subbu- Mini Project EXcel Clean'!L150:L1149," ",0)</f>
        <v>152</v>
      </c>
      <c r="C150">
        <f>_xlfn.XLOOKUP(A150,'Subbu- Mini Project EXcel Clean'!A150:A1149,'Subbu- Mini Project EXcel Clean'!K150:K1149," ",0)</f>
        <v>63.4</v>
      </c>
    </row>
    <row r="151" spans="1:3" x14ac:dyDescent="0.25">
      <c r="A151" t="s">
        <v>179</v>
      </c>
      <c r="B151">
        <f>_xlfn.XLOOKUP(A151,'Subbu- Mini Project EXcel Clean'!A151:A1150,'Subbu- Mini Project EXcel Clean'!L151:L1150," ",0)</f>
        <v>157</v>
      </c>
      <c r="C151">
        <f>_xlfn.XLOOKUP(A151,'Subbu- Mini Project EXcel Clean'!A151:A1150,'Subbu- Mini Project EXcel Clean'!K151:K1150," ",0)</f>
        <v>65.5</v>
      </c>
    </row>
    <row r="152" spans="1:3" x14ac:dyDescent="0.25">
      <c r="A152" t="s">
        <v>180</v>
      </c>
      <c r="B152">
        <f>_xlfn.XLOOKUP(A152,'Subbu- Mini Project EXcel Clean'!A152:A1151,'Subbu- Mini Project EXcel Clean'!L152:L1151," ",0)</f>
        <v>209</v>
      </c>
      <c r="C152">
        <f>_xlfn.XLOOKUP(A152,'Subbu- Mini Project EXcel Clean'!A152:A1151,'Subbu- Mini Project EXcel Clean'!K152:K1151," ",0)</f>
        <v>87.2</v>
      </c>
    </row>
    <row r="153" spans="1:3" x14ac:dyDescent="0.25">
      <c r="A153" t="s">
        <v>181</v>
      </c>
      <c r="B153">
        <f>_xlfn.XLOOKUP(A153,'Subbu- Mini Project EXcel Clean'!A153:A1152,'Subbu- Mini Project EXcel Clean'!L153:L1152," ",0)</f>
        <v>157</v>
      </c>
      <c r="C153">
        <f>_xlfn.XLOOKUP(A153,'Subbu- Mini Project EXcel Clean'!A153:A1152,'Subbu- Mini Project EXcel Clean'!K153:K1152," ",0)</f>
        <v>65.3</v>
      </c>
    </row>
    <row r="154" spans="1:3" x14ac:dyDescent="0.25">
      <c r="A154" t="s">
        <v>182</v>
      </c>
      <c r="B154">
        <f>_xlfn.XLOOKUP(A154,'Subbu- Mini Project EXcel Clean'!A154:A1153,'Subbu- Mini Project EXcel Clean'!L154:L1153," ",0)</f>
        <v>160</v>
      </c>
      <c r="C154">
        <f>_xlfn.XLOOKUP(A154,'Subbu- Mini Project EXcel Clean'!A154:A1153,'Subbu- Mini Project EXcel Clean'!K154:K1153," ",0)</f>
        <v>66.8</v>
      </c>
    </row>
    <row r="155" spans="1:3" x14ac:dyDescent="0.25">
      <c r="A155" t="s">
        <v>183</v>
      </c>
      <c r="B155">
        <f>_xlfn.XLOOKUP(A155,'Subbu- Mini Project EXcel Clean'!A155:A1154,'Subbu- Mini Project EXcel Clean'!L155:L1154," ",0)</f>
        <v>153</v>
      </c>
      <c r="C155">
        <f>_xlfn.XLOOKUP(A155,'Subbu- Mini Project EXcel Clean'!A155:A1154,'Subbu- Mini Project EXcel Clean'!K155:K1154," ",0)</f>
        <v>63.9</v>
      </c>
    </row>
    <row r="156" spans="1:3" x14ac:dyDescent="0.25">
      <c r="A156" t="s">
        <v>184</v>
      </c>
      <c r="B156">
        <f>_xlfn.XLOOKUP(A156,'Subbu- Mini Project EXcel Clean'!A156:A1155,'Subbu- Mini Project EXcel Clean'!L156:L1155," ",0)</f>
        <v>204</v>
      </c>
      <c r="C156">
        <f>_xlfn.XLOOKUP(A156,'Subbu- Mini Project EXcel Clean'!A156:A1155,'Subbu- Mini Project EXcel Clean'!K156:K1155," ",0)</f>
        <v>84.9</v>
      </c>
    </row>
    <row r="157" spans="1:3" x14ac:dyDescent="0.25">
      <c r="A157" t="s">
        <v>185</v>
      </c>
      <c r="B157">
        <f>_xlfn.XLOOKUP(A157,'Subbu- Mini Project EXcel Clean'!A157:A1156,'Subbu- Mini Project EXcel Clean'!L157:L1156," ",0)</f>
        <v>181</v>
      </c>
      <c r="C157">
        <f>_xlfn.XLOOKUP(A157,'Subbu- Mini Project EXcel Clean'!A157:A1156,'Subbu- Mini Project EXcel Clean'!K157:K1156," ",0)</f>
        <v>75.3</v>
      </c>
    </row>
    <row r="158" spans="1:3" x14ac:dyDescent="0.25">
      <c r="A158" t="s">
        <v>186</v>
      </c>
      <c r="B158">
        <f>_xlfn.XLOOKUP(A158,'Subbu- Mini Project EXcel Clean'!A158:A1157,'Subbu- Mini Project EXcel Clean'!L158:L1157," ",0)</f>
        <v>179</v>
      </c>
      <c r="C158">
        <f>_xlfn.XLOOKUP(A158,'Subbu- Mini Project EXcel Clean'!A158:A1157,'Subbu- Mini Project EXcel Clean'!K158:K1157," ",0)</f>
        <v>74.599999999999994</v>
      </c>
    </row>
    <row r="159" spans="1:3" x14ac:dyDescent="0.25">
      <c r="A159" t="s">
        <v>187</v>
      </c>
      <c r="B159">
        <f>_xlfn.XLOOKUP(A159,'Subbu- Mini Project EXcel Clean'!A159:A1158,'Subbu- Mini Project EXcel Clean'!L159:L1158," ",0)</f>
        <v>187</v>
      </c>
      <c r="C159">
        <f>_xlfn.XLOOKUP(A159,'Subbu- Mini Project EXcel Clean'!A159:A1158,'Subbu- Mini Project EXcel Clean'!K159:K1158," ",0)</f>
        <v>77.900000000000006</v>
      </c>
    </row>
    <row r="160" spans="1:3" x14ac:dyDescent="0.25">
      <c r="A160" t="s">
        <v>188</v>
      </c>
      <c r="B160">
        <f>_xlfn.XLOOKUP(A160,'Subbu- Mini Project EXcel Clean'!A160:A1159,'Subbu- Mini Project EXcel Clean'!L160:L1159," ",0)</f>
        <v>154</v>
      </c>
      <c r="C160">
        <f>_xlfn.XLOOKUP(A160,'Subbu- Mini Project EXcel Clean'!A160:A1159,'Subbu- Mini Project EXcel Clean'!K160:K1159," ",0)</f>
        <v>64.3</v>
      </c>
    </row>
    <row r="161" spans="1:3" x14ac:dyDescent="0.25">
      <c r="A161" t="s">
        <v>189</v>
      </c>
      <c r="B161">
        <f>_xlfn.XLOOKUP(A161,'Subbu- Mini Project EXcel Clean'!A161:A1160,'Subbu- Mini Project EXcel Clean'!L161:L1160," ",0)</f>
        <v>178</v>
      </c>
      <c r="C161">
        <f>_xlfn.XLOOKUP(A161,'Subbu- Mini Project EXcel Clean'!A161:A1160,'Subbu- Mini Project EXcel Clean'!K161:K1160," ",0)</f>
        <v>74</v>
      </c>
    </row>
    <row r="162" spans="1:3" x14ac:dyDescent="0.25">
      <c r="A162" t="s">
        <v>190</v>
      </c>
      <c r="B162">
        <f>_xlfn.XLOOKUP(A162,'Subbu- Mini Project EXcel Clean'!A162:A1161,'Subbu- Mini Project EXcel Clean'!L162:L1161," ",0)</f>
        <v>142</v>
      </c>
      <c r="C162">
        <f>_xlfn.XLOOKUP(A162,'Subbu- Mini Project EXcel Clean'!A162:A1161,'Subbu- Mini Project EXcel Clean'!K162:K1161," ",0)</f>
        <v>59.1</v>
      </c>
    </row>
    <row r="163" spans="1:3" x14ac:dyDescent="0.25">
      <c r="A163" t="s">
        <v>191</v>
      </c>
      <c r="B163">
        <f>_xlfn.XLOOKUP(A163,'Subbu- Mini Project EXcel Clean'!A163:A1162,'Subbu- Mini Project EXcel Clean'!L163:L1162," ",0)</f>
        <v>183</v>
      </c>
      <c r="C163">
        <f>_xlfn.XLOOKUP(A163,'Subbu- Mini Project EXcel Clean'!A163:A1162,'Subbu- Mini Project EXcel Clean'!K163:K1162," ",0)</f>
        <v>76.2</v>
      </c>
    </row>
    <row r="164" spans="1:3" x14ac:dyDescent="0.25">
      <c r="A164" t="s">
        <v>192</v>
      </c>
      <c r="B164">
        <f>_xlfn.XLOOKUP(A164,'Subbu- Mini Project EXcel Clean'!A164:A1163,'Subbu- Mini Project EXcel Clean'!L164:L1163," ",0)</f>
        <v>187</v>
      </c>
      <c r="C164">
        <f>_xlfn.XLOOKUP(A164,'Subbu- Mini Project EXcel Clean'!A164:A1163,'Subbu- Mini Project EXcel Clean'!K164:K1163," ",0)</f>
        <v>78.099999999999994</v>
      </c>
    </row>
    <row r="165" spans="1:3" x14ac:dyDescent="0.25">
      <c r="A165" t="s">
        <v>193</v>
      </c>
      <c r="B165">
        <f>_xlfn.XLOOKUP(A165,'Subbu- Mini Project EXcel Clean'!A165:A1164,'Subbu- Mini Project EXcel Clean'!L165:L1164," ",0)</f>
        <v>179</v>
      </c>
      <c r="C165">
        <f>_xlfn.XLOOKUP(A165,'Subbu- Mini Project EXcel Clean'!A165:A1164,'Subbu- Mini Project EXcel Clean'!K165:K1164," ",0)</f>
        <v>74.5</v>
      </c>
    </row>
    <row r="166" spans="1:3" x14ac:dyDescent="0.25">
      <c r="A166" t="s">
        <v>194</v>
      </c>
      <c r="B166">
        <f>_xlfn.XLOOKUP(A166,'Subbu- Mini Project EXcel Clean'!A166:A1165,'Subbu- Mini Project EXcel Clean'!L166:L1165," ",0)</f>
        <v>148</v>
      </c>
      <c r="C166">
        <f>_xlfn.XLOOKUP(A166,'Subbu- Mini Project EXcel Clean'!A166:A1165,'Subbu- Mini Project EXcel Clean'!K166:K1165," ",0)</f>
        <v>61.8</v>
      </c>
    </row>
    <row r="167" spans="1:3" x14ac:dyDescent="0.25">
      <c r="A167" t="s">
        <v>195</v>
      </c>
      <c r="B167">
        <f>_xlfn.XLOOKUP(A167,'Subbu- Mini Project EXcel Clean'!A167:A1166,'Subbu- Mini Project EXcel Clean'!L167:L1166," ",0)</f>
        <v>200</v>
      </c>
      <c r="C167">
        <f>_xlfn.XLOOKUP(A167,'Subbu- Mini Project EXcel Clean'!A167:A1166,'Subbu- Mini Project EXcel Clean'!K167:K1166," ",0)</f>
        <v>83.2</v>
      </c>
    </row>
    <row r="168" spans="1:3" x14ac:dyDescent="0.25">
      <c r="A168" t="s">
        <v>196</v>
      </c>
      <c r="B168">
        <f>_xlfn.XLOOKUP(A168,'Subbu- Mini Project EXcel Clean'!A168:A1167,'Subbu- Mini Project EXcel Clean'!L168:L1167," ",0)</f>
        <v>177</v>
      </c>
      <c r="C168">
        <f>_xlfn.XLOOKUP(A168,'Subbu- Mini Project EXcel Clean'!A168:A1167,'Subbu- Mini Project EXcel Clean'!K168:K1167," ",0)</f>
        <v>73.900000000000006</v>
      </c>
    </row>
    <row r="169" spans="1:3" x14ac:dyDescent="0.25">
      <c r="A169" t="s">
        <v>197</v>
      </c>
      <c r="B169">
        <f>_xlfn.XLOOKUP(A169,'Subbu- Mini Project EXcel Clean'!A169:A1168,'Subbu- Mini Project EXcel Clean'!L169:L1168," ",0)</f>
        <v>154</v>
      </c>
      <c r="C169">
        <f>_xlfn.XLOOKUP(A169,'Subbu- Mini Project EXcel Clean'!A169:A1168,'Subbu- Mini Project EXcel Clean'!K169:K1168," ",0)</f>
        <v>64.2</v>
      </c>
    </row>
    <row r="170" spans="1:3" x14ac:dyDescent="0.25">
      <c r="A170" t="s">
        <v>198</v>
      </c>
      <c r="B170">
        <f>_xlfn.XLOOKUP(A170,'Subbu- Mini Project EXcel Clean'!A170:A1169,'Subbu- Mini Project EXcel Clean'!L170:L1169," ",0)</f>
        <v>140</v>
      </c>
      <c r="C170">
        <f>_xlfn.XLOOKUP(A170,'Subbu- Mini Project EXcel Clean'!A170:A1169,'Subbu- Mini Project EXcel Clean'!K170:K1169," ",0)</f>
        <v>58.3</v>
      </c>
    </row>
    <row r="171" spans="1:3" x14ac:dyDescent="0.25">
      <c r="A171" t="s">
        <v>199</v>
      </c>
      <c r="B171">
        <f>_xlfn.XLOOKUP(A171,'Subbu- Mini Project EXcel Clean'!A171:A1170,'Subbu- Mini Project EXcel Clean'!L171:L1170," ",0)</f>
        <v>180</v>
      </c>
      <c r="C171">
        <f>_xlfn.XLOOKUP(A171,'Subbu- Mini Project EXcel Clean'!A171:A1170,'Subbu- Mini Project EXcel Clean'!K171:K1170," ",0)</f>
        <v>74.8</v>
      </c>
    </row>
    <row r="172" spans="1:3" x14ac:dyDescent="0.25">
      <c r="A172" t="s">
        <v>200</v>
      </c>
      <c r="B172">
        <f>_xlfn.XLOOKUP(A172,'Subbu- Mini Project EXcel Clean'!A172:A1171,'Subbu- Mini Project EXcel Clean'!L172:L1171," ",0)</f>
        <v>196</v>
      </c>
      <c r="C172">
        <f>_xlfn.XLOOKUP(A172,'Subbu- Mini Project EXcel Clean'!A172:A1171,'Subbu- Mini Project EXcel Clean'!K172:K1171," ",0)</f>
        <v>81.5</v>
      </c>
    </row>
    <row r="173" spans="1:3" x14ac:dyDescent="0.25">
      <c r="A173" t="s">
        <v>201</v>
      </c>
      <c r="B173">
        <f>_xlfn.XLOOKUP(A173,'Subbu- Mini Project EXcel Clean'!A173:A1172,'Subbu- Mini Project EXcel Clean'!L173:L1172," ",0)</f>
        <v>162</v>
      </c>
      <c r="C173">
        <f>_xlfn.XLOOKUP(A173,'Subbu- Mini Project EXcel Clean'!A173:A1172,'Subbu- Mini Project EXcel Clean'!K173:K1172," ",0)</f>
        <v>67.5</v>
      </c>
    </row>
    <row r="174" spans="1:3" x14ac:dyDescent="0.25">
      <c r="A174" t="s">
        <v>202</v>
      </c>
      <c r="B174">
        <f>_xlfn.XLOOKUP(A174,'Subbu- Mini Project EXcel Clean'!A174:A1173,'Subbu- Mini Project EXcel Clean'!L174:L1173," ",0)</f>
        <v>170</v>
      </c>
      <c r="C174">
        <f>_xlfn.XLOOKUP(A174,'Subbu- Mini Project EXcel Clean'!A174:A1173,'Subbu- Mini Project EXcel Clean'!K174:K1173," ",0)</f>
        <v>70.900000000000006</v>
      </c>
    </row>
    <row r="175" spans="1:3" x14ac:dyDescent="0.25">
      <c r="A175" t="s">
        <v>203</v>
      </c>
      <c r="B175">
        <f>_xlfn.XLOOKUP(A175,'Subbu- Mini Project EXcel Clean'!A175:A1174,'Subbu- Mini Project EXcel Clean'!L175:L1174," ",0)</f>
        <v>160</v>
      </c>
      <c r="C175">
        <f>_xlfn.XLOOKUP(A175,'Subbu- Mini Project EXcel Clean'!A175:A1174,'Subbu- Mini Project EXcel Clean'!K175:K1174," ",0)</f>
        <v>66.7</v>
      </c>
    </row>
    <row r="176" spans="1:3" x14ac:dyDescent="0.25">
      <c r="A176" t="s">
        <v>204</v>
      </c>
      <c r="B176">
        <f>_xlfn.XLOOKUP(A176,'Subbu- Mini Project EXcel Clean'!A176:A1175,'Subbu- Mini Project EXcel Clean'!L176:L1175," ",0)</f>
        <v>191</v>
      </c>
      <c r="C176">
        <f>_xlfn.XLOOKUP(A176,'Subbu- Mini Project EXcel Clean'!A176:A1175,'Subbu- Mini Project EXcel Clean'!K176:K1175," ",0)</f>
        <v>79.400000000000006</v>
      </c>
    </row>
    <row r="177" spans="1:3" x14ac:dyDescent="0.25">
      <c r="A177" t="s">
        <v>205</v>
      </c>
      <c r="B177">
        <f>_xlfn.XLOOKUP(A177,'Subbu- Mini Project EXcel Clean'!A177:A1176,'Subbu- Mini Project EXcel Clean'!L177:L1176," ",0)</f>
        <v>144</v>
      </c>
      <c r="C177">
        <f>_xlfn.XLOOKUP(A177,'Subbu- Mini Project EXcel Clean'!A177:A1176,'Subbu- Mini Project EXcel Clean'!K177:K1176," ",0)</f>
        <v>59.8</v>
      </c>
    </row>
    <row r="178" spans="1:3" x14ac:dyDescent="0.25">
      <c r="A178" t="s">
        <v>206</v>
      </c>
      <c r="B178">
        <f>_xlfn.XLOOKUP(A178,'Subbu- Mini Project EXcel Clean'!A178:A1177,'Subbu- Mini Project EXcel Clean'!L178:L1177," ",0)</f>
        <v>190</v>
      </c>
      <c r="C178">
        <f>_xlfn.XLOOKUP(A178,'Subbu- Mini Project EXcel Clean'!A178:A1177,'Subbu- Mini Project EXcel Clean'!K178:K1177," ",0)</f>
        <v>79.099999999999994</v>
      </c>
    </row>
    <row r="179" spans="1:3" x14ac:dyDescent="0.25">
      <c r="A179" t="s">
        <v>207</v>
      </c>
      <c r="B179">
        <f>_xlfn.XLOOKUP(A179,'Subbu- Mini Project EXcel Clean'!A179:A1178,'Subbu- Mini Project EXcel Clean'!L179:L1178," ",0)</f>
        <v>152</v>
      </c>
      <c r="C179">
        <f>_xlfn.XLOOKUP(A179,'Subbu- Mini Project EXcel Clean'!A179:A1178,'Subbu- Mini Project EXcel Clean'!K179:K1178," ",0)</f>
        <v>63.3</v>
      </c>
    </row>
    <row r="180" spans="1:3" x14ac:dyDescent="0.25">
      <c r="A180" t="s">
        <v>208</v>
      </c>
      <c r="B180">
        <f>_xlfn.XLOOKUP(A180,'Subbu- Mini Project EXcel Clean'!A180:A1179,'Subbu- Mini Project EXcel Clean'!L180:L1179," ",0)</f>
        <v>185</v>
      </c>
      <c r="C180">
        <f>_xlfn.XLOOKUP(A180,'Subbu- Mini Project EXcel Clean'!A180:A1179,'Subbu- Mini Project EXcel Clean'!K180:K1179," ",0)</f>
        <v>76.900000000000006</v>
      </c>
    </row>
    <row r="181" spans="1:3" x14ac:dyDescent="0.25">
      <c r="A181" t="s">
        <v>209</v>
      </c>
      <c r="B181">
        <f>_xlfn.XLOOKUP(A181,'Subbu- Mini Project EXcel Clean'!A181:A1180,'Subbu- Mini Project EXcel Clean'!L181:L1180," ",0)</f>
        <v>157</v>
      </c>
      <c r="C181">
        <f>_xlfn.XLOOKUP(A181,'Subbu- Mini Project EXcel Clean'!A181:A1180,'Subbu- Mini Project EXcel Clean'!K181:K1180," ",0)</f>
        <v>65.599999999999994</v>
      </c>
    </row>
    <row r="182" spans="1:3" x14ac:dyDescent="0.25">
      <c r="A182" t="s">
        <v>210</v>
      </c>
      <c r="B182">
        <f>_xlfn.XLOOKUP(A182,'Subbu- Mini Project EXcel Clean'!A182:A1181,'Subbu- Mini Project EXcel Clean'!L182:L1181," ",0)</f>
        <v>162</v>
      </c>
      <c r="C182">
        <f>_xlfn.XLOOKUP(A182,'Subbu- Mini Project EXcel Clean'!A182:A1181,'Subbu- Mini Project EXcel Clean'!K182:K1181," ",0)</f>
        <v>67.5</v>
      </c>
    </row>
    <row r="183" spans="1:3" x14ac:dyDescent="0.25">
      <c r="A183" t="s">
        <v>211</v>
      </c>
      <c r="B183">
        <f>_xlfn.XLOOKUP(A183,'Subbu- Mini Project EXcel Clean'!A183:A1182,'Subbu- Mini Project EXcel Clean'!L183:L1182," ",0)</f>
        <v>154</v>
      </c>
      <c r="C183">
        <f>_xlfn.XLOOKUP(A183,'Subbu- Mini Project EXcel Clean'!A183:A1182,'Subbu- Mini Project EXcel Clean'!K183:K1182," ",0)</f>
        <v>64.099999999999994</v>
      </c>
    </row>
    <row r="184" spans="1:3" x14ac:dyDescent="0.25">
      <c r="A184" t="s">
        <v>212</v>
      </c>
      <c r="B184">
        <f>_xlfn.XLOOKUP(A184,'Subbu- Mini Project EXcel Clean'!A184:A1183,'Subbu- Mini Project EXcel Clean'!L184:L1183," ",0)</f>
        <v>205</v>
      </c>
      <c r="C184">
        <f>_xlfn.XLOOKUP(A184,'Subbu- Mini Project EXcel Clean'!A184:A1183,'Subbu- Mini Project EXcel Clean'!K184:K1183," ",0)</f>
        <v>85.3</v>
      </c>
    </row>
    <row r="185" spans="1:3" x14ac:dyDescent="0.25">
      <c r="A185" t="s">
        <v>213</v>
      </c>
      <c r="B185">
        <f>_xlfn.XLOOKUP(A185,'Subbu- Mini Project EXcel Clean'!A185:A1184,'Subbu- Mini Project EXcel Clean'!L185:L1184," ",0)</f>
        <v>190</v>
      </c>
      <c r="C185">
        <f>_xlfn.XLOOKUP(A185,'Subbu- Mini Project EXcel Clean'!A185:A1184,'Subbu- Mini Project EXcel Clean'!K185:K1184," ",0)</f>
        <v>79.2</v>
      </c>
    </row>
    <row r="186" spans="1:3" x14ac:dyDescent="0.25">
      <c r="A186" t="s">
        <v>214</v>
      </c>
      <c r="B186">
        <f>_xlfn.XLOOKUP(A186,'Subbu- Mini Project EXcel Clean'!A186:A1185,'Subbu- Mini Project EXcel Clean'!L186:L1185," ",0)</f>
        <v>161</v>
      </c>
      <c r="C186">
        <f>_xlfn.XLOOKUP(A186,'Subbu- Mini Project EXcel Clean'!A186:A1185,'Subbu- Mini Project EXcel Clean'!K186:K1185," ",0)</f>
        <v>66.900000000000006</v>
      </c>
    </row>
    <row r="187" spans="1:3" x14ac:dyDescent="0.25">
      <c r="A187" t="s">
        <v>215</v>
      </c>
      <c r="B187">
        <f>_xlfn.XLOOKUP(A187,'Subbu- Mini Project EXcel Clean'!A187:A1186,'Subbu- Mini Project EXcel Clean'!L187:L1186," ",0)</f>
        <v>173</v>
      </c>
      <c r="C187">
        <f>_xlfn.XLOOKUP(A187,'Subbu- Mini Project EXcel Clean'!A187:A1186,'Subbu- Mini Project EXcel Clean'!K187:K1186," ",0)</f>
        <v>72</v>
      </c>
    </row>
    <row r="188" spans="1:3" x14ac:dyDescent="0.25">
      <c r="A188" t="s">
        <v>216</v>
      </c>
      <c r="B188">
        <f>_xlfn.XLOOKUP(A188,'Subbu- Mini Project EXcel Clean'!A188:A1187,'Subbu- Mini Project EXcel Clean'!L188:L1187," ",0)</f>
        <v>215</v>
      </c>
      <c r="C188">
        <f>_xlfn.XLOOKUP(A188,'Subbu- Mini Project EXcel Clean'!A188:A1187,'Subbu- Mini Project EXcel Clean'!K188:K1187," ",0)</f>
        <v>89.4</v>
      </c>
    </row>
    <row r="189" spans="1:3" x14ac:dyDescent="0.25">
      <c r="A189" t="s">
        <v>217</v>
      </c>
      <c r="B189">
        <f>_xlfn.XLOOKUP(A189,'Subbu- Mini Project EXcel Clean'!A189:A1188,'Subbu- Mini Project EXcel Clean'!L189:L1188," ",0)</f>
        <v>164</v>
      </c>
      <c r="C189">
        <f>_xlfn.XLOOKUP(A189,'Subbu- Mini Project EXcel Clean'!A189:A1188,'Subbu- Mini Project EXcel Clean'!K189:K1188," ",0)</f>
        <v>68.5</v>
      </c>
    </row>
    <row r="190" spans="1:3" x14ac:dyDescent="0.25">
      <c r="A190" t="s">
        <v>218</v>
      </c>
      <c r="B190">
        <f>_xlfn.XLOOKUP(A190,'Subbu- Mini Project EXcel Clean'!A190:A1189,'Subbu- Mini Project EXcel Clean'!L190:L1189," ",0)</f>
        <v>177</v>
      </c>
      <c r="C190">
        <f>_xlfn.XLOOKUP(A190,'Subbu- Mini Project EXcel Clean'!A190:A1189,'Subbu- Mini Project EXcel Clean'!K190:K1189," ",0)</f>
        <v>73.599999999999994</v>
      </c>
    </row>
    <row r="191" spans="1:3" x14ac:dyDescent="0.25">
      <c r="A191" t="s">
        <v>219</v>
      </c>
      <c r="B191">
        <f>_xlfn.XLOOKUP(A191,'Subbu- Mini Project EXcel Clean'!A191:A1190,'Subbu- Mini Project EXcel Clean'!L191:L1190," ",0)</f>
        <v>147</v>
      </c>
      <c r="C191">
        <f>_xlfn.XLOOKUP(A191,'Subbu- Mini Project EXcel Clean'!A191:A1190,'Subbu- Mini Project EXcel Clean'!K191:K1190," ",0)</f>
        <v>61.4</v>
      </c>
    </row>
    <row r="192" spans="1:3" x14ac:dyDescent="0.25">
      <c r="A192" t="s">
        <v>220</v>
      </c>
      <c r="B192">
        <f>_xlfn.XLOOKUP(A192,'Subbu- Mini Project EXcel Clean'!A192:A1191,'Subbu- Mini Project EXcel Clean'!L192:L1191," ",0)</f>
        <v>157</v>
      </c>
      <c r="C192">
        <f>_xlfn.XLOOKUP(A192,'Subbu- Mini Project EXcel Clean'!A192:A1191,'Subbu- Mini Project EXcel Clean'!K192:K1191," ",0)</f>
        <v>65.400000000000006</v>
      </c>
    </row>
    <row r="193" spans="1:3" x14ac:dyDescent="0.25">
      <c r="A193" t="s">
        <v>221</v>
      </c>
      <c r="B193">
        <f>_xlfn.XLOOKUP(A193,'Subbu- Mini Project EXcel Clean'!A193:A1192,'Subbu- Mini Project EXcel Clean'!L193:L1192," ",0)</f>
        <v>199</v>
      </c>
      <c r="C193">
        <f>_xlfn.XLOOKUP(A193,'Subbu- Mini Project EXcel Clean'!A193:A1192,'Subbu- Mini Project EXcel Clean'!K193:K1192," ",0)</f>
        <v>83</v>
      </c>
    </row>
    <row r="194" spans="1:3" x14ac:dyDescent="0.25">
      <c r="A194" t="s">
        <v>222</v>
      </c>
      <c r="B194">
        <f>_xlfn.XLOOKUP(A194,'Subbu- Mini Project EXcel Clean'!A194:A1193,'Subbu- Mini Project EXcel Clean'!L194:L1193," ",0)</f>
        <v>197</v>
      </c>
      <c r="C194">
        <f>_xlfn.XLOOKUP(A194,'Subbu- Mini Project EXcel Clean'!A194:A1193,'Subbu- Mini Project EXcel Clean'!K194:K1193," ",0)</f>
        <v>82.2</v>
      </c>
    </row>
    <row r="195" spans="1:3" x14ac:dyDescent="0.25">
      <c r="A195" t="s">
        <v>223</v>
      </c>
      <c r="B195">
        <f>_xlfn.XLOOKUP(A195,'Subbu- Mini Project EXcel Clean'!A195:A1194,'Subbu- Mini Project EXcel Clean'!L195:L1194," ",0)</f>
        <v>196</v>
      </c>
      <c r="C195">
        <f>_xlfn.XLOOKUP(A195,'Subbu- Mini Project EXcel Clean'!A195:A1194,'Subbu- Mini Project EXcel Clean'!K195:K1194," ",0)</f>
        <v>81.7</v>
      </c>
    </row>
    <row r="196" spans="1:3" x14ac:dyDescent="0.25">
      <c r="A196" t="s">
        <v>224</v>
      </c>
      <c r="B196">
        <f>_xlfn.XLOOKUP(A196,'Subbu- Mini Project EXcel Clean'!A196:A1195,'Subbu- Mini Project EXcel Clean'!L196:L1195," ",0)</f>
        <v>167</v>
      </c>
      <c r="C196">
        <f>_xlfn.XLOOKUP(A196,'Subbu- Mini Project EXcel Clean'!A196:A1195,'Subbu- Mini Project EXcel Clean'!K196:K1195," ",0)</f>
        <v>69.5</v>
      </c>
    </row>
    <row r="197" spans="1:3" x14ac:dyDescent="0.25">
      <c r="A197" t="s">
        <v>225</v>
      </c>
      <c r="B197">
        <f>_xlfn.XLOOKUP(A197,'Subbu- Mini Project EXcel Clean'!A197:A1196,'Subbu- Mini Project EXcel Clean'!L197:L1196," ",0)</f>
        <v>173</v>
      </c>
      <c r="C197">
        <f>_xlfn.XLOOKUP(A197,'Subbu- Mini Project EXcel Clean'!A197:A1196,'Subbu- Mini Project EXcel Clean'!K197:K1196," ",0)</f>
        <v>72.2</v>
      </c>
    </row>
    <row r="198" spans="1:3" x14ac:dyDescent="0.25">
      <c r="A198" t="s">
        <v>226</v>
      </c>
      <c r="B198">
        <f>_xlfn.XLOOKUP(A198,'Subbu- Mini Project EXcel Clean'!A198:A1197,'Subbu- Mini Project EXcel Clean'!L198:L1197," ",0)</f>
        <v>180</v>
      </c>
      <c r="C198">
        <f>_xlfn.XLOOKUP(A198,'Subbu- Mini Project EXcel Clean'!A198:A1197,'Subbu- Mini Project EXcel Clean'!K198:K1197," ",0)</f>
        <v>75.099999999999994</v>
      </c>
    </row>
    <row r="199" spans="1:3" x14ac:dyDescent="0.25">
      <c r="A199" t="s">
        <v>227</v>
      </c>
      <c r="B199">
        <f>_xlfn.XLOOKUP(A199,'Subbu- Mini Project EXcel Clean'!A199:A1198,'Subbu- Mini Project EXcel Clean'!L199:L1198," ",0)</f>
        <v>186</v>
      </c>
      <c r="C199">
        <f>_xlfn.XLOOKUP(A199,'Subbu- Mini Project EXcel Clean'!A199:A1198,'Subbu- Mini Project EXcel Clean'!K199:K1198," ",0)</f>
        <v>77.599999999999994</v>
      </c>
    </row>
    <row r="200" spans="1:3" x14ac:dyDescent="0.25">
      <c r="A200" t="s">
        <v>228</v>
      </c>
      <c r="B200">
        <f>_xlfn.XLOOKUP(A200,'Subbu- Mini Project EXcel Clean'!A200:A1199,'Subbu- Mini Project EXcel Clean'!L200:L1199," ",0)</f>
        <v>204</v>
      </c>
      <c r="C200">
        <f>_xlfn.XLOOKUP(A200,'Subbu- Mini Project EXcel Clean'!A200:A1199,'Subbu- Mini Project EXcel Clean'!K200:K1199," ",0)</f>
        <v>84.9</v>
      </c>
    </row>
    <row r="201" spans="1:3" x14ac:dyDescent="0.25">
      <c r="A201" t="s">
        <v>229</v>
      </c>
      <c r="B201">
        <f>_xlfn.XLOOKUP(A201,'Subbu- Mini Project EXcel Clean'!A201:A1200,'Subbu- Mini Project EXcel Clean'!L201:L1200," ",0)</f>
        <v>192</v>
      </c>
      <c r="C201">
        <f>_xlfn.XLOOKUP(A201,'Subbu- Mini Project EXcel Clean'!A201:A1200,'Subbu- Mini Project EXcel Clean'!K201:K1200," ",0)</f>
        <v>79.900000000000006</v>
      </c>
    </row>
    <row r="202" spans="1:3" x14ac:dyDescent="0.25">
      <c r="A202" t="s">
        <v>230</v>
      </c>
      <c r="B202">
        <f>_xlfn.XLOOKUP(A202,'Subbu- Mini Project EXcel Clean'!A202:A1201,'Subbu- Mini Project EXcel Clean'!L202:L1201," ",0)</f>
        <v>194</v>
      </c>
      <c r="C202">
        <f>_xlfn.XLOOKUP(A202,'Subbu- Mini Project EXcel Clean'!A202:A1201,'Subbu- Mini Project EXcel Clean'!K202:K1201," ",0)</f>
        <v>80.8</v>
      </c>
    </row>
    <row r="203" spans="1:3" x14ac:dyDescent="0.25">
      <c r="A203" t="s">
        <v>231</v>
      </c>
      <c r="B203">
        <f>_xlfn.XLOOKUP(A203,'Subbu- Mini Project EXcel Clean'!A203:A1202,'Subbu- Mini Project EXcel Clean'!L203:L1202," ",0)</f>
        <v>149</v>
      </c>
      <c r="C203">
        <f>_xlfn.XLOOKUP(A203,'Subbu- Mini Project EXcel Clean'!A203:A1202,'Subbu- Mini Project EXcel Clean'!K203:K1202," ",0)</f>
        <v>61.9</v>
      </c>
    </row>
    <row r="204" spans="1:3" x14ac:dyDescent="0.25">
      <c r="A204" t="s">
        <v>232</v>
      </c>
      <c r="B204">
        <f>_xlfn.XLOOKUP(A204,'Subbu- Mini Project EXcel Clean'!A204:A1203,'Subbu- Mini Project EXcel Clean'!L204:L1203," ",0)</f>
        <v>157</v>
      </c>
      <c r="C204">
        <f>_xlfn.XLOOKUP(A204,'Subbu- Mini Project EXcel Clean'!A204:A1203,'Subbu- Mini Project EXcel Clean'!K204:K1203," ",0)</f>
        <v>65.5</v>
      </c>
    </row>
    <row r="205" spans="1:3" x14ac:dyDescent="0.25">
      <c r="A205" t="s">
        <v>233</v>
      </c>
      <c r="B205">
        <f>_xlfn.XLOOKUP(A205,'Subbu- Mini Project EXcel Clean'!A205:A1204,'Subbu- Mini Project EXcel Clean'!L205:L1204," ",0)</f>
        <v>184</v>
      </c>
      <c r="C205">
        <f>_xlfn.XLOOKUP(A205,'Subbu- Mini Project EXcel Clean'!A205:A1204,'Subbu- Mini Project EXcel Clean'!K205:K1204," ",0)</f>
        <v>76.599999999999994</v>
      </c>
    </row>
    <row r="206" spans="1:3" x14ac:dyDescent="0.25">
      <c r="A206" t="s">
        <v>234</v>
      </c>
      <c r="B206">
        <f>_xlfn.XLOOKUP(A206,'Subbu- Mini Project EXcel Clean'!A206:A1205,'Subbu- Mini Project EXcel Clean'!L206:L1205," ",0)</f>
        <v>207</v>
      </c>
      <c r="C206">
        <f>_xlfn.XLOOKUP(A206,'Subbu- Mini Project EXcel Clean'!A206:A1205,'Subbu- Mini Project EXcel Clean'!K206:K1205," ",0)</f>
        <v>86.1</v>
      </c>
    </row>
    <row r="207" spans="1:3" x14ac:dyDescent="0.25">
      <c r="A207" t="s">
        <v>235</v>
      </c>
      <c r="B207">
        <f>_xlfn.XLOOKUP(A207,'Subbu- Mini Project EXcel Clean'!A207:A1206,'Subbu- Mini Project EXcel Clean'!L207:L1206," ",0)</f>
        <v>143</v>
      </c>
      <c r="C207">
        <f>_xlfn.XLOOKUP(A207,'Subbu- Mini Project EXcel Clean'!A207:A1206,'Subbu- Mini Project EXcel Clean'!K207:K1206," ",0)</f>
        <v>59.4</v>
      </c>
    </row>
    <row r="208" spans="1:3" x14ac:dyDescent="0.25">
      <c r="A208" t="s">
        <v>236</v>
      </c>
      <c r="B208">
        <f>_xlfn.XLOOKUP(A208,'Subbu- Mini Project EXcel Clean'!A208:A1207,'Subbu- Mini Project EXcel Clean'!L208:L1207," ",0)</f>
        <v>159</v>
      </c>
      <c r="C208">
        <f>_xlfn.XLOOKUP(A208,'Subbu- Mini Project EXcel Clean'!A208:A1207,'Subbu- Mini Project EXcel Clean'!K208:K1207," ",0)</f>
        <v>66.3</v>
      </c>
    </row>
    <row r="209" spans="1:3" x14ac:dyDescent="0.25">
      <c r="A209" t="s">
        <v>237</v>
      </c>
      <c r="B209">
        <f>_xlfn.XLOOKUP(A209,'Subbu- Mini Project EXcel Clean'!A209:A1208,'Subbu- Mini Project EXcel Clean'!L209:L1208," ",0)</f>
        <v>178</v>
      </c>
      <c r="C209">
        <f>_xlfn.XLOOKUP(A209,'Subbu- Mini Project EXcel Clean'!A209:A1208,'Subbu- Mini Project EXcel Clean'!K209:K1208," ",0)</f>
        <v>74.099999999999994</v>
      </c>
    </row>
    <row r="210" spans="1:3" x14ac:dyDescent="0.25">
      <c r="A210" t="s">
        <v>238</v>
      </c>
      <c r="B210">
        <f>_xlfn.XLOOKUP(A210,'Subbu- Mini Project EXcel Clean'!A210:A1209,'Subbu- Mini Project EXcel Clean'!L210:L1209," ",0)</f>
        <v>148</v>
      </c>
      <c r="C210">
        <f>_xlfn.XLOOKUP(A210,'Subbu- Mini Project EXcel Clean'!A210:A1209,'Subbu- Mini Project EXcel Clean'!K210:K1209," ",0)</f>
        <v>61.7</v>
      </c>
    </row>
    <row r="211" spans="1:3" x14ac:dyDescent="0.25">
      <c r="A211" t="s">
        <v>239</v>
      </c>
      <c r="B211">
        <f>_xlfn.XLOOKUP(A211,'Subbu- Mini Project EXcel Clean'!A211:A1210,'Subbu- Mini Project EXcel Clean'!L211:L1210," ",0)</f>
        <v>139</v>
      </c>
      <c r="C211">
        <f>_xlfn.XLOOKUP(A211,'Subbu- Mini Project EXcel Clean'!A211:A1210,'Subbu- Mini Project EXcel Clean'!K211:K1210," ",0)</f>
        <v>57.9</v>
      </c>
    </row>
    <row r="212" spans="1:3" x14ac:dyDescent="0.25">
      <c r="A212" t="s">
        <v>240</v>
      </c>
      <c r="B212">
        <f>_xlfn.XLOOKUP(A212,'Subbu- Mini Project EXcel Clean'!A212:A1211,'Subbu- Mini Project EXcel Clean'!L212:L1211," ",0)</f>
        <v>186</v>
      </c>
      <c r="C212">
        <f>_xlfn.XLOOKUP(A212,'Subbu- Mini Project EXcel Clean'!A212:A1211,'Subbu- Mini Project EXcel Clean'!K212:K1211," ",0)</f>
        <v>77.400000000000006</v>
      </c>
    </row>
    <row r="213" spans="1:3" x14ac:dyDescent="0.25">
      <c r="A213" t="s">
        <v>241</v>
      </c>
      <c r="B213">
        <f>_xlfn.XLOOKUP(A213,'Subbu- Mini Project EXcel Clean'!A213:A1212,'Subbu- Mini Project EXcel Clean'!L213:L1212," ",0)</f>
        <v>185</v>
      </c>
      <c r="C213">
        <f>_xlfn.XLOOKUP(A213,'Subbu- Mini Project EXcel Clean'!A213:A1212,'Subbu- Mini Project EXcel Clean'!K213:K1212," ",0)</f>
        <v>77.2</v>
      </c>
    </row>
    <row r="214" spans="1:3" x14ac:dyDescent="0.25">
      <c r="A214" t="s">
        <v>242</v>
      </c>
      <c r="B214">
        <f>_xlfn.XLOOKUP(A214,'Subbu- Mini Project EXcel Clean'!A214:A1213,'Subbu- Mini Project EXcel Clean'!L214:L1213," ",0)</f>
        <v>187</v>
      </c>
      <c r="C214">
        <f>_xlfn.XLOOKUP(A214,'Subbu- Mini Project EXcel Clean'!A214:A1213,'Subbu- Mini Project EXcel Clean'!K214:K1213," ",0)</f>
        <v>78.099999999999994</v>
      </c>
    </row>
    <row r="215" spans="1:3" x14ac:dyDescent="0.25">
      <c r="A215" t="s">
        <v>243</v>
      </c>
      <c r="B215">
        <f>_xlfn.XLOOKUP(A215,'Subbu- Mini Project EXcel Clean'!A215:A1214,'Subbu- Mini Project EXcel Clean'!L215:L1214," ",0)</f>
        <v>167</v>
      </c>
      <c r="C215">
        <f>_xlfn.XLOOKUP(A215,'Subbu- Mini Project EXcel Clean'!A215:A1214,'Subbu- Mini Project EXcel Clean'!K215:K1214," ",0)</f>
        <v>69.7</v>
      </c>
    </row>
    <row r="216" spans="1:3" x14ac:dyDescent="0.25">
      <c r="A216" t="s">
        <v>244</v>
      </c>
      <c r="B216">
        <f>_xlfn.XLOOKUP(A216,'Subbu- Mini Project EXcel Clean'!A216:A1215,'Subbu- Mini Project EXcel Clean'!L216:L1215," ",0)</f>
        <v>176</v>
      </c>
      <c r="C216">
        <f>_xlfn.XLOOKUP(A216,'Subbu- Mini Project EXcel Clean'!A216:A1215,'Subbu- Mini Project EXcel Clean'!K216:K1215," ",0)</f>
        <v>73.400000000000006</v>
      </c>
    </row>
    <row r="217" spans="1:3" x14ac:dyDescent="0.25">
      <c r="A217" t="s">
        <v>245</v>
      </c>
      <c r="B217">
        <f>_xlfn.XLOOKUP(A217,'Subbu- Mini Project EXcel Clean'!A217:A1216,'Subbu- Mini Project EXcel Clean'!L217:L1216," ",0)</f>
        <v>151</v>
      </c>
      <c r="C217">
        <f>_xlfn.XLOOKUP(A217,'Subbu- Mini Project EXcel Clean'!A217:A1216,'Subbu- Mini Project EXcel Clean'!K217:K1216," ",0)</f>
        <v>63.1</v>
      </c>
    </row>
    <row r="218" spans="1:3" x14ac:dyDescent="0.25">
      <c r="A218" t="s">
        <v>246</v>
      </c>
      <c r="B218">
        <f>_xlfn.XLOOKUP(A218,'Subbu- Mini Project EXcel Clean'!A218:A1217,'Subbu- Mini Project EXcel Clean'!L218:L1217," ",0)</f>
        <v>171</v>
      </c>
      <c r="C218">
        <f>_xlfn.XLOOKUP(A218,'Subbu- Mini Project EXcel Clean'!A218:A1217,'Subbu- Mini Project EXcel Clean'!K218:K1217," ",0)</f>
        <v>71.2</v>
      </c>
    </row>
    <row r="219" spans="1:3" x14ac:dyDescent="0.25">
      <c r="A219" t="s">
        <v>247</v>
      </c>
      <c r="B219">
        <f>_xlfn.XLOOKUP(A219,'Subbu- Mini Project EXcel Clean'!A219:A1218,'Subbu- Mini Project EXcel Clean'!L219:L1218," ",0)</f>
        <v>218</v>
      </c>
      <c r="C219">
        <f>_xlfn.XLOOKUP(A219,'Subbu- Mini Project EXcel Clean'!A219:A1218,'Subbu- Mini Project EXcel Clean'!K219:K1218," ",0)</f>
        <v>91</v>
      </c>
    </row>
    <row r="220" spans="1:3" x14ac:dyDescent="0.25">
      <c r="A220" t="s">
        <v>248</v>
      </c>
      <c r="B220">
        <f>_xlfn.XLOOKUP(A220,'Subbu- Mini Project EXcel Clean'!A220:A1219,'Subbu- Mini Project EXcel Clean'!L220:L1219," ",0)</f>
        <v>185</v>
      </c>
      <c r="C220">
        <f>_xlfn.XLOOKUP(A220,'Subbu- Mini Project EXcel Clean'!A220:A1219,'Subbu- Mini Project EXcel Clean'!K220:K1219," ",0)</f>
        <v>77.2</v>
      </c>
    </row>
    <row r="221" spans="1:3" x14ac:dyDescent="0.25">
      <c r="A221" t="s">
        <v>249</v>
      </c>
      <c r="B221">
        <f>_xlfn.XLOOKUP(A221,'Subbu- Mini Project EXcel Clean'!A221:A1220,'Subbu- Mini Project EXcel Clean'!L221:L1220," ",0)</f>
        <v>207</v>
      </c>
      <c r="C221">
        <f>_xlfn.XLOOKUP(A221,'Subbu- Mini Project EXcel Clean'!A221:A1220,'Subbu- Mini Project EXcel Clean'!K221:K1220," ",0)</f>
        <v>86.3</v>
      </c>
    </row>
    <row r="222" spans="1:3" x14ac:dyDescent="0.25">
      <c r="A222" t="s">
        <v>250</v>
      </c>
      <c r="B222">
        <f>_xlfn.XLOOKUP(A222,'Subbu- Mini Project EXcel Clean'!A222:A1221,'Subbu- Mini Project EXcel Clean'!L222:L1221," ",0)</f>
        <v>186</v>
      </c>
      <c r="C222">
        <f>_xlfn.XLOOKUP(A222,'Subbu- Mini Project EXcel Clean'!A222:A1221,'Subbu- Mini Project EXcel Clean'!K222:K1221," ",0)</f>
        <v>77.5</v>
      </c>
    </row>
    <row r="223" spans="1:3" x14ac:dyDescent="0.25">
      <c r="A223" t="s">
        <v>251</v>
      </c>
      <c r="B223">
        <f>_xlfn.XLOOKUP(A223,'Subbu- Mini Project EXcel Clean'!A223:A1222,'Subbu- Mini Project EXcel Clean'!L223:L1222," ",0)</f>
        <v>205</v>
      </c>
      <c r="C223">
        <f>_xlfn.XLOOKUP(A223,'Subbu- Mini Project EXcel Clean'!A223:A1222,'Subbu- Mini Project EXcel Clean'!K223:K1222," ",0)</f>
        <v>85.3</v>
      </c>
    </row>
    <row r="224" spans="1:3" x14ac:dyDescent="0.25">
      <c r="A224" t="s">
        <v>252</v>
      </c>
      <c r="B224">
        <f>_xlfn.XLOOKUP(A224,'Subbu- Mini Project EXcel Clean'!A224:A1223,'Subbu- Mini Project EXcel Clean'!L224:L1223," ",0)</f>
        <v>129</v>
      </c>
      <c r="C224">
        <f>_xlfn.XLOOKUP(A224,'Subbu- Mini Project EXcel Clean'!A224:A1223,'Subbu- Mini Project EXcel Clean'!K224:K1223," ",0)</f>
        <v>53.8</v>
      </c>
    </row>
    <row r="225" spans="1:3" x14ac:dyDescent="0.25">
      <c r="A225" t="s">
        <v>253</v>
      </c>
      <c r="B225">
        <f>_xlfn.XLOOKUP(A225,'Subbu- Mini Project EXcel Clean'!A225:A1224,'Subbu- Mini Project EXcel Clean'!L225:L1224," ",0)</f>
        <v>169</v>
      </c>
      <c r="C225">
        <f>_xlfn.XLOOKUP(A225,'Subbu- Mini Project EXcel Clean'!A225:A1224,'Subbu- Mini Project EXcel Clean'!K225:K1224," ",0)</f>
        <v>70.599999999999994</v>
      </c>
    </row>
    <row r="226" spans="1:3" x14ac:dyDescent="0.25">
      <c r="A226" t="s">
        <v>254</v>
      </c>
      <c r="B226">
        <f>_xlfn.XLOOKUP(A226,'Subbu- Mini Project EXcel Clean'!A226:A1225,'Subbu- Mini Project EXcel Clean'!L226:L1225," ",0)</f>
        <v>142</v>
      </c>
      <c r="C226">
        <f>_xlfn.XLOOKUP(A226,'Subbu- Mini Project EXcel Clean'!A226:A1225,'Subbu- Mini Project EXcel Clean'!K226:K1225," ",0)</f>
        <v>59.2</v>
      </c>
    </row>
    <row r="227" spans="1:3" x14ac:dyDescent="0.25">
      <c r="A227" t="s">
        <v>255</v>
      </c>
      <c r="B227">
        <f>_xlfn.XLOOKUP(A227,'Subbu- Mini Project EXcel Clean'!A227:A1226,'Subbu- Mini Project EXcel Clean'!L227:L1226," ",0)</f>
        <v>130</v>
      </c>
      <c r="C227">
        <f>_xlfn.XLOOKUP(A227,'Subbu- Mini Project EXcel Clean'!A227:A1226,'Subbu- Mini Project EXcel Clean'!K227:K1226," ",0)</f>
        <v>54.2</v>
      </c>
    </row>
    <row r="228" spans="1:3" x14ac:dyDescent="0.25">
      <c r="A228" t="s">
        <v>256</v>
      </c>
      <c r="B228">
        <f>_xlfn.XLOOKUP(A228,'Subbu- Mini Project EXcel Clean'!A228:A1227,'Subbu- Mini Project EXcel Clean'!L228:L1227," ",0)</f>
        <v>212</v>
      </c>
      <c r="C228">
        <f>_xlfn.XLOOKUP(A228,'Subbu- Mini Project EXcel Clean'!A228:A1227,'Subbu- Mini Project EXcel Clean'!K228:K1227," ",0)</f>
        <v>88.2</v>
      </c>
    </row>
    <row r="229" spans="1:3" x14ac:dyDescent="0.25">
      <c r="A229" t="s">
        <v>257</v>
      </c>
      <c r="B229">
        <f>_xlfn.XLOOKUP(A229,'Subbu- Mini Project EXcel Clean'!A229:A1228,'Subbu- Mini Project EXcel Clean'!L229:L1228," ",0)</f>
        <v>172</v>
      </c>
      <c r="C229">
        <f>_xlfn.XLOOKUP(A229,'Subbu- Mini Project EXcel Clean'!A229:A1228,'Subbu- Mini Project EXcel Clean'!K229:K1228," ",0)</f>
        <v>71.5</v>
      </c>
    </row>
    <row r="230" spans="1:3" x14ac:dyDescent="0.25">
      <c r="A230" t="s">
        <v>258</v>
      </c>
      <c r="B230">
        <f>_xlfn.XLOOKUP(A230,'Subbu- Mini Project EXcel Clean'!A230:A1229,'Subbu- Mini Project EXcel Clean'!L230:L1229," ",0)</f>
        <v>199</v>
      </c>
      <c r="C230">
        <f>_xlfn.XLOOKUP(A230,'Subbu- Mini Project EXcel Clean'!A230:A1229,'Subbu- Mini Project EXcel Clean'!K230:K1229," ",0)</f>
        <v>83.1</v>
      </c>
    </row>
    <row r="231" spans="1:3" x14ac:dyDescent="0.25">
      <c r="A231" t="s">
        <v>259</v>
      </c>
      <c r="B231">
        <f>_xlfn.XLOOKUP(A231,'Subbu- Mini Project EXcel Clean'!A231:A1230,'Subbu- Mini Project EXcel Clean'!L231:L1230," ",0)</f>
        <v>184</v>
      </c>
      <c r="C231">
        <f>_xlfn.XLOOKUP(A231,'Subbu- Mini Project EXcel Clean'!A231:A1230,'Subbu- Mini Project EXcel Clean'!K231:K1230," ",0)</f>
        <v>76.8</v>
      </c>
    </row>
    <row r="232" spans="1:3" x14ac:dyDescent="0.25">
      <c r="A232" t="s">
        <v>260</v>
      </c>
      <c r="B232">
        <f>_xlfn.XLOOKUP(A232,'Subbu- Mini Project EXcel Clean'!A232:A1231,'Subbu- Mini Project EXcel Clean'!L232:L1231," ",0)</f>
        <v>234</v>
      </c>
      <c r="C232">
        <f>_xlfn.XLOOKUP(A232,'Subbu- Mini Project EXcel Clean'!A232:A1231,'Subbu- Mini Project EXcel Clean'!K232:K1231," ",0)</f>
        <v>97.3</v>
      </c>
    </row>
    <row r="233" spans="1:3" x14ac:dyDescent="0.25">
      <c r="A233" t="s">
        <v>261</v>
      </c>
      <c r="B233">
        <f>_xlfn.XLOOKUP(A233,'Subbu- Mini Project EXcel Clean'!A233:A1232,'Subbu- Mini Project EXcel Clean'!L233:L1232," ",0)</f>
        <v>174</v>
      </c>
      <c r="C233">
        <f>_xlfn.XLOOKUP(A233,'Subbu- Mini Project EXcel Clean'!A233:A1232,'Subbu- Mini Project EXcel Clean'!K233:K1232," ",0)</f>
        <v>72.5</v>
      </c>
    </row>
    <row r="234" spans="1:3" x14ac:dyDescent="0.25">
      <c r="A234" t="s">
        <v>262</v>
      </c>
      <c r="B234">
        <f>_xlfn.XLOOKUP(A234,'Subbu- Mini Project EXcel Clean'!A234:A1233,'Subbu- Mini Project EXcel Clean'!L234:L1233," ",0)</f>
        <v>188</v>
      </c>
      <c r="C234">
        <f>_xlfn.XLOOKUP(A234,'Subbu- Mini Project EXcel Clean'!A234:A1233,'Subbu- Mini Project EXcel Clean'!K234:K1233," ",0)</f>
        <v>78.400000000000006</v>
      </c>
    </row>
    <row r="235" spans="1:3" x14ac:dyDescent="0.25">
      <c r="A235" t="s">
        <v>263</v>
      </c>
      <c r="B235">
        <f>_xlfn.XLOOKUP(A235,'Subbu- Mini Project EXcel Clean'!A235:A1234,'Subbu- Mini Project EXcel Clean'!L235:L1234," ",0)</f>
        <v>169</v>
      </c>
      <c r="C235">
        <f>_xlfn.XLOOKUP(A235,'Subbu- Mini Project EXcel Clean'!A235:A1234,'Subbu- Mini Project EXcel Clean'!K235:K1234," ",0)</f>
        <v>70.3</v>
      </c>
    </row>
    <row r="236" spans="1:3" x14ac:dyDescent="0.25">
      <c r="A236" t="s">
        <v>264</v>
      </c>
      <c r="B236">
        <f>_xlfn.XLOOKUP(A236,'Subbu- Mini Project EXcel Clean'!A236:A1235,'Subbu- Mini Project EXcel Clean'!L236:L1235," ",0)</f>
        <v>160</v>
      </c>
      <c r="C236">
        <f>_xlfn.XLOOKUP(A236,'Subbu- Mini Project EXcel Clean'!A236:A1235,'Subbu- Mini Project EXcel Clean'!K236:K1235," ",0)</f>
        <v>66.8</v>
      </c>
    </row>
    <row r="237" spans="1:3" x14ac:dyDescent="0.25">
      <c r="A237" t="s">
        <v>265</v>
      </c>
      <c r="B237">
        <f>_xlfn.XLOOKUP(A237,'Subbu- Mini Project EXcel Clean'!A237:A1236,'Subbu- Mini Project EXcel Clean'!L237:L1236," ",0)</f>
        <v>189</v>
      </c>
      <c r="C237">
        <f>_xlfn.XLOOKUP(A237,'Subbu- Mini Project EXcel Clean'!A237:A1236,'Subbu- Mini Project EXcel Clean'!K237:K1236," ",0)</f>
        <v>78.7</v>
      </c>
    </row>
    <row r="238" spans="1:3" x14ac:dyDescent="0.25">
      <c r="A238" t="s">
        <v>266</v>
      </c>
      <c r="B238">
        <f>_xlfn.XLOOKUP(A238,'Subbu- Mini Project EXcel Clean'!A238:A1237,'Subbu- Mini Project EXcel Clean'!L238:L1237," ",0)</f>
        <v>158</v>
      </c>
      <c r="C238">
        <f>_xlfn.XLOOKUP(A238,'Subbu- Mini Project EXcel Clean'!A238:A1237,'Subbu- Mini Project EXcel Clean'!K238:K1237," ",0)</f>
        <v>65.7</v>
      </c>
    </row>
    <row r="239" spans="1:3" x14ac:dyDescent="0.25">
      <c r="A239" t="s">
        <v>267</v>
      </c>
      <c r="B239">
        <f>_xlfn.XLOOKUP(A239,'Subbu- Mini Project EXcel Clean'!A239:A1238,'Subbu- Mini Project EXcel Clean'!L239:L1238," ",0)</f>
        <v>168</v>
      </c>
      <c r="C239">
        <f>_xlfn.XLOOKUP(A239,'Subbu- Mini Project EXcel Clean'!A239:A1238,'Subbu- Mini Project EXcel Clean'!K239:K1238," ",0)</f>
        <v>69.8</v>
      </c>
    </row>
    <row r="240" spans="1:3" x14ac:dyDescent="0.25">
      <c r="A240" t="s">
        <v>268</v>
      </c>
      <c r="B240">
        <f>_xlfn.XLOOKUP(A240,'Subbu- Mini Project EXcel Clean'!A240:A1239,'Subbu- Mini Project EXcel Clean'!L240:L1239," ",0)</f>
        <v>201</v>
      </c>
      <c r="C240">
        <f>_xlfn.XLOOKUP(A240,'Subbu- Mini Project EXcel Clean'!A240:A1239,'Subbu- Mini Project EXcel Clean'!K240:K1239," ",0)</f>
        <v>83.6</v>
      </c>
    </row>
    <row r="241" spans="1:3" x14ac:dyDescent="0.25">
      <c r="A241" t="s">
        <v>269</v>
      </c>
      <c r="B241">
        <f>_xlfn.XLOOKUP(A241,'Subbu- Mini Project EXcel Clean'!A241:A1240,'Subbu- Mini Project EXcel Clean'!L241:L1240," ",0)</f>
        <v>157</v>
      </c>
      <c r="C241">
        <f>_xlfn.XLOOKUP(A241,'Subbu- Mini Project EXcel Clean'!A241:A1240,'Subbu- Mini Project EXcel Clean'!K241:K1240," ",0)</f>
        <v>65.599999999999994</v>
      </c>
    </row>
    <row r="242" spans="1:3" x14ac:dyDescent="0.25">
      <c r="A242" t="s">
        <v>270</v>
      </c>
      <c r="B242">
        <f>_xlfn.XLOOKUP(A242,'Subbu- Mini Project EXcel Clean'!A242:A1241,'Subbu- Mini Project EXcel Clean'!L242:L1241," ",0)</f>
        <v>178</v>
      </c>
      <c r="C242">
        <f>_xlfn.XLOOKUP(A242,'Subbu- Mini Project EXcel Clean'!A242:A1241,'Subbu- Mini Project EXcel Clean'!K242:K1241," ",0)</f>
        <v>74.3</v>
      </c>
    </row>
    <row r="243" spans="1:3" x14ac:dyDescent="0.25">
      <c r="A243" t="s">
        <v>271</v>
      </c>
      <c r="B243">
        <f>_xlfn.XLOOKUP(A243,'Subbu- Mini Project EXcel Clean'!A243:A1242,'Subbu- Mini Project EXcel Clean'!L243:L1242," ",0)</f>
        <v>203</v>
      </c>
      <c r="C243">
        <f>_xlfn.XLOOKUP(A243,'Subbu- Mini Project EXcel Clean'!A243:A1242,'Subbu- Mini Project EXcel Clean'!K243:K1242," ",0)</f>
        <v>84.4</v>
      </c>
    </row>
    <row r="244" spans="1:3" x14ac:dyDescent="0.25">
      <c r="A244" t="s">
        <v>272</v>
      </c>
      <c r="B244">
        <f>_xlfn.XLOOKUP(A244,'Subbu- Mini Project EXcel Clean'!A244:A1243,'Subbu- Mini Project EXcel Clean'!L244:L1243," ",0)</f>
        <v>237</v>
      </c>
      <c r="C244">
        <f>_xlfn.XLOOKUP(A244,'Subbu- Mini Project EXcel Clean'!A244:A1243,'Subbu- Mini Project EXcel Clean'!K244:K1243," ",0)</f>
        <v>98.7</v>
      </c>
    </row>
    <row r="245" spans="1:3" x14ac:dyDescent="0.25">
      <c r="A245" t="s">
        <v>273</v>
      </c>
      <c r="B245">
        <f>_xlfn.XLOOKUP(A245,'Subbu- Mini Project EXcel Clean'!A245:A1244,'Subbu- Mini Project EXcel Clean'!L245:L1244," ",0)</f>
        <v>166</v>
      </c>
      <c r="C245">
        <f>_xlfn.XLOOKUP(A245,'Subbu- Mini Project EXcel Clean'!A245:A1244,'Subbu- Mini Project EXcel Clean'!K245:K1244," ",0)</f>
        <v>69</v>
      </c>
    </row>
    <row r="246" spans="1:3" x14ac:dyDescent="0.25">
      <c r="A246" t="s">
        <v>274</v>
      </c>
      <c r="B246">
        <f>_xlfn.XLOOKUP(A246,'Subbu- Mini Project EXcel Clean'!A246:A1245,'Subbu- Mini Project EXcel Clean'!L246:L1245," ",0)</f>
        <v>158</v>
      </c>
      <c r="C246">
        <f>_xlfn.XLOOKUP(A246,'Subbu- Mini Project EXcel Clean'!A246:A1245,'Subbu- Mini Project EXcel Clean'!K246:K1245," ",0)</f>
        <v>65.900000000000006</v>
      </c>
    </row>
    <row r="247" spans="1:3" x14ac:dyDescent="0.25">
      <c r="A247" t="s">
        <v>275</v>
      </c>
      <c r="B247">
        <f>_xlfn.XLOOKUP(A247,'Subbu- Mini Project EXcel Clean'!A247:A1246,'Subbu- Mini Project EXcel Clean'!L247:L1246," ",0)</f>
        <v>222</v>
      </c>
      <c r="C247">
        <f>_xlfn.XLOOKUP(A247,'Subbu- Mini Project EXcel Clean'!A247:A1246,'Subbu- Mini Project EXcel Clean'!K247:K1246," ",0)</f>
        <v>92.7</v>
      </c>
    </row>
    <row r="248" spans="1:3" x14ac:dyDescent="0.25">
      <c r="A248" t="s">
        <v>276</v>
      </c>
      <c r="B248">
        <f>_xlfn.XLOOKUP(A248,'Subbu- Mini Project EXcel Clean'!A248:A1247,'Subbu- Mini Project EXcel Clean'!L248:L1247," ",0)</f>
        <v>175</v>
      </c>
      <c r="C248">
        <f>_xlfn.XLOOKUP(A248,'Subbu- Mini Project EXcel Clean'!A248:A1247,'Subbu- Mini Project EXcel Clean'!K248:K1247," ",0)</f>
        <v>72.900000000000006</v>
      </c>
    </row>
    <row r="249" spans="1:3" x14ac:dyDescent="0.25">
      <c r="A249" t="s">
        <v>277</v>
      </c>
      <c r="B249">
        <f>_xlfn.XLOOKUP(A249,'Subbu- Mini Project EXcel Clean'!A249:A1248,'Subbu- Mini Project EXcel Clean'!L249:L1248," ",0)</f>
        <v>198</v>
      </c>
      <c r="C249">
        <f>_xlfn.XLOOKUP(A249,'Subbu- Mini Project EXcel Clean'!A249:A1248,'Subbu- Mini Project EXcel Clean'!K249:K1248," ",0)</f>
        <v>82.4</v>
      </c>
    </row>
    <row r="250" spans="1:3" x14ac:dyDescent="0.25">
      <c r="A250" t="s">
        <v>278</v>
      </c>
      <c r="B250">
        <f>_xlfn.XLOOKUP(A250,'Subbu- Mini Project EXcel Clean'!A250:A1249,'Subbu- Mini Project EXcel Clean'!L250:L1249," ",0)</f>
        <v>178</v>
      </c>
      <c r="C250">
        <f>_xlfn.XLOOKUP(A250,'Subbu- Mini Project EXcel Clean'!A250:A1249,'Subbu- Mini Project EXcel Clean'!K250:K1249," ",0)</f>
        <v>74.3</v>
      </c>
    </row>
    <row r="251" spans="1:3" x14ac:dyDescent="0.25">
      <c r="A251" t="s">
        <v>279</v>
      </c>
      <c r="B251">
        <f>_xlfn.XLOOKUP(A251,'Subbu- Mini Project EXcel Clean'!A251:A1250,'Subbu- Mini Project EXcel Clean'!L251:L1250," ",0)</f>
        <v>209</v>
      </c>
      <c r="C251">
        <f>_xlfn.XLOOKUP(A251,'Subbu- Mini Project EXcel Clean'!A251:A1250,'Subbu- Mini Project EXcel Clean'!K251:K1250," ",0)</f>
        <v>86.9</v>
      </c>
    </row>
    <row r="252" spans="1:3" x14ac:dyDescent="0.25">
      <c r="A252" t="s">
        <v>280</v>
      </c>
      <c r="B252">
        <f>_xlfn.XLOOKUP(A252,'Subbu- Mini Project EXcel Clean'!A252:A1251,'Subbu- Mini Project EXcel Clean'!L252:L1251," ",0)</f>
        <v>154</v>
      </c>
      <c r="C252">
        <f>_xlfn.XLOOKUP(A252,'Subbu- Mini Project EXcel Clean'!A252:A1251,'Subbu- Mini Project EXcel Clean'!K252:K1251," ",0)</f>
        <v>64</v>
      </c>
    </row>
    <row r="253" spans="1:3" x14ac:dyDescent="0.25">
      <c r="A253" t="s">
        <v>281</v>
      </c>
      <c r="B253">
        <f>_xlfn.XLOOKUP(A253,'Subbu- Mini Project EXcel Clean'!A253:A1252,'Subbu- Mini Project EXcel Clean'!L253:L1252," ",0)</f>
        <v>172</v>
      </c>
      <c r="C253">
        <f>_xlfn.XLOOKUP(A253,'Subbu- Mini Project EXcel Clean'!A253:A1252,'Subbu- Mini Project EXcel Clean'!K253:K1252," ",0)</f>
        <v>71.5</v>
      </c>
    </row>
    <row r="254" spans="1:3" x14ac:dyDescent="0.25">
      <c r="A254" t="s">
        <v>282</v>
      </c>
      <c r="B254">
        <f>_xlfn.XLOOKUP(A254,'Subbu- Mini Project EXcel Clean'!A254:A1253,'Subbu- Mini Project EXcel Clean'!L254:L1253," ",0)</f>
        <v>185</v>
      </c>
      <c r="C254">
        <f>_xlfn.XLOOKUP(A254,'Subbu- Mini Project EXcel Clean'!A254:A1253,'Subbu- Mini Project EXcel Clean'!K254:K1253," ",0)</f>
        <v>77.2</v>
      </c>
    </row>
    <row r="255" spans="1:3" x14ac:dyDescent="0.25">
      <c r="A255" t="s">
        <v>283</v>
      </c>
      <c r="B255">
        <f>_xlfn.XLOOKUP(A255,'Subbu- Mini Project EXcel Clean'!A255:A1254,'Subbu- Mini Project EXcel Clean'!L255:L1254," ",0)</f>
        <v>162</v>
      </c>
      <c r="C255">
        <f>_xlfn.XLOOKUP(A255,'Subbu- Mini Project EXcel Clean'!A255:A1254,'Subbu- Mini Project EXcel Clean'!K255:K1254," ",0)</f>
        <v>67.400000000000006</v>
      </c>
    </row>
    <row r="256" spans="1:3" x14ac:dyDescent="0.25">
      <c r="A256" t="s">
        <v>284</v>
      </c>
      <c r="B256">
        <f>_xlfn.XLOOKUP(A256,'Subbu- Mini Project EXcel Clean'!A256:A1255,'Subbu- Mini Project EXcel Clean'!L256:L1255," ",0)</f>
        <v>156</v>
      </c>
      <c r="C256">
        <f>_xlfn.XLOOKUP(A256,'Subbu- Mini Project EXcel Clean'!A256:A1255,'Subbu- Mini Project EXcel Clean'!K256:K1255," ",0)</f>
        <v>64.8</v>
      </c>
    </row>
    <row r="257" spans="1:3" x14ac:dyDescent="0.25">
      <c r="A257" t="s">
        <v>285</v>
      </c>
      <c r="B257">
        <f>_xlfn.XLOOKUP(A257,'Subbu- Mini Project EXcel Clean'!A257:A1256,'Subbu- Mini Project EXcel Clean'!L257:L1256," ",0)</f>
        <v>184</v>
      </c>
      <c r="C257">
        <f>_xlfn.XLOOKUP(A257,'Subbu- Mini Project EXcel Clean'!A257:A1256,'Subbu- Mini Project EXcel Clean'!K257:K1256," ",0)</f>
        <v>76.7</v>
      </c>
    </row>
    <row r="258" spans="1:3" x14ac:dyDescent="0.25">
      <c r="A258" t="s">
        <v>286</v>
      </c>
      <c r="B258">
        <f>_xlfn.XLOOKUP(A258,'Subbu- Mini Project EXcel Clean'!A258:A1257,'Subbu- Mini Project EXcel Clean'!L258:L1257," ",0)</f>
        <v>192</v>
      </c>
      <c r="C258">
        <f>_xlfn.XLOOKUP(A258,'Subbu- Mini Project EXcel Clean'!A258:A1257,'Subbu- Mini Project EXcel Clean'!K258:K1257," ",0)</f>
        <v>80.2</v>
      </c>
    </row>
    <row r="259" spans="1:3" x14ac:dyDescent="0.25">
      <c r="A259" t="s">
        <v>287</v>
      </c>
      <c r="B259">
        <f>_xlfn.XLOOKUP(A259,'Subbu- Mini Project EXcel Clean'!A259:A1258,'Subbu- Mini Project EXcel Clean'!L259:L1258," ",0)</f>
        <v>204</v>
      </c>
      <c r="C259">
        <f>_xlfn.XLOOKUP(A259,'Subbu- Mini Project EXcel Clean'!A259:A1258,'Subbu- Mini Project EXcel Clean'!K259:K1258," ",0)</f>
        <v>85.1</v>
      </c>
    </row>
    <row r="260" spans="1:3" x14ac:dyDescent="0.25">
      <c r="A260" t="s">
        <v>288</v>
      </c>
      <c r="B260">
        <f>_xlfn.XLOOKUP(A260,'Subbu- Mini Project EXcel Clean'!A260:A1259,'Subbu- Mini Project EXcel Clean'!L260:L1259," ",0)</f>
        <v>174</v>
      </c>
      <c r="C260">
        <f>_xlfn.XLOOKUP(A260,'Subbu- Mini Project EXcel Clean'!A260:A1259,'Subbu- Mini Project EXcel Clean'!K260:K1259," ",0)</f>
        <v>72.7</v>
      </c>
    </row>
    <row r="261" spans="1:3" x14ac:dyDescent="0.25">
      <c r="A261" t="s">
        <v>289</v>
      </c>
      <c r="B261">
        <f>_xlfn.XLOOKUP(A261,'Subbu- Mini Project EXcel Clean'!A261:A1260,'Subbu- Mini Project EXcel Clean'!L261:L1260," ",0)</f>
        <v>130</v>
      </c>
      <c r="C261">
        <f>_xlfn.XLOOKUP(A261,'Subbu- Mini Project EXcel Clean'!A261:A1260,'Subbu- Mini Project EXcel Clean'!K261:K1260," ",0)</f>
        <v>54.3</v>
      </c>
    </row>
    <row r="262" spans="1:3" x14ac:dyDescent="0.25">
      <c r="A262" t="s">
        <v>290</v>
      </c>
      <c r="B262">
        <f>_xlfn.XLOOKUP(A262,'Subbu- Mini Project EXcel Clean'!A262:A1261,'Subbu- Mini Project EXcel Clean'!L262:L1261," ",0)</f>
        <v>183</v>
      </c>
      <c r="C262">
        <f>_xlfn.XLOOKUP(A262,'Subbu- Mini Project EXcel Clean'!A262:A1261,'Subbu- Mini Project EXcel Clean'!K262:K1261," ",0)</f>
        <v>76.400000000000006</v>
      </c>
    </row>
    <row r="263" spans="1:3" x14ac:dyDescent="0.25">
      <c r="A263" t="s">
        <v>291</v>
      </c>
      <c r="B263">
        <f>_xlfn.XLOOKUP(A263,'Subbu- Mini Project EXcel Clean'!A263:A1262,'Subbu- Mini Project EXcel Clean'!L263:L1262," ",0)</f>
        <v>210</v>
      </c>
      <c r="C263">
        <f>_xlfn.XLOOKUP(A263,'Subbu- Mini Project EXcel Clean'!A263:A1262,'Subbu- Mini Project EXcel Clean'!K263:K1262," ",0)</f>
        <v>87.4</v>
      </c>
    </row>
    <row r="264" spans="1:3" x14ac:dyDescent="0.25">
      <c r="A264" t="s">
        <v>292</v>
      </c>
      <c r="B264">
        <f>_xlfn.XLOOKUP(A264,'Subbu- Mini Project EXcel Clean'!A264:A1263,'Subbu- Mini Project EXcel Clean'!L264:L1263," ",0)</f>
        <v>155</v>
      </c>
      <c r="C264">
        <f>_xlfn.XLOOKUP(A264,'Subbu- Mini Project EXcel Clean'!A264:A1263,'Subbu- Mini Project EXcel Clean'!K264:K1263," ",0)</f>
        <v>64.7</v>
      </c>
    </row>
    <row r="265" spans="1:3" x14ac:dyDescent="0.25">
      <c r="A265" t="s">
        <v>293</v>
      </c>
      <c r="B265">
        <f>_xlfn.XLOOKUP(A265,'Subbu- Mini Project EXcel Clean'!A265:A1264,'Subbu- Mini Project EXcel Clean'!L265:L1264," ",0)</f>
        <v>195</v>
      </c>
      <c r="C265">
        <f>_xlfn.XLOOKUP(A265,'Subbu- Mini Project EXcel Clean'!A265:A1264,'Subbu- Mini Project EXcel Clean'!K265:K1264," ",0)</f>
        <v>81.099999999999994</v>
      </c>
    </row>
    <row r="266" spans="1:3" x14ac:dyDescent="0.25">
      <c r="A266" t="s">
        <v>294</v>
      </c>
      <c r="B266">
        <f>_xlfn.XLOOKUP(A266,'Subbu- Mini Project EXcel Clean'!A266:A1265,'Subbu- Mini Project EXcel Clean'!L266:L1265," ",0)</f>
        <v>199</v>
      </c>
      <c r="C266">
        <f>_xlfn.XLOOKUP(A266,'Subbu- Mini Project EXcel Clean'!A266:A1265,'Subbu- Mini Project EXcel Clean'!K266:K1265," ",0)</f>
        <v>82.9</v>
      </c>
    </row>
    <row r="267" spans="1:3" x14ac:dyDescent="0.25">
      <c r="A267" t="s">
        <v>295</v>
      </c>
      <c r="B267">
        <f>_xlfn.XLOOKUP(A267,'Subbu- Mini Project EXcel Clean'!A267:A1266,'Subbu- Mini Project EXcel Clean'!L267:L1266," ",0)</f>
        <v>192</v>
      </c>
      <c r="C267">
        <f>_xlfn.XLOOKUP(A267,'Subbu- Mini Project EXcel Clean'!A267:A1266,'Subbu- Mini Project EXcel Clean'!K267:K1266," ",0)</f>
        <v>79.8</v>
      </c>
    </row>
    <row r="268" spans="1:3" x14ac:dyDescent="0.25">
      <c r="A268" t="s">
        <v>296</v>
      </c>
      <c r="B268">
        <f>_xlfn.XLOOKUP(A268,'Subbu- Mini Project EXcel Clean'!A268:A1267,'Subbu- Mini Project EXcel Clean'!L268:L1267," ",0)</f>
        <v>177</v>
      </c>
      <c r="C268">
        <f>_xlfn.XLOOKUP(A268,'Subbu- Mini Project EXcel Clean'!A268:A1267,'Subbu- Mini Project EXcel Clean'!K268:K1267," ",0)</f>
        <v>73.7</v>
      </c>
    </row>
    <row r="269" spans="1:3" x14ac:dyDescent="0.25">
      <c r="A269" t="s">
        <v>297</v>
      </c>
      <c r="B269">
        <f>_xlfn.XLOOKUP(A269,'Subbu- Mini Project EXcel Clean'!A269:A1268,'Subbu- Mini Project EXcel Clean'!L269:L1268," ",0)</f>
        <v>200</v>
      </c>
      <c r="C269">
        <f>_xlfn.XLOOKUP(A269,'Subbu- Mini Project EXcel Clean'!A269:A1268,'Subbu- Mini Project EXcel Clean'!K269:K1268," ",0)</f>
        <v>83.4</v>
      </c>
    </row>
    <row r="270" spans="1:3" x14ac:dyDescent="0.25">
      <c r="A270" t="s">
        <v>298</v>
      </c>
      <c r="B270">
        <f>_xlfn.XLOOKUP(A270,'Subbu- Mini Project EXcel Clean'!A270:A1269,'Subbu- Mini Project EXcel Clean'!L270:L1269," ",0)</f>
        <v>170</v>
      </c>
      <c r="C270">
        <f>_xlfn.XLOOKUP(A270,'Subbu- Mini Project EXcel Clean'!A270:A1269,'Subbu- Mini Project EXcel Clean'!K270:K1269," ",0)</f>
        <v>70.8</v>
      </c>
    </row>
    <row r="271" spans="1:3" x14ac:dyDescent="0.25">
      <c r="A271" t="s">
        <v>299</v>
      </c>
      <c r="B271">
        <f>_xlfn.XLOOKUP(A271,'Subbu- Mini Project EXcel Clean'!A271:A1270,'Subbu- Mini Project EXcel Clean'!L271:L1270," ",0)</f>
        <v>158</v>
      </c>
      <c r="C271">
        <f>_xlfn.XLOOKUP(A271,'Subbu- Mini Project EXcel Clean'!A271:A1270,'Subbu- Mini Project EXcel Clean'!K271:K1270," ",0)</f>
        <v>66</v>
      </c>
    </row>
    <row r="272" spans="1:3" x14ac:dyDescent="0.25">
      <c r="A272" t="s">
        <v>300</v>
      </c>
      <c r="B272">
        <f>_xlfn.XLOOKUP(A272,'Subbu- Mini Project EXcel Clean'!A272:A1271,'Subbu- Mini Project EXcel Clean'!L272:L1271," ",0)</f>
        <v>174</v>
      </c>
      <c r="C272">
        <f>_xlfn.XLOOKUP(A272,'Subbu- Mini Project EXcel Clean'!A272:A1271,'Subbu- Mini Project EXcel Clean'!K272:K1271," ",0)</f>
        <v>72.7</v>
      </c>
    </row>
    <row r="273" spans="1:3" x14ac:dyDescent="0.25">
      <c r="A273" t="s">
        <v>301</v>
      </c>
      <c r="B273">
        <f>_xlfn.XLOOKUP(A273,'Subbu- Mini Project EXcel Clean'!A273:A1272,'Subbu- Mini Project EXcel Clean'!L273:L1272," ",0)</f>
        <v>215</v>
      </c>
      <c r="C273">
        <f>_xlfn.XLOOKUP(A273,'Subbu- Mini Project EXcel Clean'!A273:A1272,'Subbu- Mini Project EXcel Clean'!K273:K1272," ",0)</f>
        <v>89.5</v>
      </c>
    </row>
    <row r="274" spans="1:3" x14ac:dyDescent="0.25">
      <c r="A274" t="s">
        <v>302</v>
      </c>
      <c r="B274">
        <f>_xlfn.XLOOKUP(A274,'Subbu- Mini Project EXcel Clean'!A274:A1273,'Subbu- Mini Project EXcel Clean'!L274:L1273," ",0)</f>
        <v>186</v>
      </c>
      <c r="C274">
        <f>_xlfn.XLOOKUP(A274,'Subbu- Mini Project EXcel Clean'!A274:A1273,'Subbu- Mini Project EXcel Clean'!K274:K1273," ",0)</f>
        <v>77.7</v>
      </c>
    </row>
    <row r="275" spans="1:3" x14ac:dyDescent="0.25">
      <c r="A275" t="s">
        <v>303</v>
      </c>
      <c r="B275">
        <f>_xlfn.XLOOKUP(A275,'Subbu- Mini Project EXcel Clean'!A275:A1274,'Subbu- Mini Project EXcel Clean'!L275:L1274," ",0)</f>
        <v>197</v>
      </c>
      <c r="C275">
        <f>_xlfn.XLOOKUP(A275,'Subbu- Mini Project EXcel Clean'!A275:A1274,'Subbu- Mini Project EXcel Clean'!K275:K1274," ",0)</f>
        <v>82.2</v>
      </c>
    </row>
    <row r="276" spans="1:3" x14ac:dyDescent="0.25">
      <c r="A276" t="s">
        <v>304</v>
      </c>
      <c r="B276">
        <f>_xlfn.XLOOKUP(A276,'Subbu- Mini Project EXcel Clean'!A276:A1275,'Subbu- Mini Project EXcel Clean'!L276:L1275," ",0)</f>
        <v>182</v>
      </c>
      <c r="C276">
        <f>_xlfn.XLOOKUP(A276,'Subbu- Mini Project EXcel Clean'!A276:A1275,'Subbu- Mini Project EXcel Clean'!K276:K1275," ",0)</f>
        <v>75.900000000000006</v>
      </c>
    </row>
    <row r="277" spans="1:3" x14ac:dyDescent="0.25">
      <c r="A277" t="s">
        <v>305</v>
      </c>
      <c r="B277">
        <f>_xlfn.XLOOKUP(A277,'Subbu- Mini Project EXcel Clean'!A277:A1276,'Subbu- Mini Project EXcel Clean'!L277:L1276," ",0)</f>
        <v>163</v>
      </c>
      <c r="C277">
        <f>_xlfn.XLOOKUP(A277,'Subbu- Mini Project EXcel Clean'!A277:A1276,'Subbu- Mini Project EXcel Clean'!K277:K1276," ",0)</f>
        <v>67.8</v>
      </c>
    </row>
    <row r="278" spans="1:3" x14ac:dyDescent="0.25">
      <c r="A278" t="s">
        <v>306</v>
      </c>
      <c r="B278">
        <f>_xlfn.XLOOKUP(A278,'Subbu- Mini Project EXcel Clean'!A278:A1277,'Subbu- Mini Project EXcel Clean'!L278:L1277," ",0)</f>
        <v>179</v>
      </c>
      <c r="C278">
        <f>_xlfn.XLOOKUP(A278,'Subbu- Mini Project EXcel Clean'!A278:A1277,'Subbu- Mini Project EXcel Clean'!K278:K1277," ",0)</f>
        <v>74.5</v>
      </c>
    </row>
    <row r="279" spans="1:3" x14ac:dyDescent="0.25">
      <c r="A279" t="s">
        <v>307</v>
      </c>
      <c r="B279">
        <f>_xlfn.XLOOKUP(A279,'Subbu- Mini Project EXcel Clean'!A279:A1278,'Subbu- Mini Project EXcel Clean'!L279:L1278," ",0)</f>
        <v>162</v>
      </c>
      <c r="C279">
        <f>_xlfn.XLOOKUP(A279,'Subbu- Mini Project EXcel Clean'!A279:A1278,'Subbu- Mini Project EXcel Clean'!K279:K1278," ",0)</f>
        <v>67.3</v>
      </c>
    </row>
    <row r="280" spans="1:3" x14ac:dyDescent="0.25">
      <c r="A280" t="s">
        <v>308</v>
      </c>
      <c r="B280">
        <f>_xlfn.XLOOKUP(A280,'Subbu- Mini Project EXcel Clean'!A280:A1279,'Subbu- Mini Project EXcel Clean'!L280:L1279," ",0)</f>
        <v>199</v>
      </c>
      <c r="C280">
        <f>_xlfn.XLOOKUP(A280,'Subbu- Mini Project EXcel Clean'!A280:A1279,'Subbu- Mini Project EXcel Clean'!K280:K1279," ",0)</f>
        <v>82.9</v>
      </c>
    </row>
    <row r="281" spans="1:3" x14ac:dyDescent="0.25">
      <c r="A281" t="s">
        <v>309</v>
      </c>
      <c r="B281">
        <f>_xlfn.XLOOKUP(A281,'Subbu- Mini Project EXcel Clean'!A281:A1280,'Subbu- Mini Project EXcel Clean'!L281:L1280," ",0)</f>
        <v>190</v>
      </c>
      <c r="C281">
        <f>_xlfn.XLOOKUP(A281,'Subbu- Mini Project EXcel Clean'!A281:A1280,'Subbu- Mini Project EXcel Clean'!K281:K1280," ",0)</f>
        <v>79.2</v>
      </c>
    </row>
    <row r="282" spans="1:3" x14ac:dyDescent="0.25">
      <c r="A282" t="s">
        <v>310</v>
      </c>
      <c r="B282">
        <f>_xlfn.XLOOKUP(A282,'Subbu- Mini Project EXcel Clean'!A282:A1281,'Subbu- Mini Project EXcel Clean'!L282:L1281," ",0)</f>
        <v>238</v>
      </c>
      <c r="C282">
        <f>_xlfn.XLOOKUP(A282,'Subbu- Mini Project EXcel Clean'!A282:A1281,'Subbu- Mini Project EXcel Clean'!K282:K1281," ",0)</f>
        <v>99.1</v>
      </c>
    </row>
    <row r="283" spans="1:3" x14ac:dyDescent="0.25">
      <c r="A283" t="s">
        <v>311</v>
      </c>
      <c r="B283">
        <f>_xlfn.XLOOKUP(A283,'Subbu- Mini Project EXcel Clean'!A283:A1282,'Subbu- Mini Project EXcel Clean'!L283:L1282," ",0)</f>
        <v>154</v>
      </c>
      <c r="C283">
        <f>_xlfn.XLOOKUP(A283,'Subbu- Mini Project EXcel Clean'!A283:A1282,'Subbu- Mini Project EXcel Clean'!K283:K1282," ",0)</f>
        <v>64.3</v>
      </c>
    </row>
    <row r="284" spans="1:3" x14ac:dyDescent="0.25">
      <c r="A284" t="s">
        <v>312</v>
      </c>
      <c r="B284">
        <f>_xlfn.XLOOKUP(A284,'Subbu- Mini Project EXcel Clean'!A284:A1283,'Subbu- Mini Project EXcel Clean'!L284:L1283," ",0)</f>
        <v>158</v>
      </c>
      <c r="C284">
        <f>_xlfn.XLOOKUP(A284,'Subbu- Mini Project EXcel Clean'!A284:A1283,'Subbu- Mini Project EXcel Clean'!K284:K1283," ",0)</f>
        <v>65.7</v>
      </c>
    </row>
    <row r="285" spans="1:3" x14ac:dyDescent="0.25">
      <c r="A285" t="s">
        <v>313</v>
      </c>
      <c r="B285">
        <f>_xlfn.XLOOKUP(A285,'Subbu- Mini Project EXcel Clean'!A285:A1284,'Subbu- Mini Project EXcel Clean'!L285:L1284," ",0)</f>
        <v>144</v>
      </c>
      <c r="C285">
        <f>_xlfn.XLOOKUP(A285,'Subbu- Mini Project EXcel Clean'!A285:A1284,'Subbu- Mini Project EXcel Clean'!K285:K1284," ",0)</f>
        <v>59.8</v>
      </c>
    </row>
    <row r="286" spans="1:3" x14ac:dyDescent="0.25">
      <c r="A286" t="s">
        <v>314</v>
      </c>
      <c r="B286">
        <f>_xlfn.XLOOKUP(A286,'Subbu- Mini Project EXcel Clean'!A286:A1285,'Subbu- Mini Project EXcel Clean'!L286:L1285," ",0)</f>
        <v>185</v>
      </c>
      <c r="C286">
        <f>_xlfn.XLOOKUP(A286,'Subbu- Mini Project EXcel Clean'!A286:A1285,'Subbu- Mini Project EXcel Clean'!K286:K1285," ",0)</f>
        <v>77.099999999999994</v>
      </c>
    </row>
    <row r="287" spans="1:3" x14ac:dyDescent="0.25">
      <c r="A287" t="s">
        <v>315</v>
      </c>
      <c r="B287">
        <f>_xlfn.XLOOKUP(A287,'Subbu- Mini Project EXcel Clean'!A287:A1286,'Subbu- Mini Project EXcel Clean'!L287:L1286," ",0)</f>
        <v>141</v>
      </c>
      <c r="C287">
        <f>_xlfn.XLOOKUP(A287,'Subbu- Mini Project EXcel Clean'!A287:A1286,'Subbu- Mini Project EXcel Clean'!K287:K1286," ",0)</f>
        <v>58.6</v>
      </c>
    </row>
    <row r="288" spans="1:3" x14ac:dyDescent="0.25">
      <c r="A288" t="s">
        <v>316</v>
      </c>
      <c r="B288">
        <f>_xlfn.XLOOKUP(A288,'Subbu- Mini Project EXcel Clean'!A288:A1287,'Subbu- Mini Project EXcel Clean'!L288:L1287," ",0)</f>
        <v>182</v>
      </c>
      <c r="C288">
        <f>_xlfn.XLOOKUP(A288,'Subbu- Mini Project EXcel Clean'!A288:A1287,'Subbu- Mini Project EXcel Clean'!K288:K1287," ",0)</f>
        <v>75.900000000000006</v>
      </c>
    </row>
    <row r="289" spans="1:3" x14ac:dyDescent="0.25">
      <c r="A289" t="s">
        <v>317</v>
      </c>
      <c r="B289">
        <f>_xlfn.XLOOKUP(A289,'Subbu- Mini Project EXcel Clean'!A289:A1288,'Subbu- Mini Project EXcel Clean'!L289:L1288," ",0)</f>
        <v>168</v>
      </c>
      <c r="C289">
        <f>_xlfn.XLOOKUP(A289,'Subbu- Mini Project EXcel Clean'!A289:A1288,'Subbu- Mini Project EXcel Clean'!K289:K1288," ",0)</f>
        <v>70</v>
      </c>
    </row>
    <row r="290" spans="1:3" x14ac:dyDescent="0.25">
      <c r="A290" t="s">
        <v>318</v>
      </c>
      <c r="B290">
        <f>_xlfn.XLOOKUP(A290,'Subbu- Mini Project EXcel Clean'!A290:A1289,'Subbu- Mini Project EXcel Clean'!L290:L1289," ",0)</f>
        <v>146</v>
      </c>
      <c r="C290">
        <f>_xlfn.XLOOKUP(A290,'Subbu- Mini Project EXcel Clean'!A290:A1289,'Subbu- Mini Project EXcel Clean'!K290:K1289," ",0)</f>
        <v>61</v>
      </c>
    </row>
    <row r="291" spans="1:3" x14ac:dyDescent="0.25">
      <c r="A291" t="s">
        <v>319</v>
      </c>
      <c r="B291">
        <f>_xlfn.XLOOKUP(A291,'Subbu- Mini Project EXcel Clean'!A291:A1290,'Subbu- Mini Project EXcel Clean'!L291:L1290," ",0)</f>
        <v>162</v>
      </c>
      <c r="C291">
        <f>_xlfn.XLOOKUP(A291,'Subbu- Mini Project EXcel Clean'!A291:A1290,'Subbu- Mini Project EXcel Clean'!K291:K1290," ",0)</f>
        <v>67.3</v>
      </c>
    </row>
    <row r="292" spans="1:3" x14ac:dyDescent="0.25">
      <c r="A292" t="s">
        <v>320</v>
      </c>
      <c r="B292">
        <f>_xlfn.XLOOKUP(A292,'Subbu- Mini Project EXcel Clean'!A292:A1291,'Subbu- Mini Project EXcel Clean'!L292:L1291," ",0)</f>
        <v>119</v>
      </c>
      <c r="C292">
        <f>_xlfn.XLOOKUP(A292,'Subbu- Mini Project EXcel Clean'!A292:A1291,'Subbu- Mini Project EXcel Clean'!K292:K1291," ",0)</f>
        <v>49.7</v>
      </c>
    </row>
    <row r="293" spans="1:3" x14ac:dyDescent="0.25">
      <c r="A293" t="s">
        <v>321</v>
      </c>
      <c r="B293">
        <f>_xlfn.XLOOKUP(A293,'Subbu- Mini Project EXcel Clean'!A293:A1292,'Subbu- Mini Project EXcel Clean'!L293:L1292," ",0)</f>
        <v>140</v>
      </c>
      <c r="C293">
        <f>_xlfn.XLOOKUP(A293,'Subbu- Mini Project EXcel Clean'!A293:A1292,'Subbu- Mini Project EXcel Clean'!K293:K1292," ",0)</f>
        <v>58.4</v>
      </c>
    </row>
    <row r="294" spans="1:3" x14ac:dyDescent="0.25">
      <c r="A294" t="s">
        <v>322</v>
      </c>
      <c r="B294">
        <f>_xlfn.XLOOKUP(A294,'Subbu- Mini Project EXcel Clean'!A294:A1293,'Subbu- Mini Project EXcel Clean'!L294:L1293," ",0)</f>
        <v>195</v>
      </c>
      <c r="C294">
        <f>_xlfn.XLOOKUP(A294,'Subbu- Mini Project EXcel Clean'!A294:A1293,'Subbu- Mini Project EXcel Clean'!K294:K1293," ",0)</f>
        <v>81.099999999999994</v>
      </c>
    </row>
    <row r="295" spans="1:3" x14ac:dyDescent="0.25">
      <c r="A295" t="s">
        <v>323</v>
      </c>
      <c r="B295">
        <f>_xlfn.XLOOKUP(A295,'Subbu- Mini Project EXcel Clean'!A295:A1294,'Subbu- Mini Project EXcel Clean'!L295:L1294," ",0)</f>
        <v>160</v>
      </c>
      <c r="C295">
        <f>_xlfn.XLOOKUP(A295,'Subbu- Mini Project EXcel Clean'!A295:A1294,'Subbu- Mini Project EXcel Clean'!K295:K1294," ",0)</f>
        <v>66.7</v>
      </c>
    </row>
    <row r="296" spans="1:3" x14ac:dyDescent="0.25">
      <c r="A296" t="s">
        <v>324</v>
      </c>
      <c r="B296">
        <f>_xlfn.XLOOKUP(A296,'Subbu- Mini Project EXcel Clean'!A296:A1295,'Subbu- Mini Project EXcel Clean'!L296:L1295," ",0)</f>
        <v>167</v>
      </c>
      <c r="C296">
        <f>_xlfn.XLOOKUP(A296,'Subbu- Mini Project EXcel Clean'!A296:A1295,'Subbu- Mini Project EXcel Clean'!K296:K1295," ",0)</f>
        <v>69.7</v>
      </c>
    </row>
    <row r="297" spans="1:3" x14ac:dyDescent="0.25">
      <c r="A297" t="s">
        <v>325</v>
      </c>
      <c r="B297">
        <f>_xlfn.XLOOKUP(A297,'Subbu- Mini Project EXcel Clean'!A297:A1296,'Subbu- Mini Project EXcel Clean'!L297:L1296," ",0)</f>
        <v>193</v>
      </c>
      <c r="C297">
        <f>_xlfn.XLOOKUP(A297,'Subbu- Mini Project EXcel Clean'!A297:A1296,'Subbu- Mini Project EXcel Clean'!K297:K1296," ",0)</f>
        <v>80.5</v>
      </c>
    </row>
    <row r="298" spans="1:3" x14ac:dyDescent="0.25">
      <c r="A298" t="s">
        <v>326</v>
      </c>
      <c r="B298">
        <f>_xlfn.XLOOKUP(A298,'Subbu- Mini Project EXcel Clean'!A298:A1297,'Subbu- Mini Project EXcel Clean'!L298:L1297," ",0)</f>
        <v>191</v>
      </c>
      <c r="C298">
        <f>_xlfn.XLOOKUP(A298,'Subbu- Mini Project EXcel Clean'!A298:A1297,'Subbu- Mini Project EXcel Clean'!K298:K1297," ",0)</f>
        <v>79.5</v>
      </c>
    </row>
    <row r="299" spans="1:3" x14ac:dyDescent="0.25">
      <c r="A299" t="s">
        <v>327</v>
      </c>
      <c r="B299">
        <f>_xlfn.XLOOKUP(A299,'Subbu- Mini Project EXcel Clean'!A299:A1298,'Subbu- Mini Project EXcel Clean'!L299:L1298," ",0)</f>
        <v>137</v>
      </c>
      <c r="C299">
        <f>_xlfn.XLOOKUP(A299,'Subbu- Mini Project EXcel Clean'!A299:A1298,'Subbu- Mini Project EXcel Clean'!K299:K1298," ",0)</f>
        <v>57</v>
      </c>
    </row>
    <row r="300" spans="1:3" x14ac:dyDescent="0.25">
      <c r="A300" t="s">
        <v>328</v>
      </c>
      <c r="B300">
        <f>_xlfn.XLOOKUP(A300,'Subbu- Mini Project EXcel Clean'!A300:A1299,'Subbu- Mini Project EXcel Clean'!L300:L1299," ",0)</f>
        <v>178</v>
      </c>
      <c r="C300">
        <f>_xlfn.XLOOKUP(A300,'Subbu- Mini Project EXcel Clean'!A300:A1299,'Subbu- Mini Project EXcel Clean'!K300:K1299," ",0)</f>
        <v>74.3</v>
      </c>
    </row>
    <row r="301" spans="1:3" x14ac:dyDescent="0.25">
      <c r="A301" t="s">
        <v>329</v>
      </c>
      <c r="B301">
        <f>_xlfn.XLOOKUP(A301,'Subbu- Mini Project EXcel Clean'!A301:A1300,'Subbu- Mini Project EXcel Clean'!L301:L1300," ",0)</f>
        <v>142</v>
      </c>
      <c r="C301">
        <f>_xlfn.XLOOKUP(A301,'Subbu- Mini Project EXcel Clean'!A301:A1300,'Subbu- Mini Project EXcel Clean'!K301:K1300," ",0)</f>
        <v>59.3</v>
      </c>
    </row>
    <row r="302" spans="1:3" x14ac:dyDescent="0.25">
      <c r="A302" t="s">
        <v>330</v>
      </c>
      <c r="B302">
        <f>_xlfn.XLOOKUP(A302,'Subbu- Mini Project EXcel Clean'!A302:A1301,'Subbu- Mini Project EXcel Clean'!L302:L1301," ",0)</f>
        <v>139</v>
      </c>
      <c r="C302">
        <f>_xlfn.XLOOKUP(A302,'Subbu- Mini Project EXcel Clean'!A302:A1301,'Subbu- Mini Project EXcel Clean'!K302:K1301," ",0)</f>
        <v>58.1</v>
      </c>
    </row>
    <row r="303" spans="1:3" x14ac:dyDescent="0.25">
      <c r="A303" t="s">
        <v>331</v>
      </c>
      <c r="B303">
        <f>_xlfn.XLOOKUP(A303,'Subbu- Mini Project EXcel Clean'!A303:A1302,'Subbu- Mini Project EXcel Clean'!L303:L1302," ",0)</f>
        <v>171</v>
      </c>
      <c r="C303">
        <f>_xlfn.XLOOKUP(A303,'Subbu- Mini Project EXcel Clean'!A303:A1302,'Subbu- Mini Project EXcel Clean'!K303:K1302," ",0)</f>
        <v>71.099999999999994</v>
      </c>
    </row>
    <row r="304" spans="1:3" x14ac:dyDescent="0.25">
      <c r="A304" t="s">
        <v>332</v>
      </c>
      <c r="B304">
        <f>_xlfn.XLOOKUP(A304,'Subbu- Mini Project EXcel Clean'!A304:A1303,'Subbu- Mini Project EXcel Clean'!L304:L1303," ",0)</f>
        <v>172</v>
      </c>
      <c r="C304">
        <f>_xlfn.XLOOKUP(A304,'Subbu- Mini Project EXcel Clean'!A304:A1303,'Subbu- Mini Project EXcel Clean'!K304:K1303," ",0)</f>
        <v>71.599999999999994</v>
      </c>
    </row>
    <row r="305" spans="1:3" x14ac:dyDescent="0.25">
      <c r="A305" t="s">
        <v>333</v>
      </c>
      <c r="B305">
        <f>_xlfn.XLOOKUP(A305,'Subbu- Mini Project EXcel Clean'!A305:A1304,'Subbu- Mini Project EXcel Clean'!L305:L1304," ",0)</f>
        <v>181</v>
      </c>
      <c r="C305">
        <f>_xlfn.XLOOKUP(A305,'Subbu- Mini Project EXcel Clean'!A305:A1304,'Subbu- Mini Project EXcel Clean'!K305:K1304," ",0)</f>
        <v>75.599999999999994</v>
      </c>
    </row>
    <row r="306" spans="1:3" x14ac:dyDescent="0.25">
      <c r="A306" t="s">
        <v>334</v>
      </c>
      <c r="B306">
        <f>_xlfn.XLOOKUP(A306,'Subbu- Mini Project EXcel Clean'!A306:A1305,'Subbu- Mini Project EXcel Clean'!L306:L1305," ",0)</f>
        <v>184</v>
      </c>
      <c r="C306">
        <f>_xlfn.XLOOKUP(A306,'Subbu- Mini Project EXcel Clean'!A306:A1305,'Subbu- Mini Project EXcel Clean'!K306:K1305," ",0)</f>
        <v>76.8</v>
      </c>
    </row>
    <row r="307" spans="1:3" x14ac:dyDescent="0.25">
      <c r="A307" t="s">
        <v>335</v>
      </c>
      <c r="B307">
        <f>_xlfn.XLOOKUP(A307,'Subbu- Mini Project EXcel Clean'!A307:A1306,'Subbu- Mini Project EXcel Clean'!L307:L1306," ",0)</f>
        <v>211</v>
      </c>
      <c r="C307">
        <f>_xlfn.XLOOKUP(A307,'Subbu- Mini Project EXcel Clean'!A307:A1306,'Subbu- Mini Project EXcel Clean'!K307:K1306," ",0)</f>
        <v>87.9</v>
      </c>
    </row>
    <row r="308" spans="1:3" x14ac:dyDescent="0.25">
      <c r="A308" t="s">
        <v>336</v>
      </c>
      <c r="B308">
        <f>_xlfn.XLOOKUP(A308,'Subbu- Mini Project EXcel Clean'!A308:A1307,'Subbu- Mini Project EXcel Clean'!L308:L1307," ",0)</f>
        <v>182</v>
      </c>
      <c r="C308">
        <f>_xlfn.XLOOKUP(A308,'Subbu- Mini Project EXcel Clean'!A308:A1307,'Subbu- Mini Project EXcel Clean'!K308:K1307," ",0)</f>
        <v>76</v>
      </c>
    </row>
    <row r="309" spans="1:3" x14ac:dyDescent="0.25">
      <c r="A309" t="s">
        <v>337</v>
      </c>
      <c r="B309">
        <f>_xlfn.XLOOKUP(A309,'Subbu- Mini Project EXcel Clean'!A309:A1308,'Subbu- Mini Project EXcel Clean'!L309:L1308," ",0)</f>
        <v>154</v>
      </c>
      <c r="C309">
        <f>_xlfn.XLOOKUP(A309,'Subbu- Mini Project EXcel Clean'!A309:A1308,'Subbu- Mini Project EXcel Clean'!K309:K1308," ",0)</f>
        <v>64.3</v>
      </c>
    </row>
    <row r="310" spans="1:3" x14ac:dyDescent="0.25">
      <c r="A310" t="s">
        <v>338</v>
      </c>
      <c r="B310">
        <f>_xlfn.XLOOKUP(A310,'Subbu- Mini Project EXcel Clean'!A310:A1309,'Subbu- Mini Project EXcel Clean'!L310:L1309," ",0)</f>
        <v>212</v>
      </c>
      <c r="C310">
        <f>_xlfn.XLOOKUP(A310,'Subbu- Mini Project EXcel Clean'!A310:A1309,'Subbu- Mini Project EXcel Clean'!K310:K1309," ",0)</f>
        <v>88.2</v>
      </c>
    </row>
    <row r="311" spans="1:3" x14ac:dyDescent="0.25">
      <c r="A311" t="s">
        <v>339</v>
      </c>
      <c r="B311">
        <f>_xlfn.XLOOKUP(A311,'Subbu- Mini Project EXcel Clean'!A311:A1310,'Subbu- Mini Project EXcel Clean'!L311:L1310," ",0)</f>
        <v>150</v>
      </c>
      <c r="C311">
        <f>_xlfn.XLOOKUP(A311,'Subbu- Mini Project EXcel Clean'!A311:A1310,'Subbu- Mini Project EXcel Clean'!K311:K1310," ",0)</f>
        <v>62.5</v>
      </c>
    </row>
    <row r="312" spans="1:3" x14ac:dyDescent="0.25">
      <c r="A312" t="s">
        <v>340</v>
      </c>
      <c r="B312">
        <f>_xlfn.XLOOKUP(A312,'Subbu- Mini Project EXcel Clean'!A312:A1311,'Subbu- Mini Project EXcel Clean'!L312:L1311," ",0)</f>
        <v>154</v>
      </c>
      <c r="C312">
        <f>_xlfn.XLOOKUP(A312,'Subbu- Mini Project EXcel Clean'!A312:A1311,'Subbu- Mini Project EXcel Clean'!K312:K1311," ",0)</f>
        <v>64</v>
      </c>
    </row>
    <row r="313" spans="1:3" x14ac:dyDescent="0.25">
      <c r="A313" t="s">
        <v>341</v>
      </c>
      <c r="B313">
        <f>_xlfn.XLOOKUP(A313,'Subbu- Mini Project EXcel Clean'!A313:A1312,'Subbu- Mini Project EXcel Clean'!L313:L1312," ",0)</f>
        <v>154</v>
      </c>
      <c r="C313">
        <f>_xlfn.XLOOKUP(A313,'Subbu- Mini Project EXcel Clean'!A313:A1312,'Subbu- Mini Project EXcel Clean'!K313:K1312," ",0)</f>
        <v>64.099999999999994</v>
      </c>
    </row>
    <row r="314" spans="1:3" x14ac:dyDescent="0.25">
      <c r="A314" t="s">
        <v>342</v>
      </c>
      <c r="B314">
        <f>_xlfn.XLOOKUP(A314,'Subbu- Mini Project EXcel Clean'!A314:A1313,'Subbu- Mini Project EXcel Clean'!L314:L1313," ",0)</f>
        <v>136</v>
      </c>
      <c r="C314">
        <f>_xlfn.XLOOKUP(A314,'Subbu- Mini Project EXcel Clean'!A314:A1313,'Subbu- Mini Project EXcel Clean'!K314:K1313," ",0)</f>
        <v>56.6</v>
      </c>
    </row>
    <row r="315" spans="1:3" x14ac:dyDescent="0.25">
      <c r="A315" t="s">
        <v>343</v>
      </c>
      <c r="B315">
        <f>_xlfn.XLOOKUP(A315,'Subbu- Mini Project EXcel Clean'!A315:A1314,'Subbu- Mini Project EXcel Clean'!L315:L1314," ",0)</f>
        <v>211</v>
      </c>
      <c r="C315">
        <f>_xlfn.XLOOKUP(A315,'Subbu- Mini Project EXcel Clean'!A315:A1314,'Subbu- Mini Project EXcel Clean'!K315:K1314," ",0)</f>
        <v>88.1</v>
      </c>
    </row>
    <row r="316" spans="1:3" x14ac:dyDescent="0.25">
      <c r="A316" t="s">
        <v>344</v>
      </c>
      <c r="B316">
        <f>_xlfn.XLOOKUP(A316,'Subbu- Mini Project EXcel Clean'!A316:A1315,'Subbu- Mini Project EXcel Clean'!L316:L1315," ",0)</f>
        <v>170</v>
      </c>
      <c r="C316">
        <f>_xlfn.XLOOKUP(A316,'Subbu- Mini Project EXcel Clean'!A316:A1315,'Subbu- Mini Project EXcel Clean'!K316:K1315," ",0)</f>
        <v>71</v>
      </c>
    </row>
    <row r="317" spans="1:3" x14ac:dyDescent="0.25">
      <c r="A317" t="s">
        <v>345</v>
      </c>
      <c r="B317">
        <f>_xlfn.XLOOKUP(A317,'Subbu- Mini Project EXcel Clean'!A317:A1316,'Subbu- Mini Project EXcel Clean'!L317:L1316," ",0)</f>
        <v>207</v>
      </c>
      <c r="C317">
        <f>_xlfn.XLOOKUP(A317,'Subbu- Mini Project EXcel Clean'!A317:A1316,'Subbu- Mini Project EXcel Clean'!K317:K1316," ",0)</f>
        <v>86.1</v>
      </c>
    </row>
    <row r="318" spans="1:3" x14ac:dyDescent="0.25">
      <c r="A318" t="s">
        <v>346</v>
      </c>
      <c r="B318">
        <f>_xlfn.XLOOKUP(A318,'Subbu- Mini Project EXcel Clean'!A318:A1317,'Subbu- Mini Project EXcel Clean'!L318:L1317," ",0)</f>
        <v>179</v>
      </c>
      <c r="C318">
        <f>_xlfn.XLOOKUP(A318,'Subbu- Mini Project EXcel Clean'!A318:A1317,'Subbu- Mini Project EXcel Clean'!K318:K1317," ",0)</f>
        <v>74.599999999999994</v>
      </c>
    </row>
    <row r="319" spans="1:3" x14ac:dyDescent="0.25">
      <c r="A319" t="s">
        <v>347</v>
      </c>
      <c r="B319">
        <f>_xlfn.XLOOKUP(A319,'Subbu- Mini Project EXcel Clean'!A319:A1318,'Subbu- Mini Project EXcel Clean'!L319:L1318," ",0)</f>
        <v>138</v>
      </c>
      <c r="C319">
        <f>_xlfn.XLOOKUP(A319,'Subbu- Mini Project EXcel Clean'!A319:A1318,'Subbu- Mini Project EXcel Clean'!K319:K1318," ",0)</f>
        <v>57.3</v>
      </c>
    </row>
    <row r="320" spans="1:3" x14ac:dyDescent="0.25">
      <c r="A320" t="s">
        <v>348</v>
      </c>
      <c r="B320">
        <f>_xlfn.XLOOKUP(A320,'Subbu- Mini Project EXcel Clean'!A320:A1319,'Subbu- Mini Project EXcel Clean'!L320:L1319," ",0)</f>
        <v>137</v>
      </c>
      <c r="C320">
        <f>_xlfn.XLOOKUP(A320,'Subbu- Mini Project EXcel Clean'!A320:A1319,'Subbu- Mini Project EXcel Clean'!K320:K1319," ",0)</f>
        <v>56.9</v>
      </c>
    </row>
    <row r="321" spans="1:3" x14ac:dyDescent="0.25">
      <c r="A321" t="s">
        <v>349</v>
      </c>
      <c r="B321">
        <f>_xlfn.XLOOKUP(A321,'Subbu- Mini Project EXcel Clean'!A321:A1320,'Subbu- Mini Project EXcel Clean'!L321:L1320," ",0)</f>
        <v>180</v>
      </c>
      <c r="C321">
        <f>_xlfn.XLOOKUP(A321,'Subbu- Mini Project EXcel Clean'!A321:A1320,'Subbu- Mini Project EXcel Clean'!K321:K1320," ",0)</f>
        <v>75.2</v>
      </c>
    </row>
    <row r="322" spans="1:3" x14ac:dyDescent="0.25">
      <c r="A322" t="s">
        <v>350</v>
      </c>
      <c r="B322">
        <f>_xlfn.XLOOKUP(A322,'Subbu- Mini Project EXcel Clean'!A322:A1321,'Subbu- Mini Project EXcel Clean'!L322:L1321," ",0)</f>
        <v>171</v>
      </c>
      <c r="C322">
        <f>_xlfn.XLOOKUP(A322,'Subbu- Mini Project EXcel Clean'!A322:A1321,'Subbu- Mini Project EXcel Clean'!K322:K1321," ",0)</f>
        <v>71.400000000000006</v>
      </c>
    </row>
    <row r="323" spans="1:3" x14ac:dyDescent="0.25">
      <c r="A323" t="s">
        <v>351</v>
      </c>
      <c r="B323">
        <f>_xlfn.XLOOKUP(A323,'Subbu- Mini Project EXcel Clean'!A323:A1322,'Subbu- Mini Project EXcel Clean'!L323:L1322," ",0)</f>
        <v>181</v>
      </c>
      <c r="C323">
        <f>_xlfn.XLOOKUP(A323,'Subbu- Mini Project EXcel Clean'!A323:A1322,'Subbu- Mini Project EXcel Clean'!K323:K1322," ",0)</f>
        <v>75.5</v>
      </c>
    </row>
    <row r="324" spans="1:3" x14ac:dyDescent="0.25">
      <c r="A324" t="s">
        <v>352</v>
      </c>
      <c r="B324">
        <f>_xlfn.XLOOKUP(A324,'Subbu- Mini Project EXcel Clean'!A324:A1323,'Subbu- Mini Project EXcel Clean'!L324:L1323," ",0)</f>
        <v>160</v>
      </c>
      <c r="C324">
        <f>_xlfn.XLOOKUP(A324,'Subbu- Mini Project EXcel Clean'!A324:A1323,'Subbu- Mini Project EXcel Clean'!K324:K1323," ",0)</f>
        <v>66.8</v>
      </c>
    </row>
    <row r="325" spans="1:3" x14ac:dyDescent="0.25">
      <c r="A325" t="s">
        <v>353</v>
      </c>
      <c r="B325">
        <f>_xlfn.XLOOKUP(A325,'Subbu- Mini Project EXcel Clean'!A325:A1324,'Subbu- Mini Project EXcel Clean'!L325:L1324," ",0)</f>
        <v>158</v>
      </c>
      <c r="C325">
        <f>_xlfn.XLOOKUP(A325,'Subbu- Mini Project EXcel Clean'!A325:A1324,'Subbu- Mini Project EXcel Clean'!K325:K1324," ",0)</f>
        <v>65.900000000000006</v>
      </c>
    </row>
    <row r="326" spans="1:3" x14ac:dyDescent="0.25">
      <c r="A326" t="s">
        <v>354</v>
      </c>
      <c r="B326">
        <f>_xlfn.XLOOKUP(A326,'Subbu- Mini Project EXcel Clean'!A326:A1325,'Subbu- Mini Project EXcel Clean'!L326:L1325," ",0)</f>
        <v>204</v>
      </c>
      <c r="C326">
        <f>_xlfn.XLOOKUP(A326,'Subbu- Mini Project EXcel Clean'!A326:A1325,'Subbu- Mini Project EXcel Clean'!K326:K1325," ",0)</f>
        <v>85.1</v>
      </c>
    </row>
    <row r="327" spans="1:3" x14ac:dyDescent="0.25">
      <c r="A327" t="s">
        <v>355</v>
      </c>
      <c r="B327">
        <f>_xlfn.XLOOKUP(A327,'Subbu- Mini Project EXcel Clean'!A327:A1326,'Subbu- Mini Project EXcel Clean'!L327:L1326," ",0)</f>
        <v>201</v>
      </c>
      <c r="C327">
        <f>_xlfn.XLOOKUP(A327,'Subbu- Mini Project EXcel Clean'!A327:A1326,'Subbu- Mini Project EXcel Clean'!K327:K1326," ",0)</f>
        <v>83.9</v>
      </c>
    </row>
    <row r="328" spans="1:3" x14ac:dyDescent="0.25">
      <c r="A328" t="s">
        <v>356</v>
      </c>
      <c r="B328">
        <f>_xlfn.XLOOKUP(A328,'Subbu- Mini Project EXcel Clean'!A328:A1327,'Subbu- Mini Project EXcel Clean'!L328:L1327," ",0)</f>
        <v>164</v>
      </c>
      <c r="C328">
        <f>_xlfn.XLOOKUP(A328,'Subbu- Mini Project EXcel Clean'!A328:A1327,'Subbu- Mini Project EXcel Clean'!K328:K1327," ",0)</f>
        <v>68.2</v>
      </c>
    </row>
    <row r="329" spans="1:3" x14ac:dyDescent="0.25">
      <c r="A329" t="s">
        <v>357</v>
      </c>
      <c r="B329">
        <f>_xlfn.XLOOKUP(A329,'Subbu- Mini Project EXcel Clean'!A329:A1328,'Subbu- Mini Project EXcel Clean'!L329:L1328," ",0)</f>
        <v>166</v>
      </c>
      <c r="C329">
        <f>_xlfn.XLOOKUP(A329,'Subbu- Mini Project EXcel Clean'!A329:A1328,'Subbu- Mini Project EXcel Clean'!K329:K1328," ",0)</f>
        <v>69.2</v>
      </c>
    </row>
    <row r="330" spans="1:3" x14ac:dyDescent="0.25">
      <c r="A330" t="s">
        <v>358</v>
      </c>
      <c r="B330">
        <f>_xlfn.XLOOKUP(A330,'Subbu- Mini Project EXcel Clean'!A330:A1329,'Subbu- Mini Project EXcel Clean'!L330:L1329," ",0)</f>
        <v>177</v>
      </c>
      <c r="C330">
        <f>_xlfn.XLOOKUP(A330,'Subbu- Mini Project EXcel Clean'!A330:A1329,'Subbu- Mini Project EXcel Clean'!K330:K1329," ",0)</f>
        <v>73.8</v>
      </c>
    </row>
    <row r="331" spans="1:3" x14ac:dyDescent="0.25">
      <c r="A331" t="s">
        <v>359</v>
      </c>
      <c r="B331">
        <f>_xlfn.XLOOKUP(A331,'Subbu- Mini Project EXcel Clean'!A331:A1330,'Subbu- Mini Project EXcel Clean'!L331:L1330," ",0)</f>
        <v>172</v>
      </c>
      <c r="C331">
        <f>_xlfn.XLOOKUP(A331,'Subbu- Mini Project EXcel Clean'!A331:A1330,'Subbu- Mini Project EXcel Clean'!K331:K1330," ",0)</f>
        <v>71.8</v>
      </c>
    </row>
    <row r="332" spans="1:3" x14ac:dyDescent="0.25">
      <c r="A332" t="s">
        <v>360</v>
      </c>
      <c r="B332">
        <f>_xlfn.XLOOKUP(A332,'Subbu- Mini Project EXcel Clean'!A332:A1331,'Subbu- Mini Project EXcel Clean'!L332:L1331," ",0)</f>
        <v>149</v>
      </c>
      <c r="C332">
        <f>_xlfn.XLOOKUP(A332,'Subbu- Mini Project EXcel Clean'!A332:A1331,'Subbu- Mini Project EXcel Clean'!K332:K1331," ",0)</f>
        <v>61.9</v>
      </c>
    </row>
    <row r="333" spans="1:3" x14ac:dyDescent="0.25">
      <c r="A333" t="s">
        <v>361</v>
      </c>
      <c r="B333">
        <f>_xlfn.XLOOKUP(A333,'Subbu- Mini Project EXcel Clean'!A333:A1332,'Subbu- Mini Project EXcel Clean'!L333:L1332," ",0)</f>
        <v>207</v>
      </c>
      <c r="C333">
        <f>_xlfn.XLOOKUP(A333,'Subbu- Mini Project EXcel Clean'!A333:A1332,'Subbu- Mini Project EXcel Clean'!K333:K1332," ",0)</f>
        <v>86.2</v>
      </c>
    </row>
    <row r="334" spans="1:3" x14ac:dyDescent="0.25">
      <c r="A334" t="s">
        <v>362</v>
      </c>
      <c r="B334">
        <f>_xlfn.XLOOKUP(A334,'Subbu- Mini Project EXcel Clean'!A334:A1333,'Subbu- Mini Project EXcel Clean'!L334:L1333," ",0)</f>
        <v>145</v>
      </c>
      <c r="C334">
        <f>_xlfn.XLOOKUP(A334,'Subbu- Mini Project EXcel Clean'!A334:A1333,'Subbu- Mini Project EXcel Clean'!K334:K1333," ",0)</f>
        <v>60.6</v>
      </c>
    </row>
    <row r="335" spans="1:3" x14ac:dyDescent="0.25">
      <c r="A335" t="s">
        <v>363</v>
      </c>
      <c r="B335">
        <f>_xlfn.XLOOKUP(A335,'Subbu- Mini Project EXcel Clean'!A335:A1334,'Subbu- Mini Project EXcel Clean'!L335:L1334," ",0)</f>
        <v>165</v>
      </c>
      <c r="C335">
        <f>_xlfn.XLOOKUP(A335,'Subbu- Mini Project EXcel Clean'!A335:A1334,'Subbu- Mini Project EXcel Clean'!K335:K1334," ",0)</f>
        <v>68.7</v>
      </c>
    </row>
    <row r="336" spans="1:3" x14ac:dyDescent="0.25">
      <c r="A336" t="s">
        <v>364</v>
      </c>
      <c r="B336">
        <f>_xlfn.XLOOKUP(A336,'Subbu- Mini Project EXcel Clean'!A336:A1335,'Subbu- Mini Project EXcel Clean'!L336:L1335," ",0)</f>
        <v>146</v>
      </c>
      <c r="C336">
        <f>_xlfn.XLOOKUP(A336,'Subbu- Mini Project EXcel Clean'!A336:A1335,'Subbu- Mini Project EXcel Clean'!K336:K1335," ",0)</f>
        <v>60.9</v>
      </c>
    </row>
    <row r="337" spans="1:3" x14ac:dyDescent="0.25">
      <c r="A337" t="s">
        <v>365</v>
      </c>
      <c r="B337">
        <f>_xlfn.XLOOKUP(A337,'Subbu- Mini Project EXcel Clean'!A337:A1336,'Subbu- Mini Project EXcel Clean'!L337:L1336," ",0)</f>
        <v>116</v>
      </c>
      <c r="C337">
        <f>_xlfn.XLOOKUP(A337,'Subbu- Mini Project EXcel Clean'!A337:A1336,'Subbu- Mini Project EXcel Clean'!K337:K1336," ",0)</f>
        <v>48.5</v>
      </c>
    </row>
    <row r="338" spans="1:3" x14ac:dyDescent="0.25">
      <c r="A338" t="s">
        <v>366</v>
      </c>
      <c r="B338">
        <f>_xlfn.XLOOKUP(A338,'Subbu- Mini Project EXcel Clean'!A338:A1337,'Subbu- Mini Project EXcel Clean'!L338:L1337," ",0)</f>
        <v>199</v>
      </c>
      <c r="C338">
        <f>_xlfn.XLOOKUP(A338,'Subbu- Mini Project EXcel Clean'!A338:A1337,'Subbu- Mini Project EXcel Clean'!K338:K1337," ",0)</f>
        <v>82.8</v>
      </c>
    </row>
    <row r="339" spans="1:3" x14ac:dyDescent="0.25">
      <c r="A339" t="s">
        <v>367</v>
      </c>
      <c r="B339">
        <f>_xlfn.XLOOKUP(A339,'Subbu- Mini Project EXcel Clean'!A339:A1338,'Subbu- Mini Project EXcel Clean'!L339:L1338," ",0)</f>
        <v>203</v>
      </c>
      <c r="C339">
        <f>_xlfn.XLOOKUP(A339,'Subbu- Mini Project EXcel Clean'!A339:A1338,'Subbu- Mini Project EXcel Clean'!K339:K1338," ",0)</f>
        <v>84.7</v>
      </c>
    </row>
    <row r="340" spans="1:3" x14ac:dyDescent="0.25">
      <c r="A340" t="s">
        <v>368</v>
      </c>
      <c r="B340">
        <f>_xlfn.XLOOKUP(A340,'Subbu- Mini Project EXcel Clean'!A340:A1339,'Subbu- Mini Project EXcel Clean'!L340:L1339," ",0)</f>
        <v>165</v>
      </c>
      <c r="C340">
        <f>_xlfn.XLOOKUP(A340,'Subbu- Mini Project EXcel Clean'!A340:A1339,'Subbu- Mini Project EXcel Clean'!K340:K1339," ",0)</f>
        <v>68.599999999999994</v>
      </c>
    </row>
    <row r="341" spans="1:3" x14ac:dyDescent="0.25">
      <c r="A341" t="s">
        <v>369</v>
      </c>
      <c r="B341">
        <f>_xlfn.XLOOKUP(A341,'Subbu- Mini Project EXcel Clean'!A341:A1340,'Subbu- Mini Project EXcel Clean'!L341:L1340," ",0)</f>
        <v>146</v>
      </c>
      <c r="C341">
        <f>_xlfn.XLOOKUP(A341,'Subbu- Mini Project EXcel Clean'!A341:A1340,'Subbu- Mini Project EXcel Clean'!K341:K1340," ",0)</f>
        <v>60.8</v>
      </c>
    </row>
    <row r="342" spans="1:3" x14ac:dyDescent="0.25">
      <c r="A342" t="s">
        <v>370</v>
      </c>
      <c r="B342">
        <f>_xlfn.XLOOKUP(A342,'Subbu- Mini Project EXcel Clean'!A342:A1341,'Subbu- Mini Project EXcel Clean'!L342:L1341," ",0)</f>
        <v>174</v>
      </c>
      <c r="C342">
        <f>_xlfn.XLOOKUP(A342,'Subbu- Mini Project EXcel Clean'!A342:A1341,'Subbu- Mini Project EXcel Clean'!K342:K1341," ",0)</f>
        <v>72.599999999999994</v>
      </c>
    </row>
    <row r="343" spans="1:3" x14ac:dyDescent="0.25">
      <c r="A343" t="s">
        <v>371</v>
      </c>
      <c r="B343">
        <f>_xlfn.XLOOKUP(A343,'Subbu- Mini Project EXcel Clean'!A343:A1342,'Subbu- Mini Project EXcel Clean'!L343:L1342," ",0)</f>
        <v>140</v>
      </c>
      <c r="C343">
        <f>_xlfn.XLOOKUP(A343,'Subbu- Mini Project EXcel Clean'!A343:A1342,'Subbu- Mini Project EXcel Clean'!K343:K1342," ",0)</f>
        <v>58.5</v>
      </c>
    </row>
    <row r="344" spans="1:3" x14ac:dyDescent="0.25">
      <c r="A344" t="s">
        <v>372</v>
      </c>
      <c r="B344">
        <f>_xlfn.XLOOKUP(A344,'Subbu- Mini Project EXcel Clean'!A344:A1343,'Subbu- Mini Project EXcel Clean'!L344:L1343," ",0)</f>
        <v>175</v>
      </c>
      <c r="C344">
        <f>_xlfn.XLOOKUP(A344,'Subbu- Mini Project EXcel Clean'!A344:A1343,'Subbu- Mini Project EXcel Clean'!K344:K1343," ",0)</f>
        <v>73.099999999999994</v>
      </c>
    </row>
    <row r="345" spans="1:3" x14ac:dyDescent="0.25">
      <c r="A345" t="s">
        <v>373</v>
      </c>
      <c r="B345">
        <f>_xlfn.XLOOKUP(A345,'Subbu- Mini Project EXcel Clean'!A345:A1344,'Subbu- Mini Project EXcel Clean'!L345:L1344," ",0)</f>
        <v>162</v>
      </c>
      <c r="C345">
        <f>_xlfn.XLOOKUP(A345,'Subbu- Mini Project EXcel Clean'!A345:A1344,'Subbu- Mini Project EXcel Clean'!K345:K1344," ",0)</f>
        <v>67.400000000000006</v>
      </c>
    </row>
    <row r="346" spans="1:3" x14ac:dyDescent="0.25">
      <c r="A346" t="s">
        <v>374</v>
      </c>
      <c r="B346">
        <f>_xlfn.XLOOKUP(A346,'Subbu- Mini Project EXcel Clean'!A346:A1345,'Subbu- Mini Project EXcel Clean'!L346:L1345," ",0)</f>
        <v>176</v>
      </c>
      <c r="C346">
        <f>_xlfn.XLOOKUP(A346,'Subbu- Mini Project EXcel Clean'!A346:A1345,'Subbu- Mini Project EXcel Clean'!K346:K1345," ",0)</f>
        <v>73.5</v>
      </c>
    </row>
    <row r="347" spans="1:3" x14ac:dyDescent="0.25">
      <c r="A347" t="s">
        <v>375</v>
      </c>
      <c r="B347">
        <f>_xlfn.XLOOKUP(A347,'Subbu- Mini Project EXcel Clean'!A347:A1346,'Subbu- Mini Project EXcel Clean'!L347:L1346," ",0)</f>
        <v>184</v>
      </c>
      <c r="C347">
        <f>_xlfn.XLOOKUP(A347,'Subbu- Mini Project EXcel Clean'!A347:A1346,'Subbu- Mini Project EXcel Clean'!K347:K1346," ",0)</f>
        <v>76.5</v>
      </c>
    </row>
    <row r="348" spans="1:3" x14ac:dyDescent="0.25">
      <c r="A348" t="s">
        <v>376</v>
      </c>
      <c r="B348">
        <f>_xlfn.XLOOKUP(A348,'Subbu- Mini Project EXcel Clean'!A348:A1347,'Subbu- Mini Project EXcel Clean'!L348:L1347," ",0)</f>
        <v>201</v>
      </c>
      <c r="C348">
        <f>_xlfn.XLOOKUP(A348,'Subbu- Mini Project EXcel Clean'!A348:A1347,'Subbu- Mini Project EXcel Clean'!K348:K1347," ",0)</f>
        <v>83.8</v>
      </c>
    </row>
    <row r="349" spans="1:3" x14ac:dyDescent="0.25">
      <c r="A349" t="s">
        <v>377</v>
      </c>
      <c r="B349">
        <f>_xlfn.XLOOKUP(A349,'Subbu- Mini Project EXcel Clean'!A349:A1348,'Subbu- Mini Project EXcel Clean'!L349:L1348," ",0)</f>
        <v>152</v>
      </c>
      <c r="C349">
        <f>_xlfn.XLOOKUP(A349,'Subbu- Mini Project EXcel Clean'!A349:A1348,'Subbu- Mini Project EXcel Clean'!K349:K1348," ",0)</f>
        <v>63.3</v>
      </c>
    </row>
    <row r="350" spans="1:3" x14ac:dyDescent="0.25">
      <c r="A350" t="s">
        <v>378</v>
      </c>
      <c r="B350">
        <f>_xlfn.XLOOKUP(A350,'Subbu- Mini Project EXcel Clean'!A350:A1349,'Subbu- Mini Project EXcel Clean'!L350:L1349," ",0)</f>
        <v>166</v>
      </c>
      <c r="C350">
        <f>_xlfn.XLOOKUP(A350,'Subbu- Mini Project EXcel Clean'!A350:A1349,'Subbu- Mini Project EXcel Clean'!K350:K1349," ",0)</f>
        <v>69.099999999999994</v>
      </c>
    </row>
    <row r="351" spans="1:3" x14ac:dyDescent="0.25">
      <c r="A351" t="s">
        <v>379</v>
      </c>
      <c r="B351">
        <f>_xlfn.XLOOKUP(A351,'Subbu- Mini Project EXcel Clean'!A351:A1350,'Subbu- Mini Project EXcel Clean'!L351:L1350," ",0)</f>
        <v>174</v>
      </c>
      <c r="C351">
        <f>_xlfn.XLOOKUP(A351,'Subbu- Mini Project EXcel Clean'!A351:A1350,'Subbu- Mini Project EXcel Clean'!K351:K1350," ",0)</f>
        <v>72.7</v>
      </c>
    </row>
    <row r="352" spans="1:3" x14ac:dyDescent="0.25">
      <c r="A352" t="s">
        <v>380</v>
      </c>
      <c r="B352">
        <f>_xlfn.XLOOKUP(A352,'Subbu- Mini Project EXcel Clean'!A352:A1351,'Subbu- Mini Project EXcel Clean'!L352:L1351," ",0)</f>
        <v>187</v>
      </c>
      <c r="C352">
        <f>_xlfn.XLOOKUP(A352,'Subbu- Mini Project EXcel Clean'!A352:A1351,'Subbu- Mini Project EXcel Clean'!K352:K1351," ",0)</f>
        <v>77.8</v>
      </c>
    </row>
    <row r="353" spans="1:3" x14ac:dyDescent="0.25">
      <c r="A353" t="s">
        <v>381</v>
      </c>
      <c r="B353">
        <f>_xlfn.XLOOKUP(A353,'Subbu- Mini Project EXcel Clean'!A353:A1352,'Subbu- Mini Project EXcel Clean'!L353:L1352," ",0)</f>
        <v>178</v>
      </c>
      <c r="C353">
        <f>_xlfn.XLOOKUP(A353,'Subbu- Mini Project EXcel Clean'!A353:A1352,'Subbu- Mini Project EXcel Clean'!K353:K1352," ",0)</f>
        <v>74.2</v>
      </c>
    </row>
    <row r="354" spans="1:3" x14ac:dyDescent="0.25">
      <c r="A354" t="s">
        <v>382</v>
      </c>
      <c r="B354">
        <f>_xlfn.XLOOKUP(A354,'Subbu- Mini Project EXcel Clean'!A354:A1353,'Subbu- Mini Project EXcel Clean'!L354:L1353," ",0)</f>
        <v>195</v>
      </c>
      <c r="C354">
        <f>_xlfn.XLOOKUP(A354,'Subbu- Mini Project EXcel Clean'!A354:A1353,'Subbu- Mini Project EXcel Clean'!K354:K1353," ",0)</f>
        <v>81.3</v>
      </c>
    </row>
    <row r="355" spans="1:3" x14ac:dyDescent="0.25">
      <c r="A355" t="s">
        <v>383</v>
      </c>
      <c r="B355">
        <f>_xlfn.XLOOKUP(A355,'Subbu- Mini Project EXcel Clean'!A355:A1354,'Subbu- Mini Project EXcel Clean'!L355:L1354," ",0)</f>
        <v>142</v>
      </c>
      <c r="C355">
        <f>_xlfn.XLOOKUP(A355,'Subbu- Mini Project EXcel Clean'!A355:A1354,'Subbu- Mini Project EXcel Clean'!K355:K1354," ",0)</f>
        <v>59</v>
      </c>
    </row>
    <row r="356" spans="1:3" x14ac:dyDescent="0.25">
      <c r="A356" t="s">
        <v>384</v>
      </c>
      <c r="B356">
        <f>_xlfn.XLOOKUP(A356,'Subbu- Mini Project EXcel Clean'!A356:A1355,'Subbu- Mini Project EXcel Clean'!L356:L1355," ",0)</f>
        <v>164</v>
      </c>
      <c r="C356">
        <f>_xlfn.XLOOKUP(A356,'Subbu- Mini Project EXcel Clean'!A356:A1355,'Subbu- Mini Project EXcel Clean'!K356:K1355," ",0)</f>
        <v>68.2</v>
      </c>
    </row>
    <row r="357" spans="1:3" x14ac:dyDescent="0.25">
      <c r="A357" t="s">
        <v>385</v>
      </c>
      <c r="B357">
        <f>_xlfn.XLOOKUP(A357,'Subbu- Mini Project EXcel Clean'!A357:A1356,'Subbu- Mini Project EXcel Clean'!L357:L1356," ",0)</f>
        <v>188</v>
      </c>
      <c r="C357">
        <f>_xlfn.XLOOKUP(A357,'Subbu- Mini Project EXcel Clean'!A357:A1356,'Subbu- Mini Project EXcel Clean'!K357:K1356," ",0)</f>
        <v>78.5</v>
      </c>
    </row>
    <row r="358" spans="1:3" x14ac:dyDescent="0.25">
      <c r="A358" t="s">
        <v>386</v>
      </c>
      <c r="B358">
        <f>_xlfn.XLOOKUP(A358,'Subbu- Mini Project EXcel Clean'!A358:A1357,'Subbu- Mini Project EXcel Clean'!L358:L1357," ",0)</f>
        <v>153</v>
      </c>
      <c r="C358">
        <f>_xlfn.XLOOKUP(A358,'Subbu- Mini Project EXcel Clean'!A358:A1357,'Subbu- Mini Project EXcel Clean'!K358:K1357," ",0)</f>
        <v>63.9</v>
      </c>
    </row>
    <row r="359" spans="1:3" x14ac:dyDescent="0.25">
      <c r="A359" t="s">
        <v>387</v>
      </c>
      <c r="B359">
        <f>_xlfn.XLOOKUP(A359,'Subbu- Mini Project EXcel Clean'!A359:A1358,'Subbu- Mini Project EXcel Clean'!L359:L1358," ",0)</f>
        <v>184</v>
      </c>
      <c r="C359">
        <f>_xlfn.XLOOKUP(A359,'Subbu- Mini Project EXcel Clean'!A359:A1358,'Subbu- Mini Project EXcel Clean'!K359:K1358," ",0)</f>
        <v>76.5</v>
      </c>
    </row>
    <row r="360" spans="1:3" x14ac:dyDescent="0.25">
      <c r="A360" t="s">
        <v>388</v>
      </c>
      <c r="B360">
        <f>_xlfn.XLOOKUP(A360,'Subbu- Mini Project EXcel Clean'!A360:A1359,'Subbu- Mini Project EXcel Clean'!L360:L1359," ",0)</f>
        <v>185</v>
      </c>
      <c r="C360">
        <f>_xlfn.XLOOKUP(A360,'Subbu- Mini Project EXcel Clean'!A360:A1359,'Subbu- Mini Project EXcel Clean'!K360:K1359," ",0)</f>
        <v>77.099999999999994</v>
      </c>
    </row>
    <row r="361" spans="1:3" x14ac:dyDescent="0.25">
      <c r="A361" t="s">
        <v>389</v>
      </c>
      <c r="B361">
        <f>_xlfn.XLOOKUP(A361,'Subbu- Mini Project EXcel Clean'!A361:A1360,'Subbu- Mini Project EXcel Clean'!L361:L1360," ",0)</f>
        <v>172</v>
      </c>
      <c r="C361">
        <f>_xlfn.XLOOKUP(A361,'Subbu- Mini Project EXcel Clean'!A361:A1360,'Subbu- Mini Project EXcel Clean'!K361:K1360," ",0)</f>
        <v>71.5</v>
      </c>
    </row>
    <row r="362" spans="1:3" x14ac:dyDescent="0.25">
      <c r="A362" t="s">
        <v>390</v>
      </c>
      <c r="B362">
        <f>_xlfn.XLOOKUP(A362,'Subbu- Mini Project EXcel Clean'!A362:A1361,'Subbu- Mini Project EXcel Clean'!L362:L1361," ",0)</f>
        <v>178</v>
      </c>
      <c r="C362">
        <f>_xlfn.XLOOKUP(A362,'Subbu- Mini Project EXcel Clean'!A362:A1361,'Subbu- Mini Project EXcel Clean'!K362:K1361," ",0)</f>
        <v>74</v>
      </c>
    </row>
    <row r="363" spans="1:3" x14ac:dyDescent="0.25">
      <c r="A363" t="s">
        <v>391</v>
      </c>
      <c r="B363">
        <f>_xlfn.XLOOKUP(A363,'Subbu- Mini Project EXcel Clean'!A363:A1362,'Subbu- Mini Project EXcel Clean'!L363:L1362," ",0)</f>
        <v>188</v>
      </c>
      <c r="C363">
        <f>_xlfn.XLOOKUP(A363,'Subbu- Mini Project EXcel Clean'!A363:A1362,'Subbu- Mini Project EXcel Clean'!K363:K1362," ",0)</f>
        <v>78.5</v>
      </c>
    </row>
    <row r="364" spans="1:3" x14ac:dyDescent="0.25">
      <c r="A364" t="s">
        <v>392</v>
      </c>
      <c r="B364">
        <f>_xlfn.XLOOKUP(A364,'Subbu- Mini Project EXcel Clean'!A364:A1363,'Subbu- Mini Project EXcel Clean'!L364:L1363," ",0)</f>
        <v>188</v>
      </c>
      <c r="C364">
        <f>_xlfn.XLOOKUP(A364,'Subbu- Mini Project EXcel Clean'!A364:A1363,'Subbu- Mini Project EXcel Clean'!K364:K1363," ",0)</f>
        <v>78.5</v>
      </c>
    </row>
    <row r="365" spans="1:3" x14ac:dyDescent="0.25">
      <c r="A365" t="s">
        <v>393</v>
      </c>
      <c r="B365">
        <f>_xlfn.XLOOKUP(A365,'Subbu- Mini Project EXcel Clean'!A365:A1364,'Subbu- Mini Project EXcel Clean'!L365:L1364," ",0)</f>
        <v>185</v>
      </c>
      <c r="C365">
        <f>_xlfn.XLOOKUP(A365,'Subbu- Mini Project EXcel Clean'!A365:A1364,'Subbu- Mini Project EXcel Clean'!K365:K1364," ",0)</f>
        <v>77</v>
      </c>
    </row>
    <row r="366" spans="1:3" x14ac:dyDescent="0.25">
      <c r="A366" t="s">
        <v>394</v>
      </c>
      <c r="B366">
        <f>_xlfn.XLOOKUP(A366,'Subbu- Mini Project EXcel Clean'!A366:A1365,'Subbu- Mini Project EXcel Clean'!L366:L1365," ",0)</f>
        <v>195</v>
      </c>
      <c r="C366">
        <f>_xlfn.XLOOKUP(A366,'Subbu- Mini Project EXcel Clean'!A366:A1365,'Subbu- Mini Project EXcel Clean'!K366:K1365," ",0)</f>
        <v>81.099999999999994</v>
      </c>
    </row>
    <row r="367" spans="1:3" x14ac:dyDescent="0.25">
      <c r="A367" t="s">
        <v>395</v>
      </c>
      <c r="B367">
        <f>_xlfn.XLOOKUP(A367,'Subbu- Mini Project EXcel Clean'!A367:A1366,'Subbu- Mini Project EXcel Clean'!L367:L1366," ",0)</f>
        <v>160</v>
      </c>
      <c r="C367">
        <f>_xlfn.XLOOKUP(A367,'Subbu- Mini Project EXcel Clean'!A367:A1366,'Subbu- Mini Project EXcel Clean'!K367:K1366," ",0)</f>
        <v>66.599999999999994</v>
      </c>
    </row>
    <row r="368" spans="1:3" x14ac:dyDescent="0.25">
      <c r="A368" t="s">
        <v>396</v>
      </c>
      <c r="B368">
        <f>_xlfn.XLOOKUP(A368,'Subbu- Mini Project EXcel Clean'!A368:A1367,'Subbu- Mini Project EXcel Clean'!L368:L1367," ",0)</f>
        <v>209</v>
      </c>
      <c r="C368">
        <f>_xlfn.XLOOKUP(A368,'Subbu- Mini Project EXcel Clean'!A368:A1367,'Subbu- Mini Project EXcel Clean'!K368:K1367," ",0)</f>
        <v>86.9</v>
      </c>
    </row>
    <row r="369" spans="1:3" x14ac:dyDescent="0.25">
      <c r="A369" t="s">
        <v>397</v>
      </c>
      <c r="B369">
        <f>_xlfn.XLOOKUP(A369,'Subbu- Mini Project EXcel Clean'!A369:A1368,'Subbu- Mini Project EXcel Clean'!L369:L1368," ",0)</f>
        <v>176</v>
      </c>
      <c r="C369">
        <f>_xlfn.XLOOKUP(A369,'Subbu- Mini Project EXcel Clean'!A369:A1368,'Subbu- Mini Project EXcel Clean'!K369:K1368," ",0)</f>
        <v>73.3</v>
      </c>
    </row>
    <row r="370" spans="1:3" x14ac:dyDescent="0.25">
      <c r="A370" t="s">
        <v>398</v>
      </c>
      <c r="B370">
        <f>_xlfn.XLOOKUP(A370,'Subbu- Mini Project EXcel Clean'!A370:A1369,'Subbu- Mini Project EXcel Clean'!L370:L1369," ",0)</f>
        <v>177</v>
      </c>
      <c r="C370">
        <f>_xlfn.XLOOKUP(A370,'Subbu- Mini Project EXcel Clean'!A370:A1369,'Subbu- Mini Project EXcel Clean'!K370:K1369," ",0)</f>
        <v>73.8</v>
      </c>
    </row>
    <row r="371" spans="1:3" x14ac:dyDescent="0.25">
      <c r="A371" t="s">
        <v>399</v>
      </c>
      <c r="B371">
        <f>_xlfn.XLOOKUP(A371,'Subbu- Mini Project EXcel Clean'!A371:A1370,'Subbu- Mini Project EXcel Clean'!L371:L1370," ",0)</f>
        <v>154</v>
      </c>
      <c r="C371">
        <f>_xlfn.XLOOKUP(A371,'Subbu- Mini Project EXcel Clean'!A371:A1370,'Subbu- Mini Project EXcel Clean'!K371:K1370," ",0)</f>
        <v>64.099999999999994</v>
      </c>
    </row>
    <row r="372" spans="1:3" x14ac:dyDescent="0.25">
      <c r="A372" t="s">
        <v>400</v>
      </c>
      <c r="B372">
        <f>_xlfn.XLOOKUP(A372,'Subbu- Mini Project EXcel Clean'!A372:A1371,'Subbu- Mini Project EXcel Clean'!L372:L1371," ",0)</f>
        <v>165</v>
      </c>
      <c r="C372">
        <f>_xlfn.XLOOKUP(A372,'Subbu- Mini Project EXcel Clean'!A372:A1371,'Subbu- Mini Project EXcel Clean'!K372:K1371," ",0)</f>
        <v>68.900000000000006</v>
      </c>
    </row>
    <row r="373" spans="1:3" x14ac:dyDescent="0.25">
      <c r="A373" t="s">
        <v>401</v>
      </c>
      <c r="B373">
        <f>_xlfn.XLOOKUP(A373,'Subbu- Mini Project EXcel Clean'!A373:A1372,'Subbu- Mini Project EXcel Clean'!L373:L1372," ",0)</f>
        <v>126</v>
      </c>
      <c r="C373">
        <f>_xlfn.XLOOKUP(A373,'Subbu- Mini Project EXcel Clean'!A373:A1372,'Subbu- Mini Project EXcel Clean'!K373:K1372," ",0)</f>
        <v>52.6</v>
      </c>
    </row>
    <row r="374" spans="1:3" x14ac:dyDescent="0.25">
      <c r="A374" t="s">
        <v>402</v>
      </c>
      <c r="B374">
        <f>_xlfn.XLOOKUP(A374,'Subbu- Mini Project EXcel Clean'!A374:A1373,'Subbu- Mini Project EXcel Clean'!L374:L1373," ",0)</f>
        <v>165</v>
      </c>
      <c r="C374">
        <f>_xlfn.XLOOKUP(A374,'Subbu- Mini Project EXcel Clean'!A374:A1373,'Subbu- Mini Project EXcel Clean'!K374:K1373," ",0)</f>
        <v>68.8</v>
      </c>
    </row>
    <row r="375" spans="1:3" x14ac:dyDescent="0.25">
      <c r="A375" t="s">
        <v>403</v>
      </c>
      <c r="B375">
        <f>_xlfn.XLOOKUP(A375,'Subbu- Mini Project EXcel Clean'!A375:A1374,'Subbu- Mini Project EXcel Clean'!L375:L1374," ",0)</f>
        <v>216</v>
      </c>
      <c r="C375">
        <f>_xlfn.XLOOKUP(A375,'Subbu- Mini Project EXcel Clean'!A375:A1374,'Subbu- Mini Project EXcel Clean'!K375:K1374," ",0)</f>
        <v>89.9</v>
      </c>
    </row>
    <row r="376" spans="1:3" x14ac:dyDescent="0.25">
      <c r="A376" t="s">
        <v>404</v>
      </c>
      <c r="B376">
        <f>_xlfn.XLOOKUP(A376,'Subbu- Mini Project EXcel Clean'!A376:A1375,'Subbu- Mini Project EXcel Clean'!L376:L1375," ",0)</f>
        <v>133</v>
      </c>
      <c r="C376">
        <f>_xlfn.XLOOKUP(A376,'Subbu- Mini Project EXcel Clean'!A376:A1375,'Subbu- Mini Project EXcel Clean'!K376:K1375," ",0)</f>
        <v>55.4</v>
      </c>
    </row>
    <row r="377" spans="1:3" x14ac:dyDescent="0.25">
      <c r="A377" t="s">
        <v>405</v>
      </c>
      <c r="B377">
        <f>_xlfn.XLOOKUP(A377,'Subbu- Mini Project EXcel Clean'!A377:A1376,'Subbu- Mini Project EXcel Clean'!L377:L1376," ",0)</f>
        <v>174</v>
      </c>
      <c r="C377">
        <f>_xlfn.XLOOKUP(A377,'Subbu- Mini Project EXcel Clean'!A377:A1376,'Subbu- Mini Project EXcel Clean'!K377:K1376," ",0)</f>
        <v>72.599999999999994</v>
      </c>
    </row>
    <row r="378" spans="1:3" x14ac:dyDescent="0.25">
      <c r="A378" t="s">
        <v>406</v>
      </c>
      <c r="B378">
        <f>_xlfn.XLOOKUP(A378,'Subbu- Mini Project EXcel Clean'!A378:A1377,'Subbu- Mini Project EXcel Clean'!L378:L1377," ",0)</f>
        <v>200</v>
      </c>
      <c r="C378">
        <f>_xlfn.XLOOKUP(A378,'Subbu- Mini Project EXcel Clean'!A378:A1377,'Subbu- Mini Project EXcel Clean'!K378:K1377," ",0)</f>
        <v>83.2</v>
      </c>
    </row>
    <row r="379" spans="1:3" x14ac:dyDescent="0.25">
      <c r="A379" t="s">
        <v>407</v>
      </c>
      <c r="B379">
        <f>_xlfn.XLOOKUP(A379,'Subbu- Mini Project EXcel Clean'!A379:A1378,'Subbu- Mini Project EXcel Clean'!L379:L1378," ",0)</f>
        <v>127</v>
      </c>
      <c r="C379">
        <f>_xlfn.XLOOKUP(A379,'Subbu- Mini Project EXcel Clean'!A379:A1378,'Subbu- Mini Project EXcel Clean'!K379:K1378," ",0)</f>
        <v>52.9</v>
      </c>
    </row>
    <row r="380" spans="1:3" x14ac:dyDescent="0.25">
      <c r="A380" t="s">
        <v>408</v>
      </c>
      <c r="B380">
        <f>_xlfn.XLOOKUP(A380,'Subbu- Mini Project EXcel Clean'!A380:A1379,'Subbu- Mini Project EXcel Clean'!L380:L1379," ",0)</f>
        <v>204</v>
      </c>
      <c r="C380">
        <f>_xlfn.XLOOKUP(A380,'Subbu- Mini Project EXcel Clean'!A380:A1379,'Subbu- Mini Project EXcel Clean'!K380:K1379," ",0)</f>
        <v>84.9</v>
      </c>
    </row>
    <row r="381" spans="1:3" x14ac:dyDescent="0.25">
      <c r="A381" t="s">
        <v>409</v>
      </c>
      <c r="B381">
        <f>_xlfn.XLOOKUP(A381,'Subbu- Mini Project EXcel Clean'!A381:A1380,'Subbu- Mini Project EXcel Clean'!L381:L1380," ",0)</f>
        <v>173</v>
      </c>
      <c r="C381">
        <f>_xlfn.XLOOKUP(A381,'Subbu- Mini Project EXcel Clean'!A381:A1380,'Subbu- Mini Project EXcel Clean'!K381:K1380," ",0)</f>
        <v>71.900000000000006</v>
      </c>
    </row>
    <row r="382" spans="1:3" x14ac:dyDescent="0.25">
      <c r="A382" t="s">
        <v>410</v>
      </c>
      <c r="B382">
        <f>_xlfn.XLOOKUP(A382,'Subbu- Mini Project EXcel Clean'!A382:A1381,'Subbu- Mini Project EXcel Clean'!L382:L1381," ",0)</f>
        <v>144</v>
      </c>
      <c r="C382">
        <f>_xlfn.XLOOKUP(A382,'Subbu- Mini Project EXcel Clean'!A382:A1381,'Subbu- Mini Project EXcel Clean'!K382:K1381," ",0)</f>
        <v>60.2</v>
      </c>
    </row>
    <row r="383" spans="1:3" x14ac:dyDescent="0.25">
      <c r="A383" t="s">
        <v>411</v>
      </c>
      <c r="B383">
        <f>_xlfn.XLOOKUP(A383,'Subbu- Mini Project EXcel Clean'!A383:A1382,'Subbu- Mini Project EXcel Clean'!L383:L1382," ",0)</f>
        <v>204</v>
      </c>
      <c r="C383">
        <f>_xlfn.XLOOKUP(A383,'Subbu- Mini Project EXcel Clean'!A383:A1382,'Subbu- Mini Project EXcel Clean'!K383:K1382," ",0)</f>
        <v>85</v>
      </c>
    </row>
    <row r="384" spans="1:3" x14ac:dyDescent="0.25">
      <c r="A384" t="s">
        <v>412</v>
      </c>
      <c r="B384">
        <f>_xlfn.XLOOKUP(A384,'Subbu- Mini Project EXcel Clean'!A384:A1383,'Subbu- Mini Project EXcel Clean'!L384:L1383," ",0)</f>
        <v>166</v>
      </c>
      <c r="C384">
        <f>_xlfn.XLOOKUP(A384,'Subbu- Mini Project EXcel Clean'!A384:A1383,'Subbu- Mini Project EXcel Clean'!K384:K1383," ",0)</f>
        <v>69</v>
      </c>
    </row>
    <row r="385" spans="1:3" x14ac:dyDescent="0.25">
      <c r="A385" t="s">
        <v>413</v>
      </c>
      <c r="B385">
        <f>_xlfn.XLOOKUP(A385,'Subbu- Mini Project EXcel Clean'!A385:A1384,'Subbu- Mini Project EXcel Clean'!L385:L1384," ",0)</f>
        <v>184</v>
      </c>
      <c r="C385">
        <f>_xlfn.XLOOKUP(A385,'Subbu- Mini Project EXcel Clean'!A385:A1384,'Subbu- Mini Project EXcel Clean'!K385:K1384," ",0)</f>
        <v>76.7</v>
      </c>
    </row>
    <row r="386" spans="1:3" x14ac:dyDescent="0.25">
      <c r="A386" t="s">
        <v>414</v>
      </c>
      <c r="B386">
        <f>_xlfn.XLOOKUP(A386,'Subbu- Mini Project EXcel Clean'!A386:A1385,'Subbu- Mini Project EXcel Clean'!L386:L1385," ",0)</f>
        <v>194</v>
      </c>
      <c r="C386">
        <f>_xlfn.XLOOKUP(A386,'Subbu- Mini Project EXcel Clean'!A386:A1385,'Subbu- Mini Project EXcel Clean'!K386:K1385," ",0)</f>
        <v>80.900000000000006</v>
      </c>
    </row>
    <row r="387" spans="1:3" x14ac:dyDescent="0.25">
      <c r="A387" t="s">
        <v>415</v>
      </c>
      <c r="B387">
        <f>_xlfn.XLOOKUP(A387,'Subbu- Mini Project EXcel Clean'!A387:A1386,'Subbu- Mini Project EXcel Clean'!L387:L1386," ",0)</f>
        <v>197</v>
      </c>
      <c r="C387">
        <f>_xlfn.XLOOKUP(A387,'Subbu- Mini Project EXcel Clean'!A387:A1386,'Subbu- Mini Project EXcel Clean'!K387:K1386," ",0)</f>
        <v>82.2</v>
      </c>
    </row>
    <row r="388" spans="1:3" x14ac:dyDescent="0.25">
      <c r="A388" t="s">
        <v>416</v>
      </c>
      <c r="B388">
        <f>_xlfn.XLOOKUP(A388,'Subbu- Mini Project EXcel Clean'!A388:A1387,'Subbu- Mini Project EXcel Clean'!L388:L1387," ",0)</f>
        <v>154</v>
      </c>
      <c r="C388">
        <f>_xlfn.XLOOKUP(A388,'Subbu- Mini Project EXcel Clean'!A388:A1387,'Subbu- Mini Project EXcel Clean'!K388:K1387," ",0)</f>
        <v>64.2</v>
      </c>
    </row>
    <row r="389" spans="1:3" x14ac:dyDescent="0.25">
      <c r="A389" t="s">
        <v>417</v>
      </c>
      <c r="B389">
        <f>_xlfn.XLOOKUP(A389,'Subbu- Mini Project EXcel Clean'!A389:A1388,'Subbu- Mini Project EXcel Clean'!L389:L1388," ",0)</f>
        <v>165</v>
      </c>
      <c r="C389">
        <f>_xlfn.XLOOKUP(A389,'Subbu- Mini Project EXcel Clean'!A389:A1388,'Subbu- Mini Project EXcel Clean'!K389:K1388," ",0)</f>
        <v>68.900000000000006</v>
      </c>
    </row>
    <row r="390" spans="1:3" x14ac:dyDescent="0.25">
      <c r="A390" t="s">
        <v>418</v>
      </c>
      <c r="B390">
        <f>_xlfn.XLOOKUP(A390,'Subbu- Mini Project EXcel Clean'!A390:A1389,'Subbu- Mini Project EXcel Clean'!L390:L1389," ",0)</f>
        <v>200</v>
      </c>
      <c r="C390">
        <f>_xlfn.XLOOKUP(A390,'Subbu- Mini Project EXcel Clean'!A390:A1389,'Subbu- Mini Project EXcel Clean'!K390:K1389," ",0)</f>
        <v>83.3</v>
      </c>
    </row>
    <row r="391" spans="1:3" x14ac:dyDescent="0.25">
      <c r="A391" t="s">
        <v>419</v>
      </c>
      <c r="B391">
        <f>_xlfn.XLOOKUP(A391,'Subbu- Mini Project EXcel Clean'!A391:A1390,'Subbu- Mini Project EXcel Clean'!L391:L1390," ",0)</f>
        <v>208</v>
      </c>
      <c r="C391">
        <f>_xlfn.XLOOKUP(A391,'Subbu- Mini Project EXcel Clean'!A391:A1390,'Subbu- Mini Project EXcel Clean'!K391:K1390," ",0)</f>
        <v>86.5</v>
      </c>
    </row>
    <row r="392" spans="1:3" x14ac:dyDescent="0.25">
      <c r="A392" t="s">
        <v>420</v>
      </c>
      <c r="B392">
        <f>_xlfn.XLOOKUP(A392,'Subbu- Mini Project EXcel Clean'!A392:A1391,'Subbu- Mini Project EXcel Clean'!L392:L1391," ",0)</f>
        <v>208</v>
      </c>
      <c r="C392">
        <f>_xlfn.XLOOKUP(A392,'Subbu- Mini Project EXcel Clean'!A392:A1391,'Subbu- Mini Project EXcel Clean'!K392:K1391," ",0)</f>
        <v>86.6</v>
      </c>
    </row>
    <row r="393" spans="1:3" x14ac:dyDescent="0.25">
      <c r="A393" t="s">
        <v>421</v>
      </c>
      <c r="B393">
        <f>_xlfn.XLOOKUP(A393,'Subbu- Mini Project EXcel Clean'!A393:A1392,'Subbu- Mini Project EXcel Clean'!L393:L1392," ",0)</f>
        <v>179</v>
      </c>
      <c r="C393">
        <f>_xlfn.XLOOKUP(A393,'Subbu- Mini Project EXcel Clean'!A393:A1392,'Subbu- Mini Project EXcel Clean'!K393:K1392," ",0)</f>
        <v>74.400000000000006</v>
      </c>
    </row>
    <row r="394" spans="1:3" x14ac:dyDescent="0.25">
      <c r="A394" t="s">
        <v>422</v>
      </c>
      <c r="B394">
        <f>_xlfn.XLOOKUP(A394,'Subbu- Mini Project EXcel Clean'!A394:A1393,'Subbu- Mini Project EXcel Clean'!L394:L1393," ",0)</f>
        <v>163</v>
      </c>
      <c r="C394">
        <f>_xlfn.XLOOKUP(A394,'Subbu- Mini Project EXcel Clean'!A394:A1393,'Subbu- Mini Project EXcel Clean'!K394:K1393," ",0)</f>
        <v>68</v>
      </c>
    </row>
    <row r="395" spans="1:3" x14ac:dyDescent="0.25">
      <c r="A395" t="s">
        <v>423</v>
      </c>
      <c r="B395">
        <f>_xlfn.XLOOKUP(A395,'Subbu- Mini Project EXcel Clean'!A395:A1394,'Subbu- Mini Project EXcel Clean'!L395:L1394," ",0)</f>
        <v>220</v>
      </c>
      <c r="C395">
        <f>_xlfn.XLOOKUP(A395,'Subbu- Mini Project EXcel Clean'!A395:A1394,'Subbu- Mini Project EXcel Clean'!K395:K1394," ",0)</f>
        <v>91.6</v>
      </c>
    </row>
    <row r="396" spans="1:3" x14ac:dyDescent="0.25">
      <c r="A396" t="s">
        <v>424</v>
      </c>
      <c r="B396">
        <f>_xlfn.XLOOKUP(A396,'Subbu- Mini Project EXcel Clean'!A396:A1395,'Subbu- Mini Project EXcel Clean'!L396:L1395," ",0)</f>
        <v>157</v>
      </c>
      <c r="C396">
        <f>_xlfn.XLOOKUP(A396,'Subbu- Mini Project EXcel Clean'!A396:A1395,'Subbu- Mini Project EXcel Clean'!K396:K1395," ",0)</f>
        <v>65.3</v>
      </c>
    </row>
    <row r="397" spans="1:3" x14ac:dyDescent="0.25">
      <c r="A397" t="s">
        <v>425</v>
      </c>
      <c r="B397">
        <f>_xlfn.XLOOKUP(A397,'Subbu- Mini Project EXcel Clean'!A397:A1396,'Subbu- Mini Project EXcel Clean'!L397:L1396," ",0)</f>
        <v>231</v>
      </c>
      <c r="C397">
        <f>_xlfn.XLOOKUP(A397,'Subbu- Mini Project EXcel Clean'!A397:A1396,'Subbu- Mini Project EXcel Clean'!K397:K1396," ",0)</f>
        <v>96.1</v>
      </c>
    </row>
    <row r="398" spans="1:3" x14ac:dyDescent="0.25">
      <c r="A398" t="s">
        <v>426</v>
      </c>
      <c r="B398">
        <f>_xlfn.XLOOKUP(A398,'Subbu- Mini Project EXcel Clean'!A398:A1397,'Subbu- Mini Project EXcel Clean'!L398:L1397," ",0)</f>
        <v>201</v>
      </c>
      <c r="C398">
        <f>_xlfn.XLOOKUP(A398,'Subbu- Mini Project EXcel Clean'!A398:A1397,'Subbu- Mini Project EXcel Clean'!K398:K1397," ",0)</f>
        <v>83.8</v>
      </c>
    </row>
    <row r="399" spans="1:3" x14ac:dyDescent="0.25">
      <c r="A399" t="s">
        <v>427</v>
      </c>
      <c r="B399">
        <f>_xlfn.XLOOKUP(A399,'Subbu- Mini Project EXcel Clean'!A399:A1398,'Subbu- Mini Project EXcel Clean'!L399:L1398," ",0)</f>
        <v>156</v>
      </c>
      <c r="C399">
        <f>_xlfn.XLOOKUP(A399,'Subbu- Mini Project EXcel Clean'!A399:A1398,'Subbu- Mini Project EXcel Clean'!K399:K1398," ",0)</f>
        <v>64.900000000000006</v>
      </c>
    </row>
    <row r="400" spans="1:3" x14ac:dyDescent="0.25">
      <c r="A400" t="s">
        <v>428</v>
      </c>
      <c r="B400">
        <f>_xlfn.XLOOKUP(A400,'Subbu- Mini Project EXcel Clean'!A400:A1399,'Subbu- Mini Project EXcel Clean'!L400:L1399," ",0)</f>
        <v>210</v>
      </c>
      <c r="C400">
        <f>_xlfn.XLOOKUP(A400,'Subbu- Mini Project EXcel Clean'!A400:A1399,'Subbu- Mini Project EXcel Clean'!K400:K1399," ",0)</f>
        <v>87.5</v>
      </c>
    </row>
    <row r="401" spans="1:3" x14ac:dyDescent="0.25">
      <c r="A401" t="s">
        <v>429</v>
      </c>
      <c r="B401">
        <f>_xlfn.XLOOKUP(A401,'Subbu- Mini Project EXcel Clean'!A401:A1400,'Subbu- Mini Project EXcel Clean'!L401:L1400," ",0)</f>
        <v>195</v>
      </c>
      <c r="C401">
        <f>_xlfn.XLOOKUP(A401,'Subbu- Mini Project EXcel Clean'!A401:A1400,'Subbu- Mini Project EXcel Clean'!K401:K1400," ",0)</f>
        <v>81.400000000000006</v>
      </c>
    </row>
    <row r="402" spans="1:3" x14ac:dyDescent="0.25">
      <c r="A402" t="s">
        <v>430</v>
      </c>
      <c r="B402">
        <f>_xlfn.XLOOKUP(A402,'Subbu- Mini Project EXcel Clean'!A402:A1401,'Subbu- Mini Project EXcel Clean'!L402:L1401," ",0)</f>
        <v>161</v>
      </c>
      <c r="C402">
        <f>_xlfn.XLOOKUP(A402,'Subbu- Mini Project EXcel Clean'!A402:A1401,'Subbu- Mini Project EXcel Clean'!K402:K1401," ",0)</f>
        <v>67.099999999999994</v>
      </c>
    </row>
    <row r="403" spans="1:3" x14ac:dyDescent="0.25">
      <c r="A403" t="s">
        <v>431</v>
      </c>
      <c r="B403">
        <f>_xlfn.XLOOKUP(A403,'Subbu- Mini Project EXcel Clean'!A403:A1402,'Subbu- Mini Project EXcel Clean'!L403:L1402," ",0)</f>
        <v>218</v>
      </c>
      <c r="C403">
        <f>_xlfn.XLOOKUP(A403,'Subbu- Mini Project EXcel Clean'!A403:A1402,'Subbu- Mini Project EXcel Clean'!K403:K1402," ",0)</f>
        <v>90.9</v>
      </c>
    </row>
    <row r="404" spans="1:3" x14ac:dyDescent="0.25">
      <c r="A404" t="s">
        <v>432</v>
      </c>
      <c r="B404">
        <f>_xlfn.XLOOKUP(A404,'Subbu- Mini Project EXcel Clean'!A404:A1403,'Subbu- Mini Project EXcel Clean'!L404:L1403," ",0)</f>
        <v>181</v>
      </c>
      <c r="C404">
        <f>_xlfn.XLOOKUP(A404,'Subbu- Mini Project EXcel Clean'!A404:A1403,'Subbu- Mini Project EXcel Clean'!K404:K1403," ",0)</f>
        <v>75.599999999999994</v>
      </c>
    </row>
    <row r="405" spans="1:3" x14ac:dyDescent="0.25">
      <c r="A405" t="s">
        <v>433</v>
      </c>
      <c r="B405">
        <f>_xlfn.XLOOKUP(A405,'Subbu- Mini Project EXcel Clean'!A405:A1404,'Subbu- Mini Project EXcel Clean'!L405:L1404," ",0)</f>
        <v>192</v>
      </c>
      <c r="C405">
        <f>_xlfn.XLOOKUP(A405,'Subbu- Mini Project EXcel Clean'!A405:A1404,'Subbu- Mini Project EXcel Clean'!K405:K1404," ",0)</f>
        <v>79.8</v>
      </c>
    </row>
    <row r="406" spans="1:3" x14ac:dyDescent="0.25">
      <c r="A406" t="s">
        <v>434</v>
      </c>
      <c r="B406">
        <f>_xlfn.XLOOKUP(A406,'Subbu- Mini Project EXcel Clean'!A406:A1405,'Subbu- Mini Project EXcel Clean'!L406:L1405," ",0)</f>
        <v>177</v>
      </c>
      <c r="C406">
        <f>_xlfn.XLOOKUP(A406,'Subbu- Mini Project EXcel Clean'!A406:A1405,'Subbu- Mini Project EXcel Clean'!K406:K1405," ",0)</f>
        <v>73.7</v>
      </c>
    </row>
    <row r="407" spans="1:3" x14ac:dyDescent="0.25">
      <c r="A407" t="s">
        <v>435</v>
      </c>
      <c r="B407">
        <f>_xlfn.XLOOKUP(A407,'Subbu- Mini Project EXcel Clean'!A407:A1406,'Subbu- Mini Project EXcel Clean'!L407:L1406," ",0)</f>
        <v>203</v>
      </c>
      <c r="C407">
        <f>_xlfn.XLOOKUP(A407,'Subbu- Mini Project EXcel Clean'!A407:A1406,'Subbu- Mini Project EXcel Clean'!K407:K1406," ",0)</f>
        <v>84.6</v>
      </c>
    </row>
    <row r="408" spans="1:3" x14ac:dyDescent="0.25">
      <c r="A408" t="s">
        <v>436</v>
      </c>
      <c r="B408">
        <f>_xlfn.XLOOKUP(A408,'Subbu- Mini Project EXcel Clean'!A408:A1407,'Subbu- Mini Project EXcel Clean'!L408:L1407," ",0)</f>
        <v>178</v>
      </c>
      <c r="C408">
        <f>_xlfn.XLOOKUP(A408,'Subbu- Mini Project EXcel Clean'!A408:A1407,'Subbu- Mini Project EXcel Clean'!K408:K1407," ",0)</f>
        <v>74.099999999999994</v>
      </c>
    </row>
    <row r="409" spans="1:3" x14ac:dyDescent="0.25">
      <c r="A409" t="s">
        <v>437</v>
      </c>
      <c r="B409">
        <f>_xlfn.XLOOKUP(A409,'Subbu- Mini Project EXcel Clean'!A409:A1408,'Subbu- Mini Project EXcel Clean'!L409:L1408," ",0)</f>
        <v>119</v>
      </c>
      <c r="C409">
        <f>_xlfn.XLOOKUP(A409,'Subbu- Mini Project EXcel Clean'!A409:A1408,'Subbu- Mini Project EXcel Clean'!K409:K1408," ",0)</f>
        <v>49.5</v>
      </c>
    </row>
    <row r="410" spans="1:3" x14ac:dyDescent="0.25">
      <c r="A410" t="s">
        <v>438</v>
      </c>
      <c r="B410">
        <f>_xlfn.XLOOKUP(A410,'Subbu- Mini Project EXcel Clean'!A410:A1409,'Subbu- Mini Project EXcel Clean'!L410:L1409," ",0)</f>
        <v>209</v>
      </c>
      <c r="C410">
        <f>_xlfn.XLOOKUP(A410,'Subbu- Mini Project EXcel Clean'!A410:A1409,'Subbu- Mini Project EXcel Clean'!K410:K1409," ",0)</f>
        <v>87.1</v>
      </c>
    </row>
    <row r="411" spans="1:3" x14ac:dyDescent="0.25">
      <c r="A411" t="s">
        <v>439</v>
      </c>
      <c r="B411">
        <f>_xlfn.XLOOKUP(A411,'Subbu- Mini Project EXcel Clean'!A411:A1410,'Subbu- Mini Project EXcel Clean'!L411:L1410," ",0)</f>
        <v>142</v>
      </c>
      <c r="C411">
        <f>_xlfn.XLOOKUP(A411,'Subbu- Mini Project EXcel Clean'!A411:A1410,'Subbu- Mini Project EXcel Clean'!K411:K1410," ",0)</f>
        <v>59.3</v>
      </c>
    </row>
    <row r="412" spans="1:3" x14ac:dyDescent="0.25">
      <c r="A412" t="s">
        <v>440</v>
      </c>
      <c r="B412">
        <f>_xlfn.XLOOKUP(A412,'Subbu- Mini Project EXcel Clean'!A412:A1411,'Subbu- Mini Project EXcel Clean'!L412:L1411," ",0)</f>
        <v>185</v>
      </c>
      <c r="C412">
        <f>_xlfn.XLOOKUP(A412,'Subbu- Mini Project EXcel Clean'!A412:A1411,'Subbu- Mini Project EXcel Clean'!K412:K1411," ",0)</f>
        <v>77</v>
      </c>
    </row>
    <row r="413" spans="1:3" x14ac:dyDescent="0.25">
      <c r="A413" t="s">
        <v>441</v>
      </c>
      <c r="B413">
        <f>_xlfn.XLOOKUP(A413,'Subbu- Mini Project EXcel Clean'!A413:A1412,'Subbu- Mini Project EXcel Clean'!L413:L1412," ",0)</f>
        <v>214</v>
      </c>
      <c r="C413">
        <f>_xlfn.XLOOKUP(A413,'Subbu- Mini Project EXcel Clean'!A413:A1412,'Subbu- Mini Project EXcel Clean'!K413:K1412," ",0)</f>
        <v>89.2</v>
      </c>
    </row>
    <row r="414" spans="1:3" x14ac:dyDescent="0.25">
      <c r="A414" t="s">
        <v>442</v>
      </c>
      <c r="B414">
        <f>_xlfn.XLOOKUP(A414,'Subbu- Mini Project EXcel Clean'!A414:A1413,'Subbu- Mini Project EXcel Clean'!L414:L1413," ",0)</f>
        <v>210</v>
      </c>
      <c r="C414">
        <f>_xlfn.XLOOKUP(A414,'Subbu- Mini Project EXcel Clean'!A414:A1413,'Subbu- Mini Project EXcel Clean'!K414:K1413," ",0)</f>
        <v>87.3</v>
      </c>
    </row>
    <row r="415" spans="1:3" x14ac:dyDescent="0.25">
      <c r="A415" t="s">
        <v>443</v>
      </c>
      <c r="B415">
        <f>_xlfn.XLOOKUP(A415,'Subbu- Mini Project EXcel Clean'!A415:A1414,'Subbu- Mini Project EXcel Clean'!L415:L1414," ",0)</f>
        <v>188</v>
      </c>
      <c r="C415">
        <f>_xlfn.XLOOKUP(A415,'Subbu- Mini Project EXcel Clean'!A415:A1414,'Subbu- Mini Project EXcel Clean'!K415:K1414," ",0)</f>
        <v>78.2</v>
      </c>
    </row>
    <row r="416" spans="1:3" x14ac:dyDescent="0.25">
      <c r="A416" t="s">
        <v>444</v>
      </c>
      <c r="B416">
        <f>_xlfn.XLOOKUP(A416,'Subbu- Mini Project EXcel Clean'!A416:A1415,'Subbu- Mini Project EXcel Clean'!L416:L1415," ",0)</f>
        <v>174</v>
      </c>
      <c r="C416">
        <f>_xlfn.XLOOKUP(A416,'Subbu- Mini Project EXcel Clean'!A416:A1415,'Subbu- Mini Project EXcel Clean'!K416:K1415," ",0)</f>
        <v>72.400000000000006</v>
      </c>
    </row>
    <row r="417" spans="1:3" x14ac:dyDescent="0.25">
      <c r="A417" t="s">
        <v>445</v>
      </c>
      <c r="B417">
        <f>_xlfn.XLOOKUP(A417,'Subbu- Mini Project EXcel Clean'!A417:A1416,'Subbu- Mini Project EXcel Clean'!L417:L1416," ",0)</f>
        <v>193</v>
      </c>
      <c r="C417">
        <f>_xlfn.XLOOKUP(A417,'Subbu- Mini Project EXcel Clean'!A417:A1416,'Subbu- Mini Project EXcel Clean'!K417:K1416," ",0)</f>
        <v>80.400000000000006</v>
      </c>
    </row>
    <row r="418" spans="1:3" x14ac:dyDescent="0.25">
      <c r="A418" t="s">
        <v>446</v>
      </c>
      <c r="B418">
        <f>_xlfn.XLOOKUP(A418,'Subbu- Mini Project EXcel Clean'!A418:A1417,'Subbu- Mini Project EXcel Clean'!L418:L1417," ",0)</f>
        <v>187</v>
      </c>
      <c r="C418">
        <f>_xlfn.XLOOKUP(A418,'Subbu- Mini Project EXcel Clean'!A418:A1417,'Subbu- Mini Project EXcel Clean'!K418:K1417," ",0)</f>
        <v>78</v>
      </c>
    </row>
    <row r="419" spans="1:3" x14ac:dyDescent="0.25">
      <c r="A419" t="s">
        <v>447</v>
      </c>
      <c r="B419">
        <f>_xlfn.XLOOKUP(A419,'Subbu- Mini Project EXcel Clean'!A419:A1418,'Subbu- Mini Project EXcel Clean'!L419:L1418," ",0)</f>
        <v>170</v>
      </c>
      <c r="C419">
        <f>_xlfn.XLOOKUP(A419,'Subbu- Mini Project EXcel Clean'!A419:A1418,'Subbu- Mini Project EXcel Clean'!K419:K1418," ",0)</f>
        <v>71</v>
      </c>
    </row>
    <row r="420" spans="1:3" x14ac:dyDescent="0.25">
      <c r="A420" t="s">
        <v>448</v>
      </c>
      <c r="B420">
        <f>_xlfn.XLOOKUP(A420,'Subbu- Mini Project EXcel Clean'!A420:A1419,'Subbu- Mini Project EXcel Clean'!L420:L1419," ",0)</f>
        <v>207</v>
      </c>
      <c r="C420">
        <f>_xlfn.XLOOKUP(A420,'Subbu- Mini Project EXcel Clean'!A420:A1419,'Subbu- Mini Project EXcel Clean'!K420:K1419," ",0)</f>
        <v>86.4</v>
      </c>
    </row>
    <row r="421" spans="1:3" x14ac:dyDescent="0.25">
      <c r="A421" t="s">
        <v>449</v>
      </c>
      <c r="B421">
        <f>_xlfn.XLOOKUP(A421,'Subbu- Mini Project EXcel Clean'!A421:A1420,'Subbu- Mini Project EXcel Clean'!L421:L1420," ",0)</f>
        <v>187</v>
      </c>
      <c r="C421">
        <f>_xlfn.XLOOKUP(A421,'Subbu- Mini Project EXcel Clean'!A421:A1420,'Subbu- Mini Project EXcel Clean'!K421:K1420," ",0)</f>
        <v>77.8</v>
      </c>
    </row>
    <row r="422" spans="1:3" x14ac:dyDescent="0.25">
      <c r="A422" t="s">
        <v>450</v>
      </c>
      <c r="B422">
        <f>_xlfn.XLOOKUP(A422,'Subbu- Mini Project EXcel Clean'!A422:A1421,'Subbu- Mini Project EXcel Clean'!L422:L1421," ",0)</f>
        <v>187</v>
      </c>
      <c r="C422">
        <f>_xlfn.XLOOKUP(A422,'Subbu- Mini Project EXcel Clean'!A422:A1421,'Subbu- Mini Project EXcel Clean'!K422:K1421," ",0)</f>
        <v>77.8</v>
      </c>
    </row>
    <row r="423" spans="1:3" x14ac:dyDescent="0.25">
      <c r="A423" t="s">
        <v>451</v>
      </c>
      <c r="B423">
        <f>_xlfn.XLOOKUP(A423,'Subbu- Mini Project EXcel Clean'!A423:A1422,'Subbu- Mini Project EXcel Clean'!L423:L1422," ",0)</f>
        <v>197</v>
      </c>
      <c r="C423">
        <f>_xlfn.XLOOKUP(A423,'Subbu- Mini Project EXcel Clean'!A423:A1422,'Subbu- Mini Project EXcel Clean'!K423:K1422," ",0)</f>
        <v>81.900000000000006</v>
      </c>
    </row>
    <row r="424" spans="1:3" x14ac:dyDescent="0.25">
      <c r="A424" t="s">
        <v>452</v>
      </c>
      <c r="B424">
        <f>_xlfn.XLOOKUP(A424,'Subbu- Mini Project EXcel Clean'!A424:A1423,'Subbu- Mini Project EXcel Clean'!L424:L1423," ",0)</f>
        <v>155</v>
      </c>
      <c r="C424">
        <f>_xlfn.XLOOKUP(A424,'Subbu- Mini Project EXcel Clean'!A424:A1423,'Subbu- Mini Project EXcel Clean'!K424:K1423," ",0)</f>
        <v>64.7</v>
      </c>
    </row>
    <row r="425" spans="1:3" x14ac:dyDescent="0.25">
      <c r="A425" t="s">
        <v>453</v>
      </c>
      <c r="B425">
        <f>_xlfn.XLOOKUP(A425,'Subbu- Mini Project EXcel Clean'!A425:A1424,'Subbu- Mini Project EXcel Clean'!L425:L1424," ",0)</f>
        <v>172</v>
      </c>
      <c r="C425">
        <f>_xlfn.XLOOKUP(A425,'Subbu- Mini Project EXcel Clean'!A425:A1424,'Subbu- Mini Project EXcel Clean'!K425:K1424," ",0)</f>
        <v>71.599999999999994</v>
      </c>
    </row>
    <row r="426" spans="1:3" x14ac:dyDescent="0.25">
      <c r="A426" t="s">
        <v>454</v>
      </c>
      <c r="B426">
        <f>_xlfn.XLOOKUP(A426,'Subbu- Mini Project EXcel Clean'!A426:A1425,'Subbu- Mini Project EXcel Clean'!L426:L1425," ",0)</f>
        <v>154</v>
      </c>
      <c r="C426">
        <f>_xlfn.XLOOKUP(A426,'Subbu- Mini Project EXcel Clean'!A426:A1425,'Subbu- Mini Project EXcel Clean'!K426:K1425," ",0)</f>
        <v>64.3</v>
      </c>
    </row>
    <row r="427" spans="1:3" x14ac:dyDescent="0.25">
      <c r="A427" t="s">
        <v>455</v>
      </c>
      <c r="B427">
        <f>_xlfn.XLOOKUP(A427,'Subbu- Mini Project EXcel Clean'!A427:A1426,'Subbu- Mini Project EXcel Clean'!L427:L1426," ",0)</f>
        <v>184</v>
      </c>
      <c r="C427">
        <f>_xlfn.XLOOKUP(A427,'Subbu- Mini Project EXcel Clean'!A427:A1426,'Subbu- Mini Project EXcel Clean'!K427:K1426," ",0)</f>
        <v>76.599999999999994</v>
      </c>
    </row>
    <row r="428" spans="1:3" x14ac:dyDescent="0.25">
      <c r="A428" t="s">
        <v>456</v>
      </c>
      <c r="B428">
        <f>_xlfn.XLOOKUP(A428,'Subbu- Mini Project EXcel Clean'!A428:A1427,'Subbu- Mini Project EXcel Clean'!L428:L1427," ",0)</f>
        <v>161</v>
      </c>
      <c r="C428">
        <f>_xlfn.XLOOKUP(A428,'Subbu- Mini Project EXcel Clean'!A428:A1427,'Subbu- Mini Project EXcel Clean'!K428:K1427," ",0)</f>
        <v>67.2</v>
      </c>
    </row>
    <row r="429" spans="1:3" x14ac:dyDescent="0.25">
      <c r="A429" t="s">
        <v>457</v>
      </c>
      <c r="B429">
        <f>_xlfn.XLOOKUP(A429,'Subbu- Mini Project EXcel Clean'!A429:A1428,'Subbu- Mini Project EXcel Clean'!L429:L1428," ",0)</f>
        <v>209</v>
      </c>
      <c r="C429">
        <f>_xlfn.XLOOKUP(A429,'Subbu- Mini Project EXcel Clean'!A429:A1428,'Subbu- Mini Project EXcel Clean'!K429:K1428," ",0)</f>
        <v>87</v>
      </c>
    </row>
    <row r="430" spans="1:3" x14ac:dyDescent="0.25">
      <c r="A430" t="s">
        <v>458</v>
      </c>
      <c r="B430">
        <f>_xlfn.XLOOKUP(A430,'Subbu- Mini Project EXcel Clean'!A430:A1429,'Subbu- Mini Project EXcel Clean'!L430:L1429," ",0)</f>
        <v>178</v>
      </c>
      <c r="C430">
        <f>_xlfn.XLOOKUP(A430,'Subbu- Mini Project EXcel Clean'!A430:A1429,'Subbu- Mini Project EXcel Clean'!K430:K1429," ",0)</f>
        <v>74</v>
      </c>
    </row>
    <row r="431" spans="1:3" x14ac:dyDescent="0.25">
      <c r="A431" t="s">
        <v>459</v>
      </c>
      <c r="B431">
        <f>_xlfn.XLOOKUP(A431,'Subbu- Mini Project EXcel Clean'!A431:A1430,'Subbu- Mini Project EXcel Clean'!L431:L1430," ",0)</f>
        <v>154</v>
      </c>
      <c r="C431">
        <f>_xlfn.XLOOKUP(A431,'Subbu- Mini Project EXcel Clean'!A431:A1430,'Subbu- Mini Project EXcel Clean'!K431:K1430," ",0)</f>
        <v>64.099999999999994</v>
      </c>
    </row>
    <row r="432" spans="1:3" x14ac:dyDescent="0.25">
      <c r="A432" t="s">
        <v>460</v>
      </c>
      <c r="B432">
        <f>_xlfn.XLOOKUP(A432,'Subbu- Mini Project EXcel Clean'!A432:A1431,'Subbu- Mini Project EXcel Clean'!L432:L1431," ",0)</f>
        <v>167</v>
      </c>
      <c r="C432">
        <f>_xlfn.XLOOKUP(A432,'Subbu- Mini Project EXcel Clean'!A432:A1431,'Subbu- Mini Project EXcel Clean'!K432:K1431," ",0)</f>
        <v>69.7</v>
      </c>
    </row>
    <row r="433" spans="1:3" x14ac:dyDescent="0.25">
      <c r="A433" t="s">
        <v>461</v>
      </c>
      <c r="B433">
        <f>_xlfn.XLOOKUP(A433,'Subbu- Mini Project EXcel Clean'!A433:A1432,'Subbu- Mini Project EXcel Clean'!L433:L1432," ",0)</f>
        <v>180</v>
      </c>
      <c r="C433">
        <f>_xlfn.XLOOKUP(A433,'Subbu- Mini Project EXcel Clean'!A433:A1432,'Subbu- Mini Project EXcel Clean'!K433:K1432," ",0)</f>
        <v>74.900000000000006</v>
      </c>
    </row>
    <row r="434" spans="1:3" x14ac:dyDescent="0.25">
      <c r="A434" t="s">
        <v>462</v>
      </c>
      <c r="B434">
        <f>_xlfn.XLOOKUP(A434,'Subbu- Mini Project EXcel Clean'!A434:A1433,'Subbu- Mini Project EXcel Clean'!L434:L1433," ",0)</f>
        <v>190</v>
      </c>
      <c r="C434">
        <f>_xlfn.XLOOKUP(A434,'Subbu- Mini Project EXcel Clean'!A434:A1433,'Subbu- Mini Project EXcel Clean'!K434:K1433," ",0)</f>
        <v>79.3</v>
      </c>
    </row>
    <row r="435" spans="1:3" x14ac:dyDescent="0.25">
      <c r="A435" t="s">
        <v>463</v>
      </c>
      <c r="B435">
        <f>_xlfn.XLOOKUP(A435,'Subbu- Mini Project EXcel Clean'!A435:A1434,'Subbu- Mini Project EXcel Clean'!L435:L1434," ",0)</f>
        <v>137</v>
      </c>
      <c r="C435">
        <f>_xlfn.XLOOKUP(A435,'Subbu- Mini Project EXcel Clean'!A435:A1434,'Subbu- Mini Project EXcel Clean'!K435:K1434," ",0)</f>
        <v>56.9</v>
      </c>
    </row>
    <row r="436" spans="1:3" x14ac:dyDescent="0.25">
      <c r="A436" t="s">
        <v>464</v>
      </c>
      <c r="B436">
        <f>_xlfn.XLOOKUP(A436,'Subbu- Mini Project EXcel Clean'!A436:A1435,'Subbu- Mini Project EXcel Clean'!L436:L1435," ",0)</f>
        <v>136</v>
      </c>
      <c r="C436">
        <f>_xlfn.XLOOKUP(A436,'Subbu- Mini Project EXcel Clean'!A436:A1435,'Subbu- Mini Project EXcel Clean'!K436:K1435," ",0)</f>
        <v>56.7</v>
      </c>
    </row>
    <row r="437" spans="1:3" x14ac:dyDescent="0.25">
      <c r="A437" t="s">
        <v>465</v>
      </c>
      <c r="B437">
        <f>_xlfn.XLOOKUP(A437,'Subbu- Mini Project EXcel Clean'!A437:A1436,'Subbu- Mini Project EXcel Clean'!L437:L1436," ",0)</f>
        <v>183</v>
      </c>
      <c r="C437">
        <f>_xlfn.XLOOKUP(A437,'Subbu- Mini Project EXcel Clean'!A437:A1436,'Subbu- Mini Project EXcel Clean'!K437:K1436," ",0)</f>
        <v>76.099999999999994</v>
      </c>
    </row>
    <row r="438" spans="1:3" x14ac:dyDescent="0.25">
      <c r="A438" t="s">
        <v>466</v>
      </c>
      <c r="B438">
        <f>_xlfn.XLOOKUP(A438,'Subbu- Mini Project EXcel Clean'!A438:A1437,'Subbu- Mini Project EXcel Clean'!L438:L1437," ",0)</f>
        <v>138</v>
      </c>
      <c r="C438">
        <f>_xlfn.XLOOKUP(A438,'Subbu- Mini Project EXcel Clean'!A438:A1437,'Subbu- Mini Project EXcel Clean'!K438:K1437," ",0)</f>
        <v>57.3</v>
      </c>
    </row>
    <row r="439" spans="1:3" x14ac:dyDescent="0.25">
      <c r="A439" t="s">
        <v>467</v>
      </c>
      <c r="B439">
        <f>_xlfn.XLOOKUP(A439,'Subbu- Mini Project EXcel Clean'!A439:A1438,'Subbu- Mini Project EXcel Clean'!L439:L1438," ",0)</f>
        <v>192</v>
      </c>
      <c r="C439">
        <f>_xlfn.XLOOKUP(A439,'Subbu- Mini Project EXcel Clean'!A439:A1438,'Subbu- Mini Project EXcel Clean'!K439:K1438," ",0)</f>
        <v>79.900000000000006</v>
      </c>
    </row>
    <row r="440" spans="1:3" x14ac:dyDescent="0.25">
      <c r="A440" t="s">
        <v>468</v>
      </c>
      <c r="B440">
        <f>_xlfn.XLOOKUP(A440,'Subbu- Mini Project EXcel Clean'!A440:A1439,'Subbu- Mini Project EXcel Clean'!L440:L1439," ",0)</f>
        <v>188</v>
      </c>
      <c r="C440">
        <f>_xlfn.XLOOKUP(A440,'Subbu- Mini Project EXcel Clean'!A440:A1439,'Subbu- Mini Project EXcel Clean'!K440:K1439," ",0)</f>
        <v>78.400000000000006</v>
      </c>
    </row>
    <row r="441" spans="1:3" x14ac:dyDescent="0.25">
      <c r="A441" t="s">
        <v>469</v>
      </c>
      <c r="B441">
        <f>_xlfn.XLOOKUP(A441,'Subbu- Mini Project EXcel Clean'!A441:A1440,'Subbu- Mini Project EXcel Clean'!L441:L1440," ",0)</f>
        <v>159</v>
      </c>
      <c r="C441">
        <f>_xlfn.XLOOKUP(A441,'Subbu- Mini Project EXcel Clean'!A441:A1440,'Subbu- Mini Project EXcel Clean'!K441:K1440," ",0)</f>
        <v>66.400000000000006</v>
      </c>
    </row>
    <row r="442" spans="1:3" x14ac:dyDescent="0.25">
      <c r="A442" t="s">
        <v>470</v>
      </c>
      <c r="B442">
        <f>_xlfn.XLOOKUP(A442,'Subbu- Mini Project EXcel Clean'!A442:A1441,'Subbu- Mini Project EXcel Clean'!L442:L1441," ",0)</f>
        <v>146</v>
      </c>
      <c r="C442">
        <f>_xlfn.XLOOKUP(A442,'Subbu- Mini Project EXcel Clean'!A442:A1441,'Subbu- Mini Project EXcel Clean'!K442:K1441," ",0)</f>
        <v>60.7</v>
      </c>
    </row>
    <row r="443" spans="1:3" x14ac:dyDescent="0.25">
      <c r="A443" t="s">
        <v>471</v>
      </c>
      <c r="B443">
        <f>_xlfn.XLOOKUP(A443,'Subbu- Mini Project EXcel Clean'!A443:A1442,'Subbu- Mini Project EXcel Clean'!L443:L1442," ",0)</f>
        <v>190</v>
      </c>
      <c r="C443">
        <f>_xlfn.XLOOKUP(A443,'Subbu- Mini Project EXcel Clean'!A443:A1442,'Subbu- Mini Project EXcel Clean'!K443:K1442," ",0)</f>
        <v>79.2</v>
      </c>
    </row>
    <row r="444" spans="1:3" x14ac:dyDescent="0.25">
      <c r="A444" t="s">
        <v>472</v>
      </c>
      <c r="B444">
        <f>_xlfn.XLOOKUP(A444,'Subbu- Mini Project EXcel Clean'!A444:A1443,'Subbu- Mini Project EXcel Clean'!L444:L1443," ",0)</f>
        <v>182</v>
      </c>
      <c r="C444">
        <f>_xlfn.XLOOKUP(A444,'Subbu- Mini Project EXcel Clean'!A444:A1443,'Subbu- Mini Project EXcel Clean'!K444:K1443," ",0)</f>
        <v>76</v>
      </c>
    </row>
    <row r="445" spans="1:3" x14ac:dyDescent="0.25">
      <c r="A445" t="s">
        <v>473</v>
      </c>
      <c r="B445">
        <f>_xlfn.XLOOKUP(A445,'Subbu- Mini Project EXcel Clean'!A445:A1444,'Subbu- Mini Project EXcel Clean'!L445:L1444," ",0)</f>
        <v>158</v>
      </c>
      <c r="C445">
        <f>_xlfn.XLOOKUP(A445,'Subbu- Mini Project EXcel Clean'!A445:A1444,'Subbu- Mini Project EXcel Clean'!K445:K1444," ",0)</f>
        <v>66</v>
      </c>
    </row>
    <row r="446" spans="1:3" x14ac:dyDescent="0.25">
      <c r="A446" t="s">
        <v>474</v>
      </c>
      <c r="B446">
        <f>_xlfn.XLOOKUP(A446,'Subbu- Mini Project EXcel Clean'!A446:A1445,'Subbu- Mini Project EXcel Clean'!L446:L1445," ",0)</f>
        <v>197</v>
      </c>
      <c r="C446">
        <f>_xlfn.XLOOKUP(A446,'Subbu- Mini Project EXcel Clean'!A446:A1445,'Subbu- Mini Project EXcel Clean'!K446:K1445," ",0)</f>
        <v>82.1</v>
      </c>
    </row>
    <row r="447" spans="1:3" x14ac:dyDescent="0.25">
      <c r="A447" t="s">
        <v>475</v>
      </c>
      <c r="B447">
        <f>_xlfn.XLOOKUP(A447,'Subbu- Mini Project EXcel Clean'!A447:A1446,'Subbu- Mini Project EXcel Clean'!L447:L1446," ",0)</f>
        <v>212</v>
      </c>
      <c r="C447">
        <f>_xlfn.XLOOKUP(A447,'Subbu- Mini Project EXcel Clean'!A447:A1446,'Subbu- Mini Project EXcel Clean'!K447:K1446," ",0)</f>
        <v>88.3</v>
      </c>
    </row>
    <row r="448" spans="1:3" x14ac:dyDescent="0.25">
      <c r="A448" t="s">
        <v>476</v>
      </c>
      <c r="B448">
        <f>_xlfn.XLOOKUP(A448,'Subbu- Mini Project EXcel Clean'!A448:A1447,'Subbu- Mini Project EXcel Clean'!L448:L1447," ",0)</f>
        <v>211</v>
      </c>
      <c r="C448">
        <f>_xlfn.XLOOKUP(A448,'Subbu- Mini Project EXcel Clean'!A448:A1447,'Subbu- Mini Project EXcel Clean'!K448:K1447," ",0)</f>
        <v>88.1</v>
      </c>
    </row>
    <row r="449" spans="1:3" x14ac:dyDescent="0.25">
      <c r="A449" t="s">
        <v>477</v>
      </c>
      <c r="B449">
        <f>_xlfn.XLOOKUP(A449,'Subbu- Mini Project EXcel Clean'!A449:A1448,'Subbu- Mini Project EXcel Clean'!L449:L1448," ",0)</f>
        <v>207</v>
      </c>
      <c r="C449">
        <f>_xlfn.XLOOKUP(A449,'Subbu- Mini Project EXcel Clean'!A449:A1448,'Subbu- Mini Project EXcel Clean'!K449:K1448," ",0)</f>
        <v>86.2</v>
      </c>
    </row>
    <row r="450" spans="1:3" x14ac:dyDescent="0.25">
      <c r="A450" t="s">
        <v>478</v>
      </c>
      <c r="B450">
        <f>_xlfn.XLOOKUP(A450,'Subbu- Mini Project EXcel Clean'!A450:A1449,'Subbu- Mini Project EXcel Clean'!L450:L1449," ",0)</f>
        <v>174</v>
      </c>
      <c r="C450">
        <f>_xlfn.XLOOKUP(A450,'Subbu- Mini Project EXcel Clean'!A450:A1449,'Subbu- Mini Project EXcel Clean'!K450:K1449," ",0)</f>
        <v>72.7</v>
      </c>
    </row>
    <row r="451" spans="1:3" x14ac:dyDescent="0.25">
      <c r="A451" t="s">
        <v>479</v>
      </c>
      <c r="B451">
        <f>_xlfn.XLOOKUP(A451,'Subbu- Mini Project EXcel Clean'!A451:A1450,'Subbu- Mini Project EXcel Clean'!L451:L1450," ",0)</f>
        <v>139</v>
      </c>
      <c r="C451">
        <f>_xlfn.XLOOKUP(A451,'Subbu- Mini Project EXcel Clean'!A451:A1450,'Subbu- Mini Project EXcel Clean'!K451:K1450," ",0)</f>
        <v>58</v>
      </c>
    </row>
    <row r="452" spans="1:3" x14ac:dyDescent="0.25">
      <c r="A452" t="s">
        <v>480</v>
      </c>
      <c r="B452">
        <f>_xlfn.XLOOKUP(A452,'Subbu- Mini Project EXcel Clean'!A452:A1451,'Subbu- Mini Project EXcel Clean'!L452:L1451," ",0)</f>
        <v>222</v>
      </c>
      <c r="C452">
        <f>_xlfn.XLOOKUP(A452,'Subbu- Mini Project EXcel Clean'!A452:A1451,'Subbu- Mini Project EXcel Clean'!K452:K1451," ",0)</f>
        <v>92.3</v>
      </c>
    </row>
    <row r="453" spans="1:3" x14ac:dyDescent="0.25">
      <c r="A453" t="s">
        <v>481</v>
      </c>
      <c r="B453">
        <f>_xlfn.XLOOKUP(A453,'Subbu- Mini Project EXcel Clean'!A453:A1452,'Subbu- Mini Project EXcel Clean'!L453:L1452," ",0)</f>
        <v>183</v>
      </c>
      <c r="C453">
        <f>_xlfn.XLOOKUP(A453,'Subbu- Mini Project EXcel Clean'!A453:A1452,'Subbu- Mini Project EXcel Clean'!K453:K1452," ",0)</f>
        <v>76.3</v>
      </c>
    </row>
    <row r="454" spans="1:3" x14ac:dyDescent="0.25">
      <c r="A454" t="s">
        <v>482</v>
      </c>
      <c r="B454">
        <f>_xlfn.XLOOKUP(A454,'Subbu- Mini Project EXcel Clean'!A454:A1453,'Subbu- Mini Project EXcel Clean'!L454:L1453," ",0)</f>
        <v>170</v>
      </c>
      <c r="C454">
        <f>_xlfn.XLOOKUP(A454,'Subbu- Mini Project EXcel Clean'!A454:A1453,'Subbu- Mini Project EXcel Clean'!K454:K1453," ",0)</f>
        <v>70.900000000000006</v>
      </c>
    </row>
    <row r="455" spans="1:3" x14ac:dyDescent="0.25">
      <c r="A455" t="s">
        <v>483</v>
      </c>
      <c r="B455">
        <f>_xlfn.XLOOKUP(A455,'Subbu- Mini Project EXcel Clean'!A455:A1454,'Subbu- Mini Project EXcel Clean'!L455:L1454," ",0)</f>
        <v>215</v>
      </c>
      <c r="C455">
        <f>_xlfn.XLOOKUP(A455,'Subbu- Mini Project EXcel Clean'!A455:A1454,'Subbu- Mini Project EXcel Clean'!K455:K1454," ",0)</f>
        <v>89.7</v>
      </c>
    </row>
    <row r="456" spans="1:3" x14ac:dyDescent="0.25">
      <c r="A456" t="s">
        <v>484</v>
      </c>
      <c r="B456">
        <f>_xlfn.XLOOKUP(A456,'Subbu- Mini Project EXcel Clean'!A456:A1455,'Subbu- Mini Project EXcel Clean'!L456:L1455," ",0)</f>
        <v>154</v>
      </c>
      <c r="C456">
        <f>_xlfn.XLOOKUP(A456,'Subbu- Mini Project EXcel Clean'!A456:A1455,'Subbu- Mini Project EXcel Clean'!K456:K1455," ",0)</f>
        <v>64.3</v>
      </c>
    </row>
    <row r="457" spans="1:3" x14ac:dyDescent="0.25">
      <c r="A457" t="s">
        <v>485</v>
      </c>
      <c r="B457">
        <f>_xlfn.XLOOKUP(A457,'Subbu- Mini Project EXcel Clean'!A457:A1456,'Subbu- Mini Project EXcel Clean'!L457:L1456," ",0)</f>
        <v>181</v>
      </c>
      <c r="C457">
        <f>_xlfn.XLOOKUP(A457,'Subbu- Mini Project EXcel Clean'!A457:A1456,'Subbu- Mini Project EXcel Clean'!K457:K1456," ",0)</f>
        <v>75.5</v>
      </c>
    </row>
    <row r="458" spans="1:3" x14ac:dyDescent="0.25">
      <c r="A458" t="s">
        <v>486</v>
      </c>
      <c r="B458">
        <f>_xlfn.XLOOKUP(A458,'Subbu- Mini Project EXcel Clean'!A458:A1457,'Subbu- Mini Project EXcel Clean'!L458:L1457," ",0)</f>
        <v>175</v>
      </c>
      <c r="C458">
        <f>_xlfn.XLOOKUP(A458,'Subbu- Mini Project EXcel Clean'!A458:A1457,'Subbu- Mini Project EXcel Clean'!K458:K1457," ",0)</f>
        <v>72.8</v>
      </c>
    </row>
    <row r="459" spans="1:3" x14ac:dyDescent="0.25">
      <c r="A459" t="s">
        <v>487</v>
      </c>
      <c r="B459">
        <f>_xlfn.XLOOKUP(A459,'Subbu- Mini Project EXcel Clean'!A459:A1458,'Subbu- Mini Project EXcel Clean'!L459:L1458," ",0)</f>
        <v>172</v>
      </c>
      <c r="C459">
        <f>_xlfn.XLOOKUP(A459,'Subbu- Mini Project EXcel Clean'!A459:A1458,'Subbu- Mini Project EXcel Clean'!K459:K1458," ",0)</f>
        <v>71.5</v>
      </c>
    </row>
    <row r="460" spans="1:3" x14ac:dyDescent="0.25">
      <c r="A460" t="s">
        <v>488</v>
      </c>
      <c r="B460">
        <f>_xlfn.XLOOKUP(A460,'Subbu- Mini Project EXcel Clean'!A460:A1459,'Subbu- Mini Project EXcel Clean'!L460:L1459," ",0)</f>
        <v>144</v>
      </c>
      <c r="C460">
        <f>_xlfn.XLOOKUP(A460,'Subbu- Mini Project EXcel Clean'!A460:A1459,'Subbu- Mini Project EXcel Clean'!K460:K1459," ",0)</f>
        <v>60</v>
      </c>
    </row>
    <row r="461" spans="1:3" x14ac:dyDescent="0.25">
      <c r="A461" t="s">
        <v>489</v>
      </c>
      <c r="B461">
        <f>_xlfn.XLOOKUP(A461,'Subbu- Mini Project EXcel Clean'!A461:A1460,'Subbu- Mini Project EXcel Clean'!L461:L1460," ",0)</f>
        <v>153</v>
      </c>
      <c r="C461">
        <f>_xlfn.XLOOKUP(A461,'Subbu- Mini Project EXcel Clean'!A461:A1460,'Subbu- Mini Project EXcel Clean'!K461:K1460," ",0)</f>
        <v>63.9</v>
      </c>
    </row>
    <row r="462" spans="1:3" x14ac:dyDescent="0.25">
      <c r="A462" t="s">
        <v>490</v>
      </c>
      <c r="B462">
        <f>_xlfn.XLOOKUP(A462,'Subbu- Mini Project EXcel Clean'!A462:A1461,'Subbu- Mini Project EXcel Clean'!L462:L1461," ",0)</f>
        <v>165</v>
      </c>
      <c r="C462">
        <f>_xlfn.XLOOKUP(A462,'Subbu- Mini Project EXcel Clean'!A462:A1461,'Subbu- Mini Project EXcel Clean'!K462:K1461," ",0)</f>
        <v>68.599999999999994</v>
      </c>
    </row>
    <row r="463" spans="1:3" x14ac:dyDescent="0.25">
      <c r="A463" t="s">
        <v>491</v>
      </c>
      <c r="B463">
        <f>_xlfn.XLOOKUP(A463,'Subbu- Mini Project EXcel Clean'!A463:A1462,'Subbu- Mini Project EXcel Clean'!L463:L1462," ",0)</f>
        <v>169</v>
      </c>
      <c r="C463">
        <f>_xlfn.XLOOKUP(A463,'Subbu- Mini Project EXcel Clean'!A463:A1462,'Subbu- Mini Project EXcel Clean'!K463:K1462," ",0)</f>
        <v>70.3</v>
      </c>
    </row>
    <row r="464" spans="1:3" x14ac:dyDescent="0.25">
      <c r="A464" t="s">
        <v>492</v>
      </c>
      <c r="B464">
        <f>_xlfn.XLOOKUP(A464,'Subbu- Mini Project EXcel Clean'!A464:A1463,'Subbu- Mini Project EXcel Clean'!L464:L1463," ",0)</f>
        <v>170</v>
      </c>
      <c r="C464">
        <f>_xlfn.XLOOKUP(A464,'Subbu- Mini Project EXcel Clean'!A464:A1463,'Subbu- Mini Project EXcel Clean'!K464:K1463," ",0)</f>
        <v>70.7</v>
      </c>
    </row>
    <row r="465" spans="1:3" x14ac:dyDescent="0.25">
      <c r="A465" t="s">
        <v>493</v>
      </c>
      <c r="B465">
        <f>_xlfn.XLOOKUP(A465,'Subbu- Mini Project EXcel Clean'!A465:A1464,'Subbu- Mini Project EXcel Clean'!L465:L1464," ",0)</f>
        <v>175</v>
      </c>
      <c r="C465">
        <f>_xlfn.XLOOKUP(A465,'Subbu- Mini Project EXcel Clean'!A465:A1464,'Subbu- Mini Project EXcel Clean'!K465:K1464," ",0)</f>
        <v>73.099999999999994</v>
      </c>
    </row>
    <row r="466" spans="1:3" x14ac:dyDescent="0.25">
      <c r="A466" t="s">
        <v>494</v>
      </c>
      <c r="B466">
        <f>_xlfn.XLOOKUP(A466,'Subbu- Mini Project EXcel Clean'!A466:A1465,'Subbu- Mini Project EXcel Clean'!L466:L1465," ",0)</f>
        <v>188</v>
      </c>
      <c r="C466">
        <f>_xlfn.XLOOKUP(A466,'Subbu- Mini Project EXcel Clean'!A466:A1465,'Subbu- Mini Project EXcel Clean'!K466:K1465," ",0)</f>
        <v>78.3</v>
      </c>
    </row>
    <row r="467" spans="1:3" x14ac:dyDescent="0.25">
      <c r="A467" t="s">
        <v>495</v>
      </c>
      <c r="B467">
        <f>_xlfn.XLOOKUP(A467,'Subbu- Mini Project EXcel Clean'!A467:A1466,'Subbu- Mini Project EXcel Clean'!L467:L1466," ",0)</f>
        <v>164</v>
      </c>
      <c r="C467">
        <f>_xlfn.XLOOKUP(A467,'Subbu- Mini Project EXcel Clean'!A467:A1466,'Subbu- Mini Project EXcel Clean'!K467:K1466," ",0)</f>
        <v>68.2</v>
      </c>
    </row>
    <row r="468" spans="1:3" x14ac:dyDescent="0.25">
      <c r="A468" t="s">
        <v>496</v>
      </c>
      <c r="B468">
        <f>_xlfn.XLOOKUP(A468,'Subbu- Mini Project EXcel Clean'!A468:A1467,'Subbu- Mini Project EXcel Clean'!L468:L1467," ",0)</f>
        <v>169</v>
      </c>
      <c r="C468">
        <f>_xlfn.XLOOKUP(A468,'Subbu- Mini Project EXcel Clean'!A468:A1467,'Subbu- Mini Project EXcel Clean'!K468:K1467," ",0)</f>
        <v>70.400000000000006</v>
      </c>
    </row>
    <row r="469" spans="1:3" x14ac:dyDescent="0.25">
      <c r="A469" t="s">
        <v>497</v>
      </c>
      <c r="B469">
        <f>_xlfn.XLOOKUP(A469,'Subbu- Mini Project EXcel Clean'!A469:A1468,'Subbu- Mini Project EXcel Clean'!L469:L1468," ",0)</f>
        <v>191</v>
      </c>
      <c r="C469">
        <f>_xlfn.XLOOKUP(A469,'Subbu- Mini Project EXcel Clean'!A469:A1468,'Subbu- Mini Project EXcel Clean'!K469:K1468," ",0)</f>
        <v>79.400000000000006</v>
      </c>
    </row>
    <row r="470" spans="1:3" x14ac:dyDescent="0.25">
      <c r="A470" t="s">
        <v>498</v>
      </c>
      <c r="B470">
        <f>_xlfn.XLOOKUP(A470,'Subbu- Mini Project EXcel Clean'!A470:A1469,'Subbu- Mini Project EXcel Clean'!L470:L1469," ",0)</f>
        <v>142</v>
      </c>
      <c r="C470">
        <f>_xlfn.XLOOKUP(A470,'Subbu- Mini Project EXcel Clean'!A470:A1469,'Subbu- Mini Project EXcel Clean'!K470:K1469," ",0)</f>
        <v>59</v>
      </c>
    </row>
    <row r="471" spans="1:3" x14ac:dyDescent="0.25">
      <c r="A471" t="s">
        <v>499</v>
      </c>
      <c r="B471">
        <f>_xlfn.XLOOKUP(A471,'Subbu- Mini Project EXcel Clean'!A471:A1470,'Subbu- Mini Project EXcel Clean'!L471:L1470," ",0)</f>
        <v>208</v>
      </c>
      <c r="C471">
        <f>_xlfn.XLOOKUP(A471,'Subbu- Mini Project EXcel Clean'!A471:A1470,'Subbu- Mini Project EXcel Clean'!K471:K1470," ",0)</f>
        <v>86.8</v>
      </c>
    </row>
    <row r="472" spans="1:3" x14ac:dyDescent="0.25">
      <c r="A472" t="s">
        <v>500</v>
      </c>
      <c r="B472">
        <f>_xlfn.XLOOKUP(A472,'Subbu- Mini Project EXcel Clean'!A472:A1471,'Subbu- Mini Project EXcel Clean'!L472:L1471," ",0)</f>
        <v>155</v>
      </c>
      <c r="C472">
        <f>_xlfn.XLOOKUP(A472,'Subbu- Mini Project EXcel Clean'!A472:A1471,'Subbu- Mini Project EXcel Clean'!K472:K1471," ",0)</f>
        <v>64.599999999999994</v>
      </c>
    </row>
    <row r="473" spans="1:3" x14ac:dyDescent="0.25">
      <c r="A473" t="s">
        <v>501</v>
      </c>
      <c r="B473">
        <f>_xlfn.XLOOKUP(A473,'Subbu- Mini Project EXcel Clean'!A473:A1472,'Subbu- Mini Project EXcel Clean'!L473:L1472," ",0)</f>
        <v>188</v>
      </c>
      <c r="C473">
        <f>_xlfn.XLOOKUP(A473,'Subbu- Mini Project EXcel Clean'!A473:A1472,'Subbu- Mini Project EXcel Clean'!K473:K1472," ",0)</f>
        <v>78.2</v>
      </c>
    </row>
    <row r="474" spans="1:3" x14ac:dyDescent="0.25">
      <c r="A474" t="s">
        <v>502</v>
      </c>
      <c r="B474">
        <f>_xlfn.XLOOKUP(A474,'Subbu- Mini Project EXcel Clean'!A474:A1473,'Subbu- Mini Project EXcel Clean'!L474:L1473," ",0)</f>
        <v>157</v>
      </c>
      <c r="C474">
        <f>_xlfn.XLOOKUP(A474,'Subbu- Mini Project EXcel Clean'!A474:A1473,'Subbu- Mini Project EXcel Clean'!K474:K1473," ",0)</f>
        <v>65.3</v>
      </c>
    </row>
    <row r="475" spans="1:3" x14ac:dyDescent="0.25">
      <c r="A475" t="s">
        <v>503</v>
      </c>
      <c r="B475">
        <f>_xlfn.XLOOKUP(A475,'Subbu- Mini Project EXcel Clean'!A475:A1474,'Subbu- Mini Project EXcel Clean'!L475:L1474," ",0)</f>
        <v>213</v>
      </c>
      <c r="C475">
        <f>_xlfn.XLOOKUP(A475,'Subbu- Mini Project EXcel Clean'!A475:A1474,'Subbu- Mini Project EXcel Clean'!K475:K1474," ",0)</f>
        <v>88.6</v>
      </c>
    </row>
    <row r="476" spans="1:3" x14ac:dyDescent="0.25">
      <c r="A476" t="s">
        <v>504</v>
      </c>
      <c r="B476">
        <f>_xlfn.XLOOKUP(A476,'Subbu- Mini Project EXcel Clean'!A476:A1475,'Subbu- Mini Project EXcel Clean'!L476:L1475," ",0)</f>
        <v>190</v>
      </c>
      <c r="C476">
        <f>_xlfn.XLOOKUP(A476,'Subbu- Mini Project EXcel Clean'!A476:A1475,'Subbu- Mini Project EXcel Clean'!K476:K1475," ",0)</f>
        <v>79.3</v>
      </c>
    </row>
    <row r="477" spans="1:3" x14ac:dyDescent="0.25">
      <c r="A477" t="s">
        <v>505</v>
      </c>
      <c r="B477">
        <f>_xlfn.XLOOKUP(A477,'Subbu- Mini Project EXcel Clean'!A477:A1476,'Subbu- Mini Project EXcel Clean'!L477:L1476," ",0)</f>
        <v>224</v>
      </c>
      <c r="C477">
        <f>_xlfn.XLOOKUP(A477,'Subbu- Mini Project EXcel Clean'!A477:A1476,'Subbu- Mini Project EXcel Clean'!K477:K1476," ",0)</f>
        <v>93.4</v>
      </c>
    </row>
    <row r="478" spans="1:3" x14ac:dyDescent="0.25">
      <c r="A478" t="s">
        <v>506</v>
      </c>
      <c r="B478">
        <f>_xlfn.XLOOKUP(A478,'Subbu- Mini Project EXcel Clean'!A478:A1477,'Subbu- Mini Project EXcel Clean'!L478:L1477," ",0)</f>
        <v>175</v>
      </c>
      <c r="C478">
        <f>_xlfn.XLOOKUP(A478,'Subbu- Mini Project EXcel Clean'!A478:A1477,'Subbu- Mini Project EXcel Clean'!K478:K1477," ",0)</f>
        <v>73</v>
      </c>
    </row>
    <row r="479" spans="1:3" x14ac:dyDescent="0.25">
      <c r="A479" t="s">
        <v>507</v>
      </c>
      <c r="B479">
        <f>_xlfn.XLOOKUP(A479,'Subbu- Mini Project EXcel Clean'!A479:A1478,'Subbu- Mini Project EXcel Clean'!L479:L1478," ",0)</f>
        <v>176</v>
      </c>
      <c r="C479">
        <f>_xlfn.XLOOKUP(A479,'Subbu- Mini Project EXcel Clean'!A479:A1478,'Subbu- Mini Project EXcel Clean'!K479:K1478," ",0)</f>
        <v>73.5</v>
      </c>
    </row>
    <row r="480" spans="1:3" x14ac:dyDescent="0.25">
      <c r="A480" t="s">
        <v>508</v>
      </c>
      <c r="B480">
        <f>_xlfn.XLOOKUP(A480,'Subbu- Mini Project EXcel Clean'!A480:A1479,'Subbu- Mini Project EXcel Clean'!L480:L1479," ",0)</f>
        <v>209</v>
      </c>
      <c r="C480">
        <f>_xlfn.XLOOKUP(A480,'Subbu- Mini Project EXcel Clean'!A480:A1479,'Subbu- Mini Project EXcel Clean'!K480:K1479," ",0)</f>
        <v>87.2</v>
      </c>
    </row>
    <row r="481" spans="1:3" x14ac:dyDescent="0.25">
      <c r="A481" t="s">
        <v>509</v>
      </c>
      <c r="B481">
        <f>_xlfn.XLOOKUP(A481,'Subbu- Mini Project EXcel Clean'!A481:A1480,'Subbu- Mini Project EXcel Clean'!L481:L1480," ",0)</f>
        <v>174</v>
      </c>
      <c r="C481">
        <f>_xlfn.XLOOKUP(A481,'Subbu- Mini Project EXcel Clean'!A481:A1480,'Subbu- Mini Project EXcel Clean'!K481:K1480," ",0)</f>
        <v>72.3</v>
      </c>
    </row>
    <row r="482" spans="1:3" x14ac:dyDescent="0.25">
      <c r="A482" t="s">
        <v>510</v>
      </c>
      <c r="B482">
        <f>_xlfn.XLOOKUP(A482,'Subbu- Mini Project EXcel Clean'!A482:A1481,'Subbu- Mini Project EXcel Clean'!L482:L1481," ",0)</f>
        <v>186</v>
      </c>
      <c r="C482">
        <f>_xlfn.XLOOKUP(A482,'Subbu- Mini Project EXcel Clean'!A482:A1481,'Subbu- Mini Project EXcel Clean'!K482:K1481," ",0)</f>
        <v>77.3</v>
      </c>
    </row>
    <row r="483" spans="1:3" x14ac:dyDescent="0.25">
      <c r="A483" t="s">
        <v>511</v>
      </c>
      <c r="B483">
        <f>_xlfn.XLOOKUP(A483,'Subbu- Mini Project EXcel Clean'!A483:A1482,'Subbu- Mini Project EXcel Clean'!L483:L1482," ",0)</f>
        <v>208</v>
      </c>
      <c r="C483">
        <f>_xlfn.XLOOKUP(A483,'Subbu- Mini Project EXcel Clean'!A483:A1482,'Subbu- Mini Project EXcel Clean'!K483:K1482," ",0)</f>
        <v>86.8</v>
      </c>
    </row>
    <row r="484" spans="1:3" x14ac:dyDescent="0.25">
      <c r="A484" t="s">
        <v>512</v>
      </c>
      <c r="B484">
        <f>_xlfn.XLOOKUP(A484,'Subbu- Mini Project EXcel Clean'!A484:A1483,'Subbu- Mini Project EXcel Clean'!L484:L1483," ",0)</f>
        <v>158</v>
      </c>
      <c r="C484">
        <f>_xlfn.XLOOKUP(A484,'Subbu- Mini Project EXcel Clean'!A484:A1483,'Subbu- Mini Project EXcel Clean'!K484:K1483," ",0)</f>
        <v>65.8</v>
      </c>
    </row>
    <row r="485" spans="1:3" x14ac:dyDescent="0.25">
      <c r="A485" t="s">
        <v>513</v>
      </c>
      <c r="B485">
        <f>_xlfn.XLOOKUP(A485,'Subbu- Mini Project EXcel Clean'!A485:A1484,'Subbu- Mini Project EXcel Clean'!L485:L1484," ",0)</f>
        <v>175</v>
      </c>
      <c r="C485">
        <f>_xlfn.XLOOKUP(A485,'Subbu- Mini Project EXcel Clean'!A485:A1484,'Subbu- Mini Project EXcel Clean'!K485:K1484," ",0)</f>
        <v>73</v>
      </c>
    </row>
    <row r="486" spans="1:3" x14ac:dyDescent="0.25">
      <c r="A486" t="s">
        <v>514</v>
      </c>
      <c r="B486">
        <f>_xlfn.XLOOKUP(A486,'Subbu- Mini Project EXcel Clean'!A486:A1485,'Subbu- Mini Project EXcel Clean'!L486:L1485," ",0)</f>
        <v>199</v>
      </c>
      <c r="C486">
        <f>_xlfn.XLOOKUP(A486,'Subbu- Mini Project EXcel Clean'!A486:A1485,'Subbu- Mini Project EXcel Clean'!K486:K1485," ",0)</f>
        <v>83</v>
      </c>
    </row>
    <row r="487" spans="1:3" x14ac:dyDescent="0.25">
      <c r="A487" t="s">
        <v>515</v>
      </c>
      <c r="B487">
        <f>_xlfn.XLOOKUP(A487,'Subbu- Mini Project EXcel Clean'!A487:A1486,'Subbu- Mini Project EXcel Clean'!L487:L1486," ",0)</f>
        <v>216</v>
      </c>
      <c r="C487">
        <f>_xlfn.XLOOKUP(A487,'Subbu- Mini Project EXcel Clean'!A487:A1486,'Subbu- Mini Project EXcel Clean'!K487:K1486," ",0)</f>
        <v>89.9</v>
      </c>
    </row>
    <row r="488" spans="1:3" x14ac:dyDescent="0.25">
      <c r="A488" t="s">
        <v>516</v>
      </c>
      <c r="B488">
        <f>_xlfn.XLOOKUP(A488,'Subbu- Mini Project EXcel Clean'!A488:A1487,'Subbu- Mini Project EXcel Clean'!L488:L1487," ",0)</f>
        <v>143</v>
      </c>
      <c r="C488">
        <f>_xlfn.XLOOKUP(A488,'Subbu- Mini Project EXcel Clean'!A488:A1487,'Subbu- Mini Project EXcel Clean'!K488:K1487," ",0)</f>
        <v>59.4</v>
      </c>
    </row>
    <row r="489" spans="1:3" x14ac:dyDescent="0.25">
      <c r="A489" t="s">
        <v>517</v>
      </c>
      <c r="B489">
        <f>_xlfn.XLOOKUP(A489,'Subbu- Mini Project EXcel Clean'!A489:A1488,'Subbu- Mini Project EXcel Clean'!L489:L1488," ",0)</f>
        <v>173</v>
      </c>
      <c r="C489">
        <f>_xlfn.XLOOKUP(A489,'Subbu- Mini Project EXcel Clean'!A489:A1488,'Subbu- Mini Project EXcel Clean'!K489:K1488," ",0)</f>
        <v>72</v>
      </c>
    </row>
    <row r="490" spans="1:3" x14ac:dyDescent="0.25">
      <c r="A490" t="s">
        <v>518</v>
      </c>
      <c r="B490">
        <f>_xlfn.XLOOKUP(A490,'Subbu- Mini Project EXcel Clean'!A490:A1489,'Subbu- Mini Project EXcel Clean'!L490:L1489," ",0)</f>
        <v>211</v>
      </c>
      <c r="C490">
        <f>_xlfn.XLOOKUP(A490,'Subbu- Mini Project EXcel Clean'!A490:A1489,'Subbu- Mini Project EXcel Clean'!K490:K1489," ",0)</f>
        <v>87.8</v>
      </c>
    </row>
    <row r="491" spans="1:3" x14ac:dyDescent="0.25">
      <c r="A491" t="s">
        <v>519</v>
      </c>
      <c r="B491">
        <f>_xlfn.XLOOKUP(A491,'Subbu- Mini Project EXcel Clean'!A491:A1490,'Subbu- Mini Project EXcel Clean'!L491:L1490," ",0)</f>
        <v>221</v>
      </c>
      <c r="C491">
        <f>_xlfn.XLOOKUP(A491,'Subbu- Mini Project EXcel Clean'!A491:A1490,'Subbu- Mini Project EXcel Clean'!K491:K1490," ",0)</f>
        <v>92</v>
      </c>
    </row>
    <row r="492" spans="1:3" x14ac:dyDescent="0.25">
      <c r="A492" t="s">
        <v>520</v>
      </c>
      <c r="B492">
        <f>_xlfn.XLOOKUP(A492,'Subbu- Mini Project EXcel Clean'!A492:A1491,'Subbu- Mini Project EXcel Clean'!L492:L1491," ",0)</f>
        <v>175</v>
      </c>
      <c r="C492">
        <f>_xlfn.XLOOKUP(A492,'Subbu- Mini Project EXcel Clean'!A492:A1491,'Subbu- Mini Project EXcel Clean'!K492:K1491," ",0)</f>
        <v>72.900000000000006</v>
      </c>
    </row>
    <row r="493" spans="1:3" x14ac:dyDescent="0.25">
      <c r="A493" t="s">
        <v>521</v>
      </c>
      <c r="B493">
        <f>_xlfn.XLOOKUP(A493,'Subbu- Mini Project EXcel Clean'!A493:A1492,'Subbu- Mini Project EXcel Clean'!L493:L1492," ",0)</f>
        <v>197</v>
      </c>
      <c r="C493">
        <f>_xlfn.XLOOKUP(A493,'Subbu- Mini Project EXcel Clean'!A493:A1492,'Subbu- Mini Project EXcel Clean'!K493:K1492," ",0)</f>
        <v>82.2</v>
      </c>
    </row>
    <row r="494" spans="1:3" x14ac:dyDescent="0.25">
      <c r="A494" t="s">
        <v>522</v>
      </c>
      <c r="B494">
        <f>_xlfn.XLOOKUP(A494,'Subbu- Mini Project EXcel Clean'!A494:A1493,'Subbu- Mini Project EXcel Clean'!L494:L1493," ",0)</f>
        <v>194</v>
      </c>
      <c r="C494">
        <f>_xlfn.XLOOKUP(A494,'Subbu- Mini Project EXcel Clean'!A494:A1493,'Subbu- Mini Project EXcel Clean'!K494:K1493," ",0)</f>
        <v>80.8</v>
      </c>
    </row>
    <row r="495" spans="1:3" x14ac:dyDescent="0.25">
      <c r="A495" t="s">
        <v>523</v>
      </c>
      <c r="B495">
        <f>_xlfn.XLOOKUP(A495,'Subbu- Mini Project EXcel Clean'!A495:A1494,'Subbu- Mini Project EXcel Clean'!L495:L1494," ",0)</f>
        <v>164</v>
      </c>
      <c r="C495">
        <f>_xlfn.XLOOKUP(A495,'Subbu- Mini Project EXcel Clean'!A495:A1494,'Subbu- Mini Project EXcel Clean'!K495:K1494," ",0)</f>
        <v>68.2</v>
      </c>
    </row>
    <row r="496" spans="1:3" x14ac:dyDescent="0.25">
      <c r="A496" t="s">
        <v>524</v>
      </c>
      <c r="B496">
        <f>_xlfn.XLOOKUP(A496,'Subbu- Mini Project EXcel Clean'!A496:A1495,'Subbu- Mini Project EXcel Clean'!L496:L1495," ",0)</f>
        <v>175</v>
      </c>
      <c r="C496">
        <f>_xlfn.XLOOKUP(A496,'Subbu- Mini Project EXcel Clean'!A496:A1495,'Subbu- Mini Project EXcel Clean'!K496:K1495," ",0)</f>
        <v>73</v>
      </c>
    </row>
    <row r="497" spans="1:3" x14ac:dyDescent="0.25">
      <c r="A497" t="s">
        <v>525</v>
      </c>
      <c r="B497">
        <f>_xlfn.XLOOKUP(A497,'Subbu- Mini Project EXcel Clean'!A497:A1496,'Subbu- Mini Project EXcel Clean'!L497:L1496," ",0)</f>
        <v>176</v>
      </c>
      <c r="C497">
        <f>_xlfn.XLOOKUP(A497,'Subbu- Mini Project EXcel Clean'!A497:A1496,'Subbu- Mini Project EXcel Clean'!K497:K1496," ",0)</f>
        <v>73.3</v>
      </c>
    </row>
    <row r="498" spans="1:3" x14ac:dyDescent="0.25">
      <c r="A498" t="s">
        <v>526</v>
      </c>
      <c r="B498">
        <f>_xlfn.XLOOKUP(A498,'Subbu- Mini Project EXcel Clean'!A498:A1497,'Subbu- Mini Project EXcel Clean'!L498:L1497," ",0)</f>
        <v>178</v>
      </c>
      <c r="C498">
        <f>_xlfn.XLOOKUP(A498,'Subbu- Mini Project EXcel Clean'!A498:A1497,'Subbu- Mini Project EXcel Clean'!K498:K1497," ",0)</f>
        <v>74.2</v>
      </c>
    </row>
    <row r="499" spans="1:3" x14ac:dyDescent="0.25">
      <c r="A499" t="s">
        <v>527</v>
      </c>
      <c r="B499">
        <f>_xlfn.XLOOKUP(A499,'Subbu- Mini Project EXcel Clean'!A499:A1498,'Subbu- Mini Project EXcel Clean'!L499:L1498," ",0)</f>
        <v>178</v>
      </c>
      <c r="C499">
        <f>_xlfn.XLOOKUP(A499,'Subbu- Mini Project EXcel Clean'!A499:A1498,'Subbu- Mini Project EXcel Clean'!K499:K1498," ",0)</f>
        <v>74.099999999999994</v>
      </c>
    </row>
    <row r="500" spans="1:3" x14ac:dyDescent="0.25">
      <c r="A500" t="s">
        <v>528</v>
      </c>
      <c r="B500">
        <f>_xlfn.XLOOKUP(A500,'Subbu- Mini Project EXcel Clean'!A500:A1499,'Subbu- Mini Project EXcel Clean'!L500:L1499," ",0)</f>
        <v>210</v>
      </c>
      <c r="C500">
        <f>_xlfn.XLOOKUP(A500,'Subbu- Mini Project EXcel Clean'!A500:A1499,'Subbu- Mini Project EXcel Clean'!K500:K1499," ",0)</f>
        <v>87.7</v>
      </c>
    </row>
    <row r="501" spans="1:3" x14ac:dyDescent="0.25">
      <c r="A501" t="s">
        <v>529</v>
      </c>
      <c r="B501">
        <f>_xlfn.XLOOKUP(A501,'Subbu- Mini Project EXcel Clean'!A501:A1500,'Subbu- Mini Project EXcel Clean'!L501:L1500," ",0)</f>
        <v>206</v>
      </c>
      <c r="C501">
        <f>_xlfn.XLOOKUP(A501,'Subbu- Mini Project EXcel Clean'!A501:A1500,'Subbu- Mini Project EXcel Clean'!K501:K1500," ",0)</f>
        <v>85.8</v>
      </c>
    </row>
    <row r="502" spans="1:3" x14ac:dyDescent="0.25">
      <c r="A502" t="s">
        <v>530</v>
      </c>
      <c r="B502">
        <f>_xlfn.XLOOKUP(A502,'Subbu- Mini Project EXcel Clean'!A502:A1501,'Subbu- Mini Project EXcel Clean'!L502:L1501," ",0)</f>
        <v>180</v>
      </c>
      <c r="C502">
        <f>_xlfn.XLOOKUP(A502,'Subbu- Mini Project EXcel Clean'!A502:A1501,'Subbu- Mini Project EXcel Clean'!K502:K1501," ",0)</f>
        <v>75</v>
      </c>
    </row>
    <row r="503" spans="1:3" x14ac:dyDescent="0.25">
      <c r="A503" t="s">
        <v>531</v>
      </c>
      <c r="B503">
        <f>_xlfn.XLOOKUP(A503,'Subbu- Mini Project EXcel Clean'!A503:A1502,'Subbu- Mini Project EXcel Clean'!L503:L1502," ",0)</f>
        <v>192</v>
      </c>
      <c r="C503">
        <f>_xlfn.XLOOKUP(A503,'Subbu- Mini Project EXcel Clean'!A503:A1502,'Subbu- Mini Project EXcel Clean'!K503:K1502," ",0)</f>
        <v>80.2</v>
      </c>
    </row>
    <row r="504" spans="1:3" x14ac:dyDescent="0.25">
      <c r="A504" t="s">
        <v>532</v>
      </c>
      <c r="B504">
        <f>_xlfn.XLOOKUP(A504,'Subbu- Mini Project EXcel Clean'!A504:A1503,'Subbu- Mini Project EXcel Clean'!L504:L1503," ",0)</f>
        <v>175</v>
      </c>
      <c r="C504">
        <f>_xlfn.XLOOKUP(A504,'Subbu- Mini Project EXcel Clean'!A504:A1503,'Subbu- Mini Project EXcel Clean'!K504:K1503," ",0)</f>
        <v>72.8</v>
      </c>
    </row>
    <row r="505" spans="1:3" x14ac:dyDescent="0.25">
      <c r="A505" t="s">
        <v>533</v>
      </c>
      <c r="B505">
        <f>_xlfn.XLOOKUP(A505,'Subbu- Mini Project EXcel Clean'!A505:A1504,'Subbu- Mini Project EXcel Clean'!L505:L1504," ",0)</f>
        <v>192</v>
      </c>
      <c r="C505">
        <f>_xlfn.XLOOKUP(A505,'Subbu- Mini Project EXcel Clean'!A505:A1504,'Subbu- Mini Project EXcel Clean'!K505:K1504," ",0)</f>
        <v>79.900000000000006</v>
      </c>
    </row>
    <row r="506" spans="1:3" x14ac:dyDescent="0.25">
      <c r="A506" t="s">
        <v>534</v>
      </c>
      <c r="B506">
        <f>_xlfn.XLOOKUP(A506,'Subbu- Mini Project EXcel Clean'!A506:A1505,'Subbu- Mini Project EXcel Clean'!L506:L1505," ",0)</f>
        <v>196</v>
      </c>
      <c r="C506">
        <f>_xlfn.XLOOKUP(A506,'Subbu- Mini Project EXcel Clean'!A506:A1505,'Subbu- Mini Project EXcel Clean'!K506:K1505," ",0)</f>
        <v>81.7</v>
      </c>
    </row>
    <row r="507" spans="1:3" x14ac:dyDescent="0.25">
      <c r="A507" t="s">
        <v>535</v>
      </c>
      <c r="B507">
        <f>_xlfn.XLOOKUP(A507,'Subbu- Mini Project EXcel Clean'!A507:A1506,'Subbu- Mini Project EXcel Clean'!L507:L1506," ",0)</f>
        <v>137</v>
      </c>
      <c r="C507">
        <f>_xlfn.XLOOKUP(A507,'Subbu- Mini Project EXcel Clean'!A507:A1506,'Subbu- Mini Project EXcel Clean'!K507:K1506," ",0)</f>
        <v>56.9</v>
      </c>
    </row>
    <row r="508" spans="1:3" x14ac:dyDescent="0.25">
      <c r="A508" t="s">
        <v>536</v>
      </c>
      <c r="B508">
        <f>_xlfn.XLOOKUP(A508,'Subbu- Mini Project EXcel Clean'!A508:A1507,'Subbu- Mini Project EXcel Clean'!L508:L1507," ",0)</f>
        <v>206</v>
      </c>
      <c r="C508">
        <f>_xlfn.XLOOKUP(A508,'Subbu- Mini Project EXcel Clean'!A508:A1507,'Subbu- Mini Project EXcel Clean'!K508:K1507," ",0)</f>
        <v>86</v>
      </c>
    </row>
    <row r="509" spans="1:3" x14ac:dyDescent="0.25">
      <c r="A509" t="s">
        <v>537</v>
      </c>
      <c r="B509">
        <f>_xlfn.XLOOKUP(A509,'Subbu- Mini Project EXcel Clean'!A509:A1508,'Subbu- Mini Project EXcel Clean'!L509:L1508," ",0)</f>
        <v>204</v>
      </c>
      <c r="C509">
        <f>_xlfn.XLOOKUP(A509,'Subbu- Mini Project EXcel Clean'!A509:A1508,'Subbu- Mini Project EXcel Clean'!K509:K1508," ",0)</f>
        <v>84.9</v>
      </c>
    </row>
    <row r="510" spans="1:3" x14ac:dyDescent="0.25">
      <c r="A510" t="s">
        <v>538</v>
      </c>
      <c r="B510">
        <f>_xlfn.XLOOKUP(A510,'Subbu- Mini Project EXcel Clean'!A510:A1509,'Subbu- Mini Project EXcel Clean'!L510:L1509," ",0)</f>
        <v>227</v>
      </c>
      <c r="C510">
        <f>_xlfn.XLOOKUP(A510,'Subbu- Mini Project EXcel Clean'!A510:A1509,'Subbu- Mini Project EXcel Clean'!K510:K1509," ",0)</f>
        <v>94.7</v>
      </c>
    </row>
    <row r="511" spans="1:3" x14ac:dyDescent="0.25">
      <c r="A511" t="s">
        <v>539</v>
      </c>
      <c r="B511">
        <f>_xlfn.XLOOKUP(A511,'Subbu- Mini Project EXcel Clean'!A511:A1510,'Subbu- Mini Project EXcel Clean'!L511:L1510," ",0)</f>
        <v>183</v>
      </c>
      <c r="C511">
        <f>_xlfn.XLOOKUP(A511,'Subbu- Mini Project EXcel Clean'!A511:A1510,'Subbu- Mini Project EXcel Clean'!K511:K1510," ",0)</f>
        <v>76.099999999999994</v>
      </c>
    </row>
    <row r="512" spans="1:3" x14ac:dyDescent="0.25">
      <c r="A512" t="s">
        <v>540</v>
      </c>
      <c r="B512">
        <f>_xlfn.XLOOKUP(A512,'Subbu- Mini Project EXcel Clean'!A512:A1511,'Subbu- Mini Project EXcel Clean'!L512:L1511," ",0)</f>
        <v>169</v>
      </c>
      <c r="C512">
        <f>_xlfn.XLOOKUP(A512,'Subbu- Mini Project EXcel Clean'!A512:A1511,'Subbu- Mini Project EXcel Clean'!K512:K1511," ",0)</f>
        <v>70.5</v>
      </c>
    </row>
    <row r="513" spans="1:3" x14ac:dyDescent="0.25">
      <c r="A513" t="s">
        <v>541</v>
      </c>
      <c r="B513">
        <f>_xlfn.XLOOKUP(A513,'Subbu- Mini Project EXcel Clean'!A513:A1512,'Subbu- Mini Project EXcel Clean'!L513:L1512," ",0)</f>
        <v>161</v>
      </c>
      <c r="C513">
        <f>_xlfn.XLOOKUP(A513,'Subbu- Mini Project EXcel Clean'!A513:A1512,'Subbu- Mini Project EXcel Clean'!K513:K1512," ",0)</f>
        <v>67</v>
      </c>
    </row>
    <row r="514" spans="1:3" x14ac:dyDescent="0.25">
      <c r="A514" t="s">
        <v>542</v>
      </c>
      <c r="B514">
        <f>_xlfn.XLOOKUP(A514,'Subbu- Mini Project EXcel Clean'!A514:A1513,'Subbu- Mini Project EXcel Clean'!L514:L1513," ",0)</f>
        <v>190</v>
      </c>
      <c r="C514">
        <f>_xlfn.XLOOKUP(A514,'Subbu- Mini Project EXcel Clean'!A514:A1513,'Subbu- Mini Project EXcel Clean'!K514:K1513," ",0)</f>
        <v>79</v>
      </c>
    </row>
    <row r="515" spans="1:3" x14ac:dyDescent="0.25">
      <c r="A515" t="s">
        <v>543</v>
      </c>
      <c r="B515">
        <f>_xlfn.XLOOKUP(A515,'Subbu- Mini Project EXcel Clean'!A515:A1514,'Subbu- Mini Project EXcel Clean'!L515:L1514," ",0)</f>
        <v>217</v>
      </c>
      <c r="C515">
        <f>_xlfn.XLOOKUP(A515,'Subbu- Mini Project EXcel Clean'!A515:A1514,'Subbu- Mini Project EXcel Clean'!K515:K1514," ",0)</f>
        <v>90.5</v>
      </c>
    </row>
    <row r="516" spans="1:3" x14ac:dyDescent="0.25">
      <c r="A516" t="s">
        <v>544</v>
      </c>
      <c r="B516">
        <f>_xlfn.XLOOKUP(A516,'Subbu- Mini Project EXcel Clean'!A516:A1515,'Subbu- Mini Project EXcel Clean'!L516:L1515," ",0)</f>
        <v>166</v>
      </c>
      <c r="C516">
        <f>_xlfn.XLOOKUP(A516,'Subbu- Mini Project EXcel Clean'!A516:A1515,'Subbu- Mini Project EXcel Clean'!K516:K1515," ",0)</f>
        <v>69</v>
      </c>
    </row>
    <row r="517" spans="1:3" x14ac:dyDescent="0.25">
      <c r="A517" t="s">
        <v>545</v>
      </c>
      <c r="B517">
        <f>_xlfn.XLOOKUP(A517,'Subbu- Mini Project EXcel Clean'!A517:A1516,'Subbu- Mini Project EXcel Clean'!L517:L1516," ",0)</f>
        <v>150</v>
      </c>
      <c r="C517">
        <f>_xlfn.XLOOKUP(A517,'Subbu- Mini Project EXcel Clean'!A517:A1516,'Subbu- Mini Project EXcel Clean'!K517:K1516," ",0)</f>
        <v>62.3</v>
      </c>
    </row>
    <row r="518" spans="1:3" x14ac:dyDescent="0.25">
      <c r="A518" t="s">
        <v>546</v>
      </c>
      <c r="B518">
        <f>_xlfn.XLOOKUP(A518,'Subbu- Mini Project EXcel Clean'!A518:A1517,'Subbu- Mini Project EXcel Clean'!L518:L1517," ",0)</f>
        <v>184</v>
      </c>
      <c r="C518">
        <f>_xlfn.XLOOKUP(A518,'Subbu- Mini Project EXcel Clean'!A518:A1517,'Subbu- Mini Project EXcel Clean'!K518:K1517," ",0)</f>
        <v>76.5</v>
      </c>
    </row>
    <row r="519" spans="1:3" x14ac:dyDescent="0.25">
      <c r="A519" t="s">
        <v>547</v>
      </c>
      <c r="B519">
        <f>_xlfn.XLOOKUP(A519,'Subbu- Mini Project EXcel Clean'!A519:A1518,'Subbu- Mini Project EXcel Clean'!L519:L1518," ",0)</f>
        <v>199</v>
      </c>
      <c r="C519">
        <f>_xlfn.XLOOKUP(A519,'Subbu- Mini Project EXcel Clean'!A519:A1518,'Subbu- Mini Project EXcel Clean'!K519:K1518," ",0)</f>
        <v>83</v>
      </c>
    </row>
    <row r="520" spans="1:3" x14ac:dyDescent="0.25">
      <c r="A520" t="s">
        <v>548</v>
      </c>
      <c r="B520">
        <f>_xlfn.XLOOKUP(A520,'Subbu- Mini Project EXcel Clean'!A520:A1519,'Subbu- Mini Project EXcel Clean'!L520:L1519," ",0)</f>
        <v>208</v>
      </c>
      <c r="C520">
        <f>_xlfn.XLOOKUP(A520,'Subbu- Mini Project EXcel Clean'!A520:A1519,'Subbu- Mini Project EXcel Clean'!K520:K1519," ",0)</f>
        <v>86.7</v>
      </c>
    </row>
    <row r="521" spans="1:3" x14ac:dyDescent="0.25">
      <c r="A521" t="s">
        <v>549</v>
      </c>
      <c r="B521">
        <f>_xlfn.XLOOKUP(A521,'Subbu- Mini Project EXcel Clean'!A521:A1520,'Subbu- Mini Project EXcel Clean'!L521:L1520," ",0)</f>
        <v>150</v>
      </c>
      <c r="C521">
        <f>_xlfn.XLOOKUP(A521,'Subbu- Mini Project EXcel Clean'!A521:A1520,'Subbu- Mini Project EXcel Clean'!K521:K1520," ",0)</f>
        <v>62.5</v>
      </c>
    </row>
    <row r="522" spans="1:3" x14ac:dyDescent="0.25">
      <c r="A522" t="s">
        <v>550</v>
      </c>
      <c r="B522">
        <f>_xlfn.XLOOKUP(A522,'Subbu- Mini Project EXcel Clean'!A522:A1521,'Subbu- Mini Project EXcel Clean'!L522:L1521," ",0)</f>
        <v>180</v>
      </c>
      <c r="C522">
        <f>_xlfn.XLOOKUP(A522,'Subbu- Mini Project EXcel Clean'!A522:A1521,'Subbu- Mini Project EXcel Clean'!K522:K1521," ",0)</f>
        <v>74.8</v>
      </c>
    </row>
    <row r="523" spans="1:3" x14ac:dyDescent="0.25">
      <c r="A523" t="s">
        <v>551</v>
      </c>
      <c r="B523">
        <f>_xlfn.XLOOKUP(A523,'Subbu- Mini Project EXcel Clean'!A523:A1522,'Subbu- Mini Project EXcel Clean'!L523:L1522," ",0)</f>
        <v>150</v>
      </c>
      <c r="C523">
        <f>_xlfn.XLOOKUP(A523,'Subbu- Mini Project EXcel Clean'!A523:A1522,'Subbu- Mini Project EXcel Clean'!K523:K1522," ",0)</f>
        <v>62.7</v>
      </c>
    </row>
    <row r="524" spans="1:3" x14ac:dyDescent="0.25">
      <c r="A524" t="s">
        <v>552</v>
      </c>
      <c r="B524">
        <f>_xlfn.XLOOKUP(A524,'Subbu- Mini Project EXcel Clean'!A524:A1523,'Subbu- Mini Project EXcel Clean'!L524:L1523," ",0)</f>
        <v>211</v>
      </c>
      <c r="C524">
        <f>_xlfn.XLOOKUP(A524,'Subbu- Mini Project EXcel Clean'!A524:A1523,'Subbu- Mini Project EXcel Clean'!K524:K1523," ",0)</f>
        <v>88</v>
      </c>
    </row>
    <row r="525" spans="1:3" x14ac:dyDescent="0.25">
      <c r="A525" t="s">
        <v>553</v>
      </c>
      <c r="B525">
        <f>_xlfn.XLOOKUP(A525,'Subbu- Mini Project EXcel Clean'!A525:A1524,'Subbu- Mini Project EXcel Clean'!L525:L1524," ",0)</f>
        <v>199</v>
      </c>
      <c r="C525">
        <f>_xlfn.XLOOKUP(A525,'Subbu- Mini Project EXcel Clean'!A525:A1524,'Subbu- Mini Project EXcel Clean'!K525:K1524," ",0)</f>
        <v>83</v>
      </c>
    </row>
    <row r="526" spans="1:3" x14ac:dyDescent="0.25">
      <c r="A526" t="s">
        <v>554</v>
      </c>
      <c r="B526">
        <f>_xlfn.XLOOKUP(A526,'Subbu- Mini Project EXcel Clean'!A526:A1525,'Subbu- Mini Project EXcel Clean'!L526:L1525," ",0)</f>
        <v>208</v>
      </c>
      <c r="C526">
        <f>_xlfn.XLOOKUP(A526,'Subbu- Mini Project EXcel Clean'!A526:A1525,'Subbu- Mini Project EXcel Clean'!K526:K1525," ",0)</f>
        <v>86.8</v>
      </c>
    </row>
    <row r="527" spans="1:3" x14ac:dyDescent="0.25">
      <c r="A527" t="s">
        <v>555</v>
      </c>
      <c r="B527">
        <f>_xlfn.XLOOKUP(A527,'Subbu- Mini Project EXcel Clean'!A527:A1526,'Subbu- Mini Project EXcel Clean'!L527:L1526," ",0)</f>
        <v>176</v>
      </c>
      <c r="C527">
        <f>_xlfn.XLOOKUP(A527,'Subbu- Mini Project EXcel Clean'!A527:A1526,'Subbu- Mini Project EXcel Clean'!K527:K1526," ",0)</f>
        <v>73.400000000000006</v>
      </c>
    </row>
    <row r="528" spans="1:3" x14ac:dyDescent="0.25">
      <c r="A528" t="s">
        <v>556</v>
      </c>
      <c r="B528">
        <f>_xlfn.XLOOKUP(A528,'Subbu- Mini Project EXcel Clean'!A528:A1527,'Subbu- Mini Project EXcel Clean'!L528:L1527," ",0)</f>
        <v>169</v>
      </c>
      <c r="C528">
        <f>_xlfn.XLOOKUP(A528,'Subbu- Mini Project EXcel Clean'!A528:A1527,'Subbu- Mini Project EXcel Clean'!K528:K1527," ",0)</f>
        <v>70.599999999999994</v>
      </c>
    </row>
    <row r="529" spans="1:3" x14ac:dyDescent="0.25">
      <c r="A529" t="s">
        <v>557</v>
      </c>
      <c r="B529">
        <f>_xlfn.XLOOKUP(A529,'Subbu- Mini Project EXcel Clean'!A529:A1528,'Subbu- Mini Project EXcel Clean'!L529:L1528," ",0)</f>
        <v>152</v>
      </c>
      <c r="C529">
        <f>_xlfn.XLOOKUP(A529,'Subbu- Mini Project EXcel Clean'!A529:A1528,'Subbu- Mini Project EXcel Clean'!K529:K1528," ",0)</f>
        <v>63.2</v>
      </c>
    </row>
    <row r="530" spans="1:3" x14ac:dyDescent="0.25">
      <c r="A530" t="s">
        <v>558</v>
      </c>
      <c r="B530">
        <f>_xlfn.XLOOKUP(A530,'Subbu- Mini Project EXcel Clean'!A530:A1529,'Subbu- Mini Project EXcel Clean'!L530:L1529," ",0)</f>
        <v>149</v>
      </c>
      <c r="C530">
        <f>_xlfn.XLOOKUP(A530,'Subbu- Mini Project EXcel Clean'!A530:A1529,'Subbu- Mini Project EXcel Clean'!K530:K1529," ",0)</f>
        <v>61.9</v>
      </c>
    </row>
    <row r="531" spans="1:3" x14ac:dyDescent="0.25">
      <c r="A531" t="s">
        <v>559</v>
      </c>
      <c r="B531">
        <f>_xlfn.XLOOKUP(A531,'Subbu- Mini Project EXcel Clean'!A531:A1530,'Subbu- Mini Project EXcel Clean'!L531:L1530," ",0)</f>
        <v>210</v>
      </c>
      <c r="C531">
        <f>_xlfn.XLOOKUP(A531,'Subbu- Mini Project EXcel Clean'!A531:A1530,'Subbu- Mini Project EXcel Clean'!K531:K1530," ",0)</f>
        <v>87.5</v>
      </c>
    </row>
    <row r="532" spans="1:3" x14ac:dyDescent="0.25">
      <c r="A532" t="s">
        <v>560</v>
      </c>
      <c r="B532">
        <f>_xlfn.XLOOKUP(A532,'Subbu- Mini Project EXcel Clean'!A532:A1531,'Subbu- Mini Project EXcel Clean'!L532:L1531," ",0)</f>
        <v>184</v>
      </c>
      <c r="C532">
        <f>_xlfn.XLOOKUP(A532,'Subbu- Mini Project EXcel Clean'!A532:A1531,'Subbu- Mini Project EXcel Clean'!K532:K1531," ",0)</f>
        <v>76.599999999999994</v>
      </c>
    </row>
    <row r="533" spans="1:3" x14ac:dyDescent="0.25">
      <c r="A533" t="s">
        <v>561</v>
      </c>
      <c r="B533">
        <f>_xlfn.XLOOKUP(A533,'Subbu- Mini Project EXcel Clean'!A533:A1532,'Subbu- Mini Project EXcel Clean'!L533:L1532," ",0)</f>
        <v>211</v>
      </c>
      <c r="C533">
        <f>_xlfn.XLOOKUP(A533,'Subbu- Mini Project EXcel Clean'!A533:A1532,'Subbu- Mini Project EXcel Clean'!K533:K1532," ",0)</f>
        <v>87.9</v>
      </c>
    </row>
    <row r="534" spans="1:3" x14ac:dyDescent="0.25">
      <c r="A534" t="s">
        <v>562</v>
      </c>
      <c r="B534">
        <f>_xlfn.XLOOKUP(A534,'Subbu- Mini Project EXcel Clean'!A534:A1533,'Subbu- Mini Project EXcel Clean'!L534:L1533," ",0)</f>
        <v>213</v>
      </c>
      <c r="C534">
        <f>_xlfn.XLOOKUP(A534,'Subbu- Mini Project EXcel Clean'!A534:A1533,'Subbu- Mini Project EXcel Clean'!K534:K1533," ",0)</f>
        <v>88.6</v>
      </c>
    </row>
    <row r="535" spans="1:3" x14ac:dyDescent="0.25">
      <c r="A535" t="s">
        <v>563</v>
      </c>
      <c r="B535">
        <f>_xlfn.XLOOKUP(A535,'Subbu- Mini Project EXcel Clean'!A535:A1534,'Subbu- Mini Project EXcel Clean'!L535:L1534," ",0)</f>
        <v>172</v>
      </c>
      <c r="C535">
        <f>_xlfn.XLOOKUP(A535,'Subbu- Mini Project EXcel Clean'!A535:A1534,'Subbu- Mini Project EXcel Clean'!K535:K1534," ",0)</f>
        <v>71.7</v>
      </c>
    </row>
    <row r="536" spans="1:3" x14ac:dyDescent="0.25">
      <c r="A536" t="s">
        <v>564</v>
      </c>
      <c r="B536">
        <f>_xlfn.XLOOKUP(A536,'Subbu- Mini Project EXcel Clean'!A536:A1535,'Subbu- Mini Project EXcel Clean'!L536:L1535," ",0)</f>
        <v>188</v>
      </c>
      <c r="C536">
        <f>_xlfn.XLOOKUP(A536,'Subbu- Mini Project EXcel Clean'!A536:A1535,'Subbu- Mini Project EXcel Clean'!K536:K1535," ",0)</f>
        <v>78.2</v>
      </c>
    </row>
    <row r="537" spans="1:3" x14ac:dyDescent="0.25">
      <c r="A537" t="s">
        <v>565</v>
      </c>
      <c r="B537">
        <f>_xlfn.XLOOKUP(A537,'Subbu- Mini Project EXcel Clean'!A537:A1536,'Subbu- Mini Project EXcel Clean'!L537:L1536," ",0)</f>
        <v>209</v>
      </c>
      <c r="C537">
        <f>_xlfn.XLOOKUP(A537,'Subbu- Mini Project EXcel Clean'!A537:A1536,'Subbu- Mini Project EXcel Clean'!K537:K1536," ",0)</f>
        <v>87.1</v>
      </c>
    </row>
    <row r="538" spans="1:3" x14ac:dyDescent="0.25">
      <c r="A538" t="s">
        <v>566</v>
      </c>
      <c r="B538">
        <f>_xlfn.XLOOKUP(A538,'Subbu- Mini Project EXcel Clean'!A538:A1537,'Subbu- Mini Project EXcel Clean'!L538:L1537," ",0)</f>
        <v>186</v>
      </c>
      <c r="C538">
        <f>_xlfn.XLOOKUP(A538,'Subbu- Mini Project EXcel Clean'!A538:A1537,'Subbu- Mini Project EXcel Clean'!K538:K1537," ",0)</f>
        <v>77.7</v>
      </c>
    </row>
    <row r="539" spans="1:3" x14ac:dyDescent="0.25">
      <c r="A539" t="s">
        <v>567</v>
      </c>
      <c r="B539">
        <f>_xlfn.XLOOKUP(A539,'Subbu- Mini Project EXcel Clean'!A539:A1538,'Subbu- Mini Project EXcel Clean'!L539:L1538," ",0)</f>
        <v>165</v>
      </c>
      <c r="C539">
        <f>_xlfn.XLOOKUP(A539,'Subbu- Mini Project EXcel Clean'!A539:A1538,'Subbu- Mini Project EXcel Clean'!K539:K1538," ",0)</f>
        <v>68.599999999999994</v>
      </c>
    </row>
    <row r="540" spans="1:3" x14ac:dyDescent="0.25">
      <c r="A540" t="s">
        <v>568</v>
      </c>
      <c r="B540">
        <f>_xlfn.XLOOKUP(A540,'Subbu- Mini Project EXcel Clean'!A540:A1539,'Subbu- Mini Project EXcel Clean'!L540:L1539," ",0)</f>
        <v>163</v>
      </c>
      <c r="C540">
        <f>_xlfn.XLOOKUP(A540,'Subbu- Mini Project EXcel Clean'!A540:A1539,'Subbu- Mini Project EXcel Clean'!K540:K1539," ",0)</f>
        <v>67.900000000000006</v>
      </c>
    </row>
    <row r="541" spans="1:3" x14ac:dyDescent="0.25">
      <c r="A541" t="s">
        <v>569</v>
      </c>
      <c r="B541">
        <f>_xlfn.XLOOKUP(A541,'Subbu- Mini Project EXcel Clean'!A541:A1540,'Subbu- Mini Project EXcel Clean'!L541:L1540," ",0)</f>
        <v>165</v>
      </c>
      <c r="C541">
        <f>_xlfn.XLOOKUP(A541,'Subbu- Mini Project EXcel Clean'!A541:A1540,'Subbu- Mini Project EXcel Clean'!K541:K1540," ",0)</f>
        <v>68.900000000000006</v>
      </c>
    </row>
    <row r="542" spans="1:3" x14ac:dyDescent="0.25">
      <c r="A542" t="s">
        <v>570</v>
      </c>
      <c r="B542">
        <f>_xlfn.XLOOKUP(A542,'Subbu- Mini Project EXcel Clean'!A542:A1541,'Subbu- Mini Project EXcel Clean'!L542:L1541," ",0)</f>
        <v>235</v>
      </c>
      <c r="C542">
        <f>_xlfn.XLOOKUP(A542,'Subbu- Mini Project EXcel Clean'!A542:A1541,'Subbu- Mini Project EXcel Clean'!K542:K1541," ",0)</f>
        <v>97.9</v>
      </c>
    </row>
    <row r="543" spans="1:3" x14ac:dyDescent="0.25">
      <c r="A543" t="s">
        <v>571</v>
      </c>
      <c r="B543">
        <f>_xlfn.XLOOKUP(A543,'Subbu- Mini Project EXcel Clean'!A543:A1542,'Subbu- Mini Project EXcel Clean'!L543:L1542," ",0)</f>
        <v>174</v>
      </c>
      <c r="C543">
        <f>_xlfn.XLOOKUP(A543,'Subbu- Mini Project EXcel Clean'!A543:A1542,'Subbu- Mini Project EXcel Clean'!K543:K1542," ",0)</f>
        <v>72.400000000000006</v>
      </c>
    </row>
    <row r="544" spans="1:3" x14ac:dyDescent="0.25">
      <c r="A544" t="s">
        <v>572</v>
      </c>
      <c r="B544">
        <f>_xlfn.XLOOKUP(A544,'Subbu- Mini Project EXcel Clean'!A544:A1543,'Subbu- Mini Project EXcel Clean'!L544:L1543," ",0)</f>
        <v>166</v>
      </c>
      <c r="C544">
        <f>_xlfn.XLOOKUP(A544,'Subbu- Mini Project EXcel Clean'!A544:A1543,'Subbu- Mini Project EXcel Clean'!K544:K1543," ",0)</f>
        <v>69</v>
      </c>
    </row>
    <row r="545" spans="1:3" x14ac:dyDescent="0.25">
      <c r="A545" t="s">
        <v>573</v>
      </c>
      <c r="B545">
        <f>_xlfn.XLOOKUP(A545,'Subbu- Mini Project EXcel Clean'!A545:A1544,'Subbu- Mini Project EXcel Clean'!L545:L1544," ",0)</f>
        <v>180</v>
      </c>
      <c r="C545">
        <f>_xlfn.XLOOKUP(A545,'Subbu- Mini Project EXcel Clean'!A545:A1544,'Subbu- Mini Project EXcel Clean'!K545:K1544," ",0)</f>
        <v>74.8</v>
      </c>
    </row>
    <row r="546" spans="1:3" x14ac:dyDescent="0.25">
      <c r="A546" t="s">
        <v>574</v>
      </c>
      <c r="B546">
        <f>_xlfn.XLOOKUP(A546,'Subbu- Mini Project EXcel Clean'!A546:A1545,'Subbu- Mini Project EXcel Clean'!L546:L1545," ",0)</f>
        <v>197</v>
      </c>
      <c r="C546">
        <f>_xlfn.XLOOKUP(A546,'Subbu- Mini Project EXcel Clean'!A546:A1545,'Subbu- Mini Project EXcel Clean'!K546:K1545," ",0)</f>
        <v>82.2</v>
      </c>
    </row>
    <row r="547" spans="1:3" x14ac:dyDescent="0.25">
      <c r="A547" t="s">
        <v>575</v>
      </c>
      <c r="B547">
        <f>_xlfn.XLOOKUP(A547,'Subbu- Mini Project EXcel Clean'!A547:A1546,'Subbu- Mini Project EXcel Clean'!L547:L1546," ",0)</f>
        <v>152</v>
      </c>
      <c r="C547">
        <f>_xlfn.XLOOKUP(A547,'Subbu- Mini Project EXcel Clean'!A547:A1546,'Subbu- Mini Project EXcel Clean'!K547:K1546," ",0)</f>
        <v>63.5</v>
      </c>
    </row>
    <row r="548" spans="1:3" x14ac:dyDescent="0.25">
      <c r="A548" t="s">
        <v>576</v>
      </c>
      <c r="B548">
        <f>_xlfn.XLOOKUP(A548,'Subbu- Mini Project EXcel Clean'!A548:A1547,'Subbu- Mini Project EXcel Clean'!L548:L1547," ",0)</f>
        <v>157</v>
      </c>
      <c r="C548">
        <f>_xlfn.XLOOKUP(A548,'Subbu- Mini Project EXcel Clean'!A548:A1547,'Subbu- Mini Project EXcel Clean'!K548:K1547," ",0)</f>
        <v>65.5</v>
      </c>
    </row>
    <row r="549" spans="1:3" x14ac:dyDescent="0.25">
      <c r="A549" t="s">
        <v>577</v>
      </c>
      <c r="B549">
        <f>_xlfn.XLOOKUP(A549,'Subbu- Mini Project EXcel Clean'!A549:A1548,'Subbu- Mini Project EXcel Clean'!L549:L1548," ",0)</f>
        <v>178</v>
      </c>
      <c r="C549">
        <f>_xlfn.XLOOKUP(A549,'Subbu- Mini Project EXcel Clean'!A549:A1548,'Subbu- Mini Project EXcel Clean'!K549:K1548," ",0)</f>
        <v>74.099999999999994</v>
      </c>
    </row>
    <row r="550" spans="1:3" x14ac:dyDescent="0.25">
      <c r="A550" t="s">
        <v>578</v>
      </c>
      <c r="B550">
        <f>_xlfn.XLOOKUP(A550,'Subbu- Mini Project EXcel Clean'!A550:A1549,'Subbu- Mini Project EXcel Clean'!L550:L1549," ",0)</f>
        <v>176</v>
      </c>
      <c r="C550">
        <f>_xlfn.XLOOKUP(A550,'Subbu- Mini Project EXcel Clean'!A550:A1549,'Subbu- Mini Project EXcel Clean'!K550:K1549," ",0)</f>
        <v>73.3</v>
      </c>
    </row>
    <row r="551" spans="1:3" x14ac:dyDescent="0.25">
      <c r="A551" t="s">
        <v>579</v>
      </c>
      <c r="B551">
        <f>_xlfn.XLOOKUP(A551,'Subbu- Mini Project EXcel Clean'!A551:A1550,'Subbu- Mini Project EXcel Clean'!L551:L1550," ",0)</f>
        <v>183</v>
      </c>
      <c r="C551">
        <f>_xlfn.XLOOKUP(A551,'Subbu- Mini Project EXcel Clean'!A551:A1550,'Subbu- Mini Project EXcel Clean'!K551:K1550," ",0)</f>
        <v>76.099999999999994</v>
      </c>
    </row>
    <row r="552" spans="1:3" x14ac:dyDescent="0.25">
      <c r="A552" t="s">
        <v>580</v>
      </c>
      <c r="B552">
        <f>_xlfn.XLOOKUP(A552,'Subbu- Mini Project EXcel Clean'!A552:A1551,'Subbu- Mini Project EXcel Clean'!L552:L1551," ",0)</f>
        <v>188</v>
      </c>
      <c r="C552">
        <f>_xlfn.XLOOKUP(A552,'Subbu- Mini Project EXcel Clean'!A552:A1551,'Subbu- Mini Project EXcel Clean'!K552:K1551," ",0)</f>
        <v>78.400000000000006</v>
      </c>
    </row>
    <row r="553" spans="1:3" x14ac:dyDescent="0.25">
      <c r="A553" t="s">
        <v>581</v>
      </c>
      <c r="B553">
        <f>_xlfn.XLOOKUP(A553,'Subbu- Mini Project EXcel Clean'!A553:A1552,'Subbu- Mini Project EXcel Clean'!L553:L1552," ",0)</f>
        <v>190</v>
      </c>
      <c r="C553">
        <f>_xlfn.XLOOKUP(A553,'Subbu- Mini Project EXcel Clean'!A553:A1552,'Subbu- Mini Project EXcel Clean'!K553:K1552," ",0)</f>
        <v>79.3</v>
      </c>
    </row>
    <row r="554" spans="1:3" x14ac:dyDescent="0.25">
      <c r="A554" t="s">
        <v>582</v>
      </c>
      <c r="B554">
        <f>_xlfn.XLOOKUP(A554,'Subbu- Mini Project EXcel Clean'!A554:A1553,'Subbu- Mini Project EXcel Clean'!L554:L1553," ",0)</f>
        <v>187</v>
      </c>
      <c r="C554">
        <f>_xlfn.XLOOKUP(A554,'Subbu- Mini Project EXcel Clean'!A554:A1553,'Subbu- Mini Project EXcel Clean'!K554:K1553," ",0)</f>
        <v>77.900000000000006</v>
      </c>
    </row>
    <row r="555" spans="1:3" x14ac:dyDescent="0.25">
      <c r="A555" t="s">
        <v>583</v>
      </c>
      <c r="B555">
        <f>_xlfn.XLOOKUP(A555,'Subbu- Mini Project EXcel Clean'!A555:A1554,'Subbu- Mini Project EXcel Clean'!L555:L1554," ",0)</f>
        <v>177</v>
      </c>
      <c r="C555">
        <f>_xlfn.XLOOKUP(A555,'Subbu- Mini Project EXcel Clean'!A555:A1554,'Subbu- Mini Project EXcel Clean'!K555:K1554," ",0)</f>
        <v>73.7</v>
      </c>
    </row>
    <row r="556" spans="1:3" x14ac:dyDescent="0.25">
      <c r="A556" t="s">
        <v>584</v>
      </c>
      <c r="B556">
        <f>_xlfn.XLOOKUP(A556,'Subbu- Mini Project EXcel Clean'!A556:A1555,'Subbu- Mini Project EXcel Clean'!L556:L1555," ",0)</f>
        <v>200</v>
      </c>
      <c r="C556">
        <f>_xlfn.XLOOKUP(A556,'Subbu- Mini Project EXcel Clean'!A556:A1555,'Subbu- Mini Project EXcel Clean'!K556:K1555," ",0)</f>
        <v>83.5</v>
      </c>
    </row>
    <row r="557" spans="1:3" x14ac:dyDescent="0.25">
      <c r="A557" t="s">
        <v>585</v>
      </c>
      <c r="B557">
        <f>_xlfn.XLOOKUP(A557,'Subbu- Mini Project EXcel Clean'!A557:A1556,'Subbu- Mini Project EXcel Clean'!L557:L1556," ",0)</f>
        <v>172</v>
      </c>
      <c r="C557">
        <f>_xlfn.XLOOKUP(A557,'Subbu- Mini Project EXcel Clean'!A557:A1556,'Subbu- Mini Project EXcel Clean'!K557:K1556," ",0)</f>
        <v>71.8</v>
      </c>
    </row>
    <row r="558" spans="1:3" x14ac:dyDescent="0.25">
      <c r="A558" t="s">
        <v>586</v>
      </c>
      <c r="B558">
        <f>_xlfn.XLOOKUP(A558,'Subbu- Mini Project EXcel Clean'!A558:A1557,'Subbu- Mini Project EXcel Clean'!L558:L1557," ",0)</f>
        <v>144</v>
      </c>
      <c r="C558">
        <f>_xlfn.XLOOKUP(A558,'Subbu- Mini Project EXcel Clean'!A558:A1557,'Subbu- Mini Project EXcel Clean'!K558:K1557," ",0)</f>
        <v>59.9</v>
      </c>
    </row>
    <row r="559" spans="1:3" x14ac:dyDescent="0.25">
      <c r="A559" t="s">
        <v>587</v>
      </c>
      <c r="B559">
        <f>_xlfn.XLOOKUP(A559,'Subbu- Mini Project EXcel Clean'!A559:A1558,'Subbu- Mini Project EXcel Clean'!L559:L1558," ",0)</f>
        <v>148</v>
      </c>
      <c r="C559">
        <f>_xlfn.XLOOKUP(A559,'Subbu- Mini Project EXcel Clean'!A559:A1558,'Subbu- Mini Project EXcel Clean'!K559:K1558," ",0)</f>
        <v>61.8</v>
      </c>
    </row>
    <row r="560" spans="1:3" x14ac:dyDescent="0.25">
      <c r="A560" t="s">
        <v>588</v>
      </c>
      <c r="B560">
        <f>_xlfn.XLOOKUP(A560,'Subbu- Mini Project EXcel Clean'!A560:A1559,'Subbu- Mini Project EXcel Clean'!L560:L1559," ",0)</f>
        <v>212</v>
      </c>
      <c r="C560">
        <f>_xlfn.XLOOKUP(A560,'Subbu- Mini Project EXcel Clean'!A560:A1559,'Subbu- Mini Project EXcel Clean'!K560:K1559," ",0)</f>
        <v>88.4</v>
      </c>
    </row>
    <row r="561" spans="1:3" x14ac:dyDescent="0.25">
      <c r="A561" t="s">
        <v>589</v>
      </c>
      <c r="B561">
        <f>_xlfn.XLOOKUP(A561,'Subbu- Mini Project EXcel Clean'!A561:A1560,'Subbu- Mini Project EXcel Clean'!L561:L1560," ",0)</f>
        <v>176</v>
      </c>
      <c r="C561">
        <f>_xlfn.XLOOKUP(A561,'Subbu- Mini Project EXcel Clean'!A561:A1560,'Subbu- Mini Project EXcel Clean'!K561:K1560," ",0)</f>
        <v>73.2</v>
      </c>
    </row>
    <row r="562" spans="1:3" x14ac:dyDescent="0.25">
      <c r="A562" t="s">
        <v>590</v>
      </c>
      <c r="B562">
        <f>_xlfn.XLOOKUP(A562,'Subbu- Mini Project EXcel Clean'!A562:A1561,'Subbu- Mini Project EXcel Clean'!L562:L1561," ",0)</f>
        <v>204</v>
      </c>
      <c r="C562">
        <f>_xlfn.XLOOKUP(A562,'Subbu- Mini Project EXcel Clean'!A562:A1561,'Subbu- Mini Project EXcel Clean'!K562:K1561," ",0)</f>
        <v>85.2</v>
      </c>
    </row>
    <row r="563" spans="1:3" x14ac:dyDescent="0.25">
      <c r="A563" t="s">
        <v>591</v>
      </c>
      <c r="B563">
        <f>_xlfn.XLOOKUP(A563,'Subbu- Mini Project EXcel Clean'!A563:A1562,'Subbu- Mini Project EXcel Clean'!L563:L1562," ",0)</f>
        <v>176</v>
      </c>
      <c r="C563">
        <f>_xlfn.XLOOKUP(A563,'Subbu- Mini Project EXcel Clean'!A563:A1562,'Subbu- Mini Project EXcel Clean'!K563:K1562," ",0)</f>
        <v>73.3</v>
      </c>
    </row>
    <row r="564" spans="1:3" x14ac:dyDescent="0.25">
      <c r="A564" t="s">
        <v>592</v>
      </c>
      <c r="B564">
        <f>_xlfn.XLOOKUP(A564,'Subbu- Mini Project EXcel Clean'!A564:A1563,'Subbu- Mini Project EXcel Clean'!L564:L1563," ",0)</f>
        <v>143</v>
      </c>
      <c r="C564">
        <f>_xlfn.XLOOKUP(A564,'Subbu- Mini Project EXcel Clean'!A564:A1563,'Subbu- Mini Project EXcel Clean'!K564:K1563," ",0)</f>
        <v>59.7</v>
      </c>
    </row>
    <row r="565" spans="1:3" x14ac:dyDescent="0.25">
      <c r="A565" t="s">
        <v>593</v>
      </c>
      <c r="B565">
        <f>_xlfn.XLOOKUP(A565,'Subbu- Mini Project EXcel Clean'!A565:A1564,'Subbu- Mini Project EXcel Clean'!L565:L1564," ",0)</f>
        <v>127</v>
      </c>
      <c r="C565">
        <f>_xlfn.XLOOKUP(A565,'Subbu- Mini Project EXcel Clean'!A565:A1564,'Subbu- Mini Project EXcel Clean'!K565:K1564," ",0)</f>
        <v>53.1</v>
      </c>
    </row>
    <row r="566" spans="1:3" x14ac:dyDescent="0.25">
      <c r="A566" t="s">
        <v>594</v>
      </c>
      <c r="B566">
        <f>_xlfn.XLOOKUP(A566,'Subbu- Mini Project EXcel Clean'!A566:A1565,'Subbu- Mini Project EXcel Clean'!L566:L1565," ",0)</f>
        <v>171</v>
      </c>
      <c r="C566">
        <f>_xlfn.XLOOKUP(A566,'Subbu- Mini Project EXcel Clean'!A566:A1565,'Subbu- Mini Project EXcel Clean'!K566:K1565," ",0)</f>
        <v>71.2</v>
      </c>
    </row>
    <row r="567" spans="1:3" x14ac:dyDescent="0.25">
      <c r="A567" t="s">
        <v>595</v>
      </c>
      <c r="B567">
        <f>_xlfn.XLOOKUP(A567,'Subbu- Mini Project EXcel Clean'!A567:A1566,'Subbu- Mini Project EXcel Clean'!L567:L1566," ",0)</f>
        <v>176</v>
      </c>
      <c r="C567">
        <f>_xlfn.XLOOKUP(A567,'Subbu- Mini Project EXcel Clean'!A567:A1566,'Subbu- Mini Project EXcel Clean'!K567:K1566," ",0)</f>
        <v>73.5</v>
      </c>
    </row>
    <row r="568" spans="1:3" x14ac:dyDescent="0.25">
      <c r="A568" t="s">
        <v>596</v>
      </c>
      <c r="B568">
        <f>_xlfn.XLOOKUP(A568,'Subbu- Mini Project EXcel Clean'!A568:A1567,'Subbu- Mini Project EXcel Clean'!L568:L1567," ",0)</f>
        <v>192</v>
      </c>
      <c r="C568">
        <f>_xlfn.XLOOKUP(A568,'Subbu- Mini Project EXcel Clean'!A568:A1567,'Subbu- Mini Project EXcel Clean'!K568:K1567," ",0)</f>
        <v>80.099999999999994</v>
      </c>
    </row>
    <row r="569" spans="1:3" x14ac:dyDescent="0.25">
      <c r="A569" t="s">
        <v>597</v>
      </c>
      <c r="B569">
        <f>_xlfn.XLOOKUP(A569,'Subbu- Mini Project EXcel Clean'!A569:A1568,'Subbu- Mini Project EXcel Clean'!L569:L1568," ",0)</f>
        <v>173</v>
      </c>
      <c r="C569">
        <f>_xlfn.XLOOKUP(A569,'Subbu- Mini Project EXcel Clean'!A569:A1568,'Subbu- Mini Project EXcel Clean'!K569:K1568," ",0)</f>
        <v>72.2</v>
      </c>
    </row>
    <row r="570" spans="1:3" x14ac:dyDescent="0.25">
      <c r="A570" t="s">
        <v>598</v>
      </c>
      <c r="B570">
        <f>_xlfn.XLOOKUP(A570,'Subbu- Mini Project EXcel Clean'!A570:A1569,'Subbu- Mini Project EXcel Clean'!L570:L1569," ",0)</f>
        <v>194</v>
      </c>
      <c r="C570">
        <f>_xlfn.XLOOKUP(A570,'Subbu- Mini Project EXcel Clean'!A570:A1569,'Subbu- Mini Project EXcel Clean'!K570:K1569," ",0)</f>
        <v>80.900000000000006</v>
      </c>
    </row>
    <row r="571" spans="1:3" x14ac:dyDescent="0.25">
      <c r="A571" t="s">
        <v>599</v>
      </c>
      <c r="B571">
        <f>_xlfn.XLOOKUP(A571,'Subbu- Mini Project EXcel Clean'!A571:A1570,'Subbu- Mini Project EXcel Clean'!L571:L1570," ",0)</f>
        <v>153</v>
      </c>
      <c r="C571">
        <f>_xlfn.XLOOKUP(A571,'Subbu- Mini Project EXcel Clean'!A571:A1570,'Subbu- Mini Project EXcel Clean'!K571:K1570," ",0)</f>
        <v>63.8</v>
      </c>
    </row>
    <row r="572" spans="1:3" x14ac:dyDescent="0.25">
      <c r="A572" t="s">
        <v>600</v>
      </c>
      <c r="B572">
        <f>_xlfn.XLOOKUP(A572,'Subbu- Mini Project EXcel Clean'!A572:A1571,'Subbu- Mini Project EXcel Clean'!L572:L1571," ",0)</f>
        <v>191</v>
      </c>
      <c r="C572">
        <f>_xlfn.XLOOKUP(A572,'Subbu- Mini Project EXcel Clean'!A572:A1571,'Subbu- Mini Project EXcel Clean'!K572:K1571," ",0)</f>
        <v>79.599999999999994</v>
      </c>
    </row>
    <row r="573" spans="1:3" x14ac:dyDescent="0.25">
      <c r="A573" t="s">
        <v>601</v>
      </c>
      <c r="B573">
        <f>_xlfn.XLOOKUP(A573,'Subbu- Mini Project EXcel Clean'!A573:A1572,'Subbu- Mini Project EXcel Clean'!L573:L1572," ",0)</f>
        <v>189</v>
      </c>
      <c r="C573">
        <f>_xlfn.XLOOKUP(A573,'Subbu- Mini Project EXcel Clean'!A573:A1572,'Subbu- Mini Project EXcel Clean'!K573:K1572," ",0)</f>
        <v>78.7</v>
      </c>
    </row>
    <row r="574" spans="1:3" x14ac:dyDescent="0.25">
      <c r="A574" t="s">
        <v>602</v>
      </c>
      <c r="B574">
        <f>_xlfn.XLOOKUP(A574,'Subbu- Mini Project EXcel Clean'!A574:A1573,'Subbu- Mini Project EXcel Clean'!L574:L1573," ",0)</f>
        <v>171</v>
      </c>
      <c r="C574">
        <f>_xlfn.XLOOKUP(A574,'Subbu- Mini Project EXcel Clean'!A574:A1573,'Subbu- Mini Project EXcel Clean'!K574:K1573," ",0)</f>
        <v>71.099999999999994</v>
      </c>
    </row>
    <row r="575" spans="1:3" x14ac:dyDescent="0.25">
      <c r="A575" t="s">
        <v>603</v>
      </c>
      <c r="B575">
        <f>_xlfn.XLOOKUP(A575,'Subbu- Mini Project EXcel Clean'!A575:A1574,'Subbu- Mini Project EXcel Clean'!L575:L1574," ",0)</f>
        <v>197</v>
      </c>
      <c r="C575">
        <f>_xlfn.XLOOKUP(A575,'Subbu- Mini Project EXcel Clean'!A575:A1574,'Subbu- Mini Project EXcel Clean'!K575:K1574," ",0)</f>
        <v>81.900000000000006</v>
      </c>
    </row>
    <row r="576" spans="1:3" x14ac:dyDescent="0.25">
      <c r="A576" t="s">
        <v>604</v>
      </c>
      <c r="B576">
        <f>_xlfn.XLOOKUP(A576,'Subbu- Mini Project EXcel Clean'!A576:A1575,'Subbu- Mini Project EXcel Clean'!L576:L1575," ",0)</f>
        <v>195</v>
      </c>
      <c r="C576">
        <f>_xlfn.XLOOKUP(A576,'Subbu- Mini Project EXcel Clean'!A576:A1575,'Subbu- Mini Project EXcel Clean'!K576:K1575," ",0)</f>
        <v>81.3</v>
      </c>
    </row>
    <row r="577" spans="1:3" x14ac:dyDescent="0.25">
      <c r="A577" t="s">
        <v>605</v>
      </c>
      <c r="B577">
        <f>_xlfn.XLOOKUP(A577,'Subbu- Mini Project EXcel Clean'!A577:A1576,'Subbu- Mini Project EXcel Clean'!L577:L1576," ",0)</f>
        <v>206</v>
      </c>
      <c r="C577">
        <f>_xlfn.XLOOKUP(A577,'Subbu- Mini Project EXcel Clean'!A577:A1576,'Subbu- Mini Project EXcel Clean'!K577:K1576," ",0)</f>
        <v>85.9</v>
      </c>
    </row>
    <row r="578" spans="1:3" x14ac:dyDescent="0.25">
      <c r="A578" t="s">
        <v>606</v>
      </c>
      <c r="B578">
        <f>_xlfn.XLOOKUP(A578,'Subbu- Mini Project EXcel Clean'!A578:A1577,'Subbu- Mini Project EXcel Clean'!L578:L1577," ",0)</f>
        <v>154</v>
      </c>
      <c r="C578">
        <f>_xlfn.XLOOKUP(A578,'Subbu- Mini Project EXcel Clean'!A578:A1577,'Subbu- Mini Project EXcel Clean'!K578:K1577," ",0)</f>
        <v>64</v>
      </c>
    </row>
    <row r="579" spans="1:3" x14ac:dyDescent="0.25">
      <c r="A579" t="s">
        <v>607</v>
      </c>
      <c r="B579">
        <f>_xlfn.XLOOKUP(A579,'Subbu- Mini Project EXcel Clean'!A579:A1578,'Subbu- Mini Project EXcel Clean'!L579:L1578," ",0)</f>
        <v>213</v>
      </c>
      <c r="C579">
        <f>_xlfn.XLOOKUP(A579,'Subbu- Mini Project EXcel Clean'!A579:A1578,'Subbu- Mini Project EXcel Clean'!K579:K1578," ",0)</f>
        <v>88.9</v>
      </c>
    </row>
    <row r="580" spans="1:3" x14ac:dyDescent="0.25">
      <c r="A580" t="s">
        <v>608</v>
      </c>
      <c r="B580">
        <f>_xlfn.XLOOKUP(A580,'Subbu- Mini Project EXcel Clean'!A580:A1579,'Subbu- Mini Project EXcel Clean'!L580:L1579," ",0)</f>
        <v>184</v>
      </c>
      <c r="C580">
        <f>_xlfn.XLOOKUP(A580,'Subbu- Mini Project EXcel Clean'!A580:A1579,'Subbu- Mini Project EXcel Clean'!K580:K1579," ",0)</f>
        <v>76.5</v>
      </c>
    </row>
    <row r="581" spans="1:3" x14ac:dyDescent="0.25">
      <c r="A581" t="s">
        <v>609</v>
      </c>
      <c r="B581">
        <f>_xlfn.XLOOKUP(A581,'Subbu- Mini Project EXcel Clean'!A581:A1580,'Subbu- Mini Project EXcel Clean'!L581:L1580," ",0)</f>
        <v>158</v>
      </c>
      <c r="C581">
        <f>_xlfn.XLOOKUP(A581,'Subbu- Mini Project EXcel Clean'!A581:A1580,'Subbu- Mini Project EXcel Clean'!K581:K1580," ",0)</f>
        <v>66</v>
      </c>
    </row>
    <row r="582" spans="1:3" x14ac:dyDescent="0.25">
      <c r="A582" t="s">
        <v>610</v>
      </c>
      <c r="B582">
        <f>_xlfn.XLOOKUP(A582,'Subbu- Mini Project EXcel Clean'!A582:A1581,'Subbu- Mini Project EXcel Clean'!L582:L1581," ",0)</f>
        <v>175</v>
      </c>
      <c r="C582">
        <f>_xlfn.XLOOKUP(A582,'Subbu- Mini Project EXcel Clean'!A582:A1581,'Subbu- Mini Project EXcel Clean'!K582:K1581," ",0)</f>
        <v>72.900000000000006</v>
      </c>
    </row>
    <row r="583" spans="1:3" x14ac:dyDescent="0.25">
      <c r="A583" t="s">
        <v>611</v>
      </c>
      <c r="B583">
        <f>_xlfn.XLOOKUP(A583,'Subbu- Mini Project EXcel Clean'!A583:A1582,'Subbu- Mini Project EXcel Clean'!L583:L1582," ",0)</f>
        <v>204</v>
      </c>
      <c r="C583">
        <f>_xlfn.XLOOKUP(A583,'Subbu- Mini Project EXcel Clean'!A583:A1582,'Subbu- Mini Project EXcel Clean'!K583:K1582," ",0)</f>
        <v>85.1</v>
      </c>
    </row>
    <row r="584" spans="1:3" x14ac:dyDescent="0.25">
      <c r="A584" t="s">
        <v>612</v>
      </c>
      <c r="B584">
        <f>_xlfn.XLOOKUP(A584,'Subbu- Mini Project EXcel Clean'!A584:A1583,'Subbu- Mini Project EXcel Clean'!L584:L1583," ",0)</f>
        <v>159</v>
      </c>
      <c r="C584">
        <f>_xlfn.XLOOKUP(A584,'Subbu- Mini Project EXcel Clean'!A584:A1583,'Subbu- Mini Project EXcel Clean'!K584:K1583," ",0)</f>
        <v>66.2</v>
      </c>
    </row>
    <row r="585" spans="1:3" x14ac:dyDescent="0.25">
      <c r="A585" t="s">
        <v>613</v>
      </c>
      <c r="B585">
        <f>_xlfn.XLOOKUP(A585,'Subbu- Mini Project EXcel Clean'!A585:A1584,'Subbu- Mini Project EXcel Clean'!L585:L1584," ",0)</f>
        <v>169</v>
      </c>
      <c r="C585">
        <f>_xlfn.XLOOKUP(A585,'Subbu- Mini Project EXcel Clean'!A585:A1584,'Subbu- Mini Project EXcel Clean'!K585:K1584," ",0)</f>
        <v>70.3</v>
      </c>
    </row>
    <row r="586" spans="1:3" x14ac:dyDescent="0.25">
      <c r="A586" t="s">
        <v>614</v>
      </c>
      <c r="B586">
        <f>_xlfn.XLOOKUP(A586,'Subbu- Mini Project EXcel Clean'!A586:A1585,'Subbu- Mini Project EXcel Clean'!L586:L1585," ",0)</f>
        <v>209</v>
      </c>
      <c r="C586">
        <f>_xlfn.XLOOKUP(A586,'Subbu- Mini Project EXcel Clean'!A586:A1585,'Subbu- Mini Project EXcel Clean'!K586:K1585," ",0)</f>
        <v>86.9</v>
      </c>
    </row>
    <row r="587" spans="1:3" x14ac:dyDescent="0.25">
      <c r="A587" t="s">
        <v>615</v>
      </c>
      <c r="B587">
        <f>_xlfn.XLOOKUP(A587,'Subbu- Mini Project EXcel Clean'!A587:A1586,'Subbu- Mini Project EXcel Clean'!L587:L1586," ",0)</f>
        <v>149</v>
      </c>
      <c r="C587">
        <f>_xlfn.XLOOKUP(A587,'Subbu- Mini Project EXcel Clean'!A587:A1586,'Subbu- Mini Project EXcel Clean'!K587:K1586," ",0)</f>
        <v>62.2</v>
      </c>
    </row>
    <row r="588" spans="1:3" x14ac:dyDescent="0.25">
      <c r="A588" t="s">
        <v>616</v>
      </c>
      <c r="B588">
        <f>_xlfn.XLOOKUP(A588,'Subbu- Mini Project EXcel Clean'!A588:A1587,'Subbu- Mini Project EXcel Clean'!L588:L1587," ",0)</f>
        <v>140</v>
      </c>
      <c r="C588">
        <f>_xlfn.XLOOKUP(A588,'Subbu- Mini Project EXcel Clean'!A588:A1587,'Subbu- Mini Project EXcel Clean'!K588:K1587," ",0)</f>
        <v>58.2</v>
      </c>
    </row>
    <row r="589" spans="1:3" x14ac:dyDescent="0.25">
      <c r="A589" t="s">
        <v>617</v>
      </c>
      <c r="B589">
        <f>_xlfn.XLOOKUP(A589,'Subbu- Mini Project EXcel Clean'!A589:A1588,'Subbu- Mini Project EXcel Clean'!L589:L1588," ",0)</f>
        <v>142</v>
      </c>
      <c r="C589">
        <f>_xlfn.XLOOKUP(A589,'Subbu- Mini Project EXcel Clean'!A589:A1588,'Subbu- Mini Project EXcel Clean'!K589:K1588," ",0)</f>
        <v>59.2</v>
      </c>
    </row>
    <row r="590" spans="1:3" x14ac:dyDescent="0.25">
      <c r="A590" t="s">
        <v>618</v>
      </c>
      <c r="B590">
        <f>_xlfn.XLOOKUP(A590,'Subbu- Mini Project EXcel Clean'!A590:A1589,'Subbu- Mini Project EXcel Clean'!L590:L1589," ",0)</f>
        <v>161</v>
      </c>
      <c r="C590">
        <f>_xlfn.XLOOKUP(A590,'Subbu- Mini Project EXcel Clean'!A590:A1589,'Subbu- Mini Project EXcel Clean'!K590:K1589," ",0)</f>
        <v>67.099999999999994</v>
      </c>
    </row>
    <row r="591" spans="1:3" x14ac:dyDescent="0.25">
      <c r="A591" t="s">
        <v>619</v>
      </c>
      <c r="B591">
        <f>_xlfn.XLOOKUP(A591,'Subbu- Mini Project EXcel Clean'!A591:A1590,'Subbu- Mini Project EXcel Clean'!L591:L1590," ",0)</f>
        <v>159</v>
      </c>
      <c r="C591">
        <f>_xlfn.XLOOKUP(A591,'Subbu- Mini Project EXcel Clean'!A591:A1590,'Subbu- Mini Project EXcel Clean'!K591:K1590," ",0)</f>
        <v>66.400000000000006</v>
      </c>
    </row>
    <row r="592" spans="1:3" x14ac:dyDescent="0.25">
      <c r="A592" t="s">
        <v>620</v>
      </c>
      <c r="B592">
        <f>_xlfn.XLOOKUP(A592,'Subbu- Mini Project EXcel Clean'!A592:A1591,'Subbu- Mini Project EXcel Clean'!L592:L1591," ",0)</f>
        <v>151</v>
      </c>
      <c r="C592">
        <f>_xlfn.XLOOKUP(A592,'Subbu- Mini Project EXcel Clean'!A592:A1591,'Subbu- Mini Project EXcel Clean'!K592:K1591," ",0)</f>
        <v>63</v>
      </c>
    </row>
    <row r="593" spans="1:3" x14ac:dyDescent="0.25">
      <c r="A593" t="s">
        <v>621</v>
      </c>
      <c r="B593">
        <f>_xlfn.XLOOKUP(A593,'Subbu- Mini Project EXcel Clean'!A593:A1592,'Subbu- Mini Project EXcel Clean'!L593:L1592," ",0)</f>
        <v>175</v>
      </c>
      <c r="C593">
        <f>_xlfn.XLOOKUP(A593,'Subbu- Mini Project EXcel Clean'!A593:A1592,'Subbu- Mini Project EXcel Clean'!K593:K1592," ",0)</f>
        <v>73</v>
      </c>
    </row>
    <row r="594" spans="1:3" x14ac:dyDescent="0.25">
      <c r="A594" t="s">
        <v>622</v>
      </c>
      <c r="B594">
        <f>_xlfn.XLOOKUP(A594,'Subbu- Mini Project EXcel Clean'!A594:A1593,'Subbu- Mini Project EXcel Clean'!L594:L1593," ",0)</f>
        <v>157</v>
      </c>
      <c r="C594">
        <f>_xlfn.XLOOKUP(A594,'Subbu- Mini Project EXcel Clean'!A594:A1593,'Subbu- Mini Project EXcel Clean'!K594:K1593," ",0)</f>
        <v>65.5</v>
      </c>
    </row>
    <row r="595" spans="1:3" x14ac:dyDescent="0.25">
      <c r="A595" t="s">
        <v>623</v>
      </c>
      <c r="B595">
        <f>_xlfn.XLOOKUP(A595,'Subbu- Mini Project EXcel Clean'!A595:A1594,'Subbu- Mini Project EXcel Clean'!L595:L1594," ",0)</f>
        <v>148</v>
      </c>
      <c r="C595">
        <f>_xlfn.XLOOKUP(A595,'Subbu- Mini Project EXcel Clean'!A595:A1594,'Subbu- Mini Project EXcel Clean'!K595:K1594," ",0)</f>
        <v>61.7</v>
      </c>
    </row>
    <row r="596" spans="1:3" x14ac:dyDescent="0.25">
      <c r="A596" t="s">
        <v>624</v>
      </c>
      <c r="B596">
        <f>_xlfn.XLOOKUP(A596,'Subbu- Mini Project EXcel Clean'!A596:A1595,'Subbu- Mini Project EXcel Clean'!L596:L1595," ",0)</f>
        <v>205</v>
      </c>
      <c r="C596">
        <f>_xlfn.XLOOKUP(A596,'Subbu- Mini Project EXcel Clean'!A596:A1595,'Subbu- Mini Project EXcel Clean'!K596:K1595," ",0)</f>
        <v>85.4</v>
      </c>
    </row>
    <row r="597" spans="1:3" x14ac:dyDescent="0.25">
      <c r="A597" t="s">
        <v>625</v>
      </c>
      <c r="B597">
        <f>_xlfn.XLOOKUP(A597,'Subbu- Mini Project EXcel Clean'!A597:A1596,'Subbu- Mini Project EXcel Clean'!L597:L1596," ",0)</f>
        <v>186</v>
      </c>
      <c r="C597">
        <f>_xlfn.XLOOKUP(A597,'Subbu- Mini Project EXcel Clean'!A597:A1596,'Subbu- Mini Project EXcel Clean'!K597:K1596," ",0)</f>
        <v>77.400000000000006</v>
      </c>
    </row>
    <row r="598" spans="1:3" x14ac:dyDescent="0.25">
      <c r="A598" t="s">
        <v>626</v>
      </c>
      <c r="B598">
        <f>_xlfn.XLOOKUP(A598,'Subbu- Mini Project EXcel Clean'!A598:A1597,'Subbu- Mini Project EXcel Clean'!L598:L1597," ",0)</f>
        <v>173</v>
      </c>
      <c r="C598">
        <f>_xlfn.XLOOKUP(A598,'Subbu- Mini Project EXcel Clean'!A598:A1597,'Subbu- Mini Project EXcel Clean'!K598:K1597," ",0)</f>
        <v>72.099999999999994</v>
      </c>
    </row>
    <row r="599" spans="1:3" x14ac:dyDescent="0.25">
      <c r="A599" t="s">
        <v>627</v>
      </c>
      <c r="B599">
        <f>_xlfn.XLOOKUP(A599,'Subbu- Mini Project EXcel Clean'!A599:A1598,'Subbu- Mini Project EXcel Clean'!L599:L1598," ",0)</f>
        <v>137</v>
      </c>
      <c r="C599">
        <f>_xlfn.XLOOKUP(A599,'Subbu- Mini Project EXcel Clean'!A599:A1598,'Subbu- Mini Project EXcel Clean'!K599:K1598," ",0)</f>
        <v>57.1</v>
      </c>
    </row>
    <row r="600" spans="1:3" x14ac:dyDescent="0.25">
      <c r="A600" t="s">
        <v>628</v>
      </c>
      <c r="B600">
        <f>_xlfn.XLOOKUP(A600,'Subbu- Mini Project EXcel Clean'!A600:A1599,'Subbu- Mini Project EXcel Clean'!L600:L1599," ",0)</f>
        <v>176</v>
      </c>
      <c r="C600">
        <f>_xlfn.XLOOKUP(A600,'Subbu- Mini Project EXcel Clean'!A600:A1599,'Subbu- Mini Project EXcel Clean'!K600:K1599," ",0)</f>
        <v>73.2</v>
      </c>
    </row>
    <row r="601" spans="1:3" x14ac:dyDescent="0.25">
      <c r="A601" t="s">
        <v>629</v>
      </c>
      <c r="B601">
        <f>_xlfn.XLOOKUP(A601,'Subbu- Mini Project EXcel Clean'!A601:A1600,'Subbu- Mini Project EXcel Clean'!L601:L1600," ",0)</f>
        <v>139</v>
      </c>
      <c r="C601">
        <f>_xlfn.XLOOKUP(A601,'Subbu- Mini Project EXcel Clean'!A601:A1600,'Subbu- Mini Project EXcel Clean'!K601:K1600," ",0)</f>
        <v>58.1</v>
      </c>
    </row>
    <row r="602" spans="1:3" x14ac:dyDescent="0.25">
      <c r="A602" t="s">
        <v>630</v>
      </c>
      <c r="B602">
        <f>_xlfn.XLOOKUP(A602,'Subbu- Mini Project EXcel Clean'!A602:A1601,'Subbu- Mini Project EXcel Clean'!L602:L1601," ",0)</f>
        <v>169</v>
      </c>
      <c r="C602">
        <f>_xlfn.XLOOKUP(A602,'Subbu- Mini Project EXcel Clean'!A602:A1601,'Subbu- Mini Project EXcel Clean'!K602:K1601," ",0)</f>
        <v>70.3</v>
      </c>
    </row>
    <row r="603" spans="1:3" x14ac:dyDescent="0.25">
      <c r="A603" t="s">
        <v>631</v>
      </c>
      <c r="B603">
        <f>_xlfn.XLOOKUP(A603,'Subbu- Mini Project EXcel Clean'!A603:A1602,'Subbu- Mini Project EXcel Clean'!L603:L1602," ",0)</f>
        <v>161</v>
      </c>
      <c r="C603">
        <f>_xlfn.XLOOKUP(A603,'Subbu- Mini Project EXcel Clean'!A603:A1602,'Subbu- Mini Project EXcel Clean'!K603:K1602," ",0)</f>
        <v>66.900000000000006</v>
      </c>
    </row>
    <row r="604" spans="1:3" x14ac:dyDescent="0.25">
      <c r="A604" t="s">
        <v>632</v>
      </c>
      <c r="B604">
        <f>_xlfn.XLOOKUP(A604,'Subbu- Mini Project EXcel Clean'!A604:A1603,'Subbu- Mini Project EXcel Clean'!L604:L1603," ",0)</f>
        <v>154</v>
      </c>
      <c r="C604">
        <f>_xlfn.XLOOKUP(A604,'Subbu- Mini Project EXcel Clean'!A604:A1603,'Subbu- Mini Project EXcel Clean'!K604:K1603," ",0)</f>
        <v>64.099999999999994</v>
      </c>
    </row>
    <row r="605" spans="1:3" x14ac:dyDescent="0.25">
      <c r="A605" t="s">
        <v>633</v>
      </c>
      <c r="B605">
        <f>_xlfn.XLOOKUP(A605,'Subbu- Mini Project EXcel Clean'!A605:A1604,'Subbu- Mini Project EXcel Clean'!L605:L1604," ",0)</f>
        <v>155</v>
      </c>
      <c r="C605">
        <f>_xlfn.XLOOKUP(A605,'Subbu- Mini Project EXcel Clean'!A605:A1604,'Subbu- Mini Project EXcel Clean'!K605:K1604," ",0)</f>
        <v>64.599999999999994</v>
      </c>
    </row>
    <row r="606" spans="1:3" x14ac:dyDescent="0.25">
      <c r="A606" t="s">
        <v>634</v>
      </c>
      <c r="B606">
        <f>_xlfn.XLOOKUP(A606,'Subbu- Mini Project EXcel Clean'!A606:A1605,'Subbu- Mini Project EXcel Clean'!L606:L1605," ",0)</f>
        <v>141</v>
      </c>
      <c r="C606">
        <f>_xlfn.XLOOKUP(A606,'Subbu- Mini Project EXcel Clean'!A606:A1605,'Subbu- Mini Project EXcel Clean'!K606:K1605," ",0)</f>
        <v>58.9</v>
      </c>
    </row>
    <row r="607" spans="1:3" x14ac:dyDescent="0.25">
      <c r="A607" t="s">
        <v>635</v>
      </c>
      <c r="B607">
        <f>_xlfn.XLOOKUP(A607,'Subbu- Mini Project EXcel Clean'!A607:A1606,'Subbu- Mini Project EXcel Clean'!L607:L1606," ",0)</f>
        <v>176</v>
      </c>
      <c r="C607">
        <f>_xlfn.XLOOKUP(A607,'Subbu- Mini Project EXcel Clean'!A607:A1606,'Subbu- Mini Project EXcel Clean'!K607:K1606," ",0)</f>
        <v>73.3</v>
      </c>
    </row>
    <row r="608" spans="1:3" x14ac:dyDescent="0.25">
      <c r="A608" t="s">
        <v>636</v>
      </c>
      <c r="B608">
        <f>_xlfn.XLOOKUP(A608,'Subbu- Mini Project EXcel Clean'!A608:A1607,'Subbu- Mini Project EXcel Clean'!L608:L1607," ",0)</f>
        <v>153</v>
      </c>
      <c r="C608">
        <f>_xlfn.XLOOKUP(A608,'Subbu- Mini Project EXcel Clean'!A608:A1607,'Subbu- Mini Project EXcel Clean'!K608:K1607," ",0)</f>
        <v>63.8</v>
      </c>
    </row>
    <row r="609" spans="1:3" x14ac:dyDescent="0.25">
      <c r="A609" t="s">
        <v>637</v>
      </c>
      <c r="B609">
        <f>_xlfn.XLOOKUP(A609,'Subbu- Mini Project EXcel Clean'!A609:A1608,'Subbu- Mini Project EXcel Clean'!L609:L1608," ",0)</f>
        <v>152</v>
      </c>
      <c r="C609">
        <f>_xlfn.XLOOKUP(A609,'Subbu- Mini Project EXcel Clean'!A609:A1608,'Subbu- Mini Project EXcel Clean'!K609:K1608," ",0)</f>
        <v>63.4</v>
      </c>
    </row>
    <row r="610" spans="1:3" x14ac:dyDescent="0.25">
      <c r="A610" t="s">
        <v>638</v>
      </c>
      <c r="B610">
        <f>_xlfn.XLOOKUP(A610,'Subbu- Mini Project EXcel Clean'!A610:A1609,'Subbu- Mini Project EXcel Clean'!L610:L1609," ",0)</f>
        <v>181</v>
      </c>
      <c r="C610">
        <f>_xlfn.XLOOKUP(A610,'Subbu- Mini Project EXcel Clean'!A610:A1609,'Subbu- Mini Project EXcel Clean'!K610:K1609," ",0)</f>
        <v>75.5</v>
      </c>
    </row>
    <row r="611" spans="1:3" x14ac:dyDescent="0.25">
      <c r="A611" t="s">
        <v>639</v>
      </c>
      <c r="B611">
        <f>_xlfn.XLOOKUP(A611,'Subbu- Mini Project EXcel Clean'!A611:A1610,'Subbu- Mini Project EXcel Clean'!L611:L1610," ",0)</f>
        <v>186</v>
      </c>
      <c r="C611">
        <f>_xlfn.XLOOKUP(A611,'Subbu- Mini Project EXcel Clean'!A611:A1610,'Subbu- Mini Project EXcel Clean'!K611:K1610," ",0)</f>
        <v>77.7</v>
      </c>
    </row>
    <row r="612" spans="1:3" x14ac:dyDescent="0.25">
      <c r="A612" t="s">
        <v>640</v>
      </c>
      <c r="B612">
        <f>_xlfn.XLOOKUP(A612,'Subbu- Mini Project EXcel Clean'!A612:A1611,'Subbu- Mini Project EXcel Clean'!L612:L1611," ",0)</f>
        <v>145</v>
      </c>
      <c r="C612">
        <f>_xlfn.XLOOKUP(A612,'Subbu- Mini Project EXcel Clean'!A612:A1611,'Subbu- Mini Project EXcel Clean'!K612:K1611," ",0)</f>
        <v>60.3</v>
      </c>
    </row>
    <row r="613" spans="1:3" x14ac:dyDescent="0.25">
      <c r="A613" t="s">
        <v>641</v>
      </c>
      <c r="B613">
        <f>_xlfn.XLOOKUP(A613,'Subbu- Mini Project EXcel Clean'!A613:A1612,'Subbu- Mini Project EXcel Clean'!L613:L1612," ",0)</f>
        <v>182</v>
      </c>
      <c r="C613">
        <f>_xlfn.XLOOKUP(A613,'Subbu- Mini Project EXcel Clean'!A613:A1612,'Subbu- Mini Project EXcel Clean'!K613:K1612," ",0)</f>
        <v>75.900000000000006</v>
      </c>
    </row>
    <row r="614" spans="1:3" x14ac:dyDescent="0.25">
      <c r="A614" t="s">
        <v>642</v>
      </c>
      <c r="B614">
        <f>_xlfn.XLOOKUP(A614,'Subbu- Mini Project EXcel Clean'!A614:A1613,'Subbu- Mini Project EXcel Clean'!L614:L1613," ",0)</f>
        <v>204</v>
      </c>
      <c r="C614">
        <f>_xlfn.XLOOKUP(A614,'Subbu- Mini Project EXcel Clean'!A614:A1613,'Subbu- Mini Project EXcel Clean'!K614:K1613," ",0)</f>
        <v>85.2</v>
      </c>
    </row>
    <row r="615" spans="1:3" x14ac:dyDescent="0.25">
      <c r="A615" t="s">
        <v>643</v>
      </c>
      <c r="B615">
        <f>_xlfn.XLOOKUP(A615,'Subbu- Mini Project EXcel Clean'!A615:A1614,'Subbu- Mini Project EXcel Clean'!L615:L1614," ",0)</f>
        <v>160</v>
      </c>
      <c r="C615">
        <f>_xlfn.XLOOKUP(A615,'Subbu- Mini Project EXcel Clean'!A615:A1614,'Subbu- Mini Project EXcel Clean'!K615:K1614," ",0)</f>
        <v>66.599999999999994</v>
      </c>
    </row>
    <row r="616" spans="1:3" x14ac:dyDescent="0.25">
      <c r="A616" t="s">
        <v>644</v>
      </c>
      <c r="B616">
        <f>_xlfn.XLOOKUP(A616,'Subbu- Mini Project EXcel Clean'!A616:A1615,'Subbu- Mini Project EXcel Clean'!L616:L1615," ",0)</f>
        <v>213</v>
      </c>
      <c r="C616">
        <f>_xlfn.XLOOKUP(A616,'Subbu- Mini Project EXcel Clean'!A616:A1615,'Subbu- Mini Project EXcel Clean'!K616:K1615," ",0)</f>
        <v>88.8</v>
      </c>
    </row>
    <row r="617" spans="1:3" x14ac:dyDescent="0.25">
      <c r="A617" t="s">
        <v>645</v>
      </c>
      <c r="B617">
        <f>_xlfn.XLOOKUP(A617,'Subbu- Mini Project EXcel Clean'!A617:A1616,'Subbu- Mini Project EXcel Clean'!L617:L1616," ",0)</f>
        <v>201</v>
      </c>
      <c r="C617">
        <f>_xlfn.XLOOKUP(A617,'Subbu- Mini Project EXcel Clean'!A617:A1616,'Subbu- Mini Project EXcel Clean'!K617:K1616," ",0)</f>
        <v>83.8</v>
      </c>
    </row>
    <row r="618" spans="1:3" x14ac:dyDescent="0.25">
      <c r="A618" t="s">
        <v>646</v>
      </c>
      <c r="B618">
        <f>_xlfn.XLOOKUP(A618,'Subbu- Mini Project EXcel Clean'!A618:A1617,'Subbu- Mini Project EXcel Clean'!L618:L1617," ",0)</f>
        <v>127</v>
      </c>
      <c r="C618">
        <f>_xlfn.XLOOKUP(A618,'Subbu- Mini Project EXcel Clean'!A618:A1617,'Subbu- Mini Project EXcel Clean'!K618:K1617," ",0)</f>
        <v>53</v>
      </c>
    </row>
    <row r="619" spans="1:3" x14ac:dyDescent="0.25">
      <c r="A619" t="s">
        <v>647</v>
      </c>
      <c r="B619">
        <f>_xlfn.XLOOKUP(A619,'Subbu- Mini Project EXcel Clean'!A619:A1618,'Subbu- Mini Project EXcel Clean'!L619:L1618," ",0)</f>
        <v>186</v>
      </c>
      <c r="C619">
        <f>_xlfn.XLOOKUP(A619,'Subbu- Mini Project EXcel Clean'!A619:A1618,'Subbu- Mini Project EXcel Clean'!K619:K1618," ",0)</f>
        <v>77.400000000000006</v>
      </c>
    </row>
    <row r="620" spans="1:3" x14ac:dyDescent="0.25">
      <c r="A620" t="s">
        <v>648</v>
      </c>
      <c r="B620">
        <f>_xlfn.XLOOKUP(A620,'Subbu- Mini Project EXcel Clean'!A620:A1619,'Subbu- Mini Project EXcel Clean'!L620:L1619," ",0)</f>
        <v>197</v>
      </c>
      <c r="C620">
        <f>_xlfn.XLOOKUP(A620,'Subbu- Mini Project EXcel Clean'!A620:A1619,'Subbu- Mini Project EXcel Clean'!K620:K1619," ",0)</f>
        <v>81.900000000000006</v>
      </c>
    </row>
    <row r="621" spans="1:3" x14ac:dyDescent="0.25">
      <c r="A621" t="s">
        <v>649</v>
      </c>
      <c r="B621">
        <f>_xlfn.XLOOKUP(A621,'Subbu- Mini Project EXcel Clean'!A621:A1620,'Subbu- Mini Project EXcel Clean'!L621:L1620," ",0)</f>
        <v>184</v>
      </c>
      <c r="C621">
        <f>_xlfn.XLOOKUP(A621,'Subbu- Mini Project EXcel Clean'!A621:A1620,'Subbu- Mini Project EXcel Clean'!K621:K1620," ",0)</f>
        <v>76.8</v>
      </c>
    </row>
    <row r="622" spans="1:3" x14ac:dyDescent="0.25">
      <c r="A622" t="s">
        <v>650</v>
      </c>
      <c r="B622">
        <f>_xlfn.XLOOKUP(A622,'Subbu- Mini Project EXcel Clean'!A622:A1621,'Subbu- Mini Project EXcel Clean'!L622:L1621," ",0)</f>
        <v>161</v>
      </c>
      <c r="C622">
        <f>_xlfn.XLOOKUP(A622,'Subbu- Mini Project EXcel Clean'!A622:A1621,'Subbu- Mini Project EXcel Clean'!K622:K1621," ",0)</f>
        <v>67.2</v>
      </c>
    </row>
    <row r="623" spans="1:3" x14ac:dyDescent="0.25">
      <c r="A623" t="s">
        <v>651</v>
      </c>
      <c r="B623">
        <f>_xlfn.XLOOKUP(A623,'Subbu- Mini Project EXcel Clean'!A623:A1622,'Subbu- Mini Project EXcel Clean'!L623:L1622," ",0)</f>
        <v>172</v>
      </c>
      <c r="C623">
        <f>_xlfn.XLOOKUP(A623,'Subbu- Mini Project EXcel Clean'!A623:A1622,'Subbu- Mini Project EXcel Clean'!K623:K1622," ",0)</f>
        <v>71.599999999999994</v>
      </c>
    </row>
    <row r="624" spans="1:3" x14ac:dyDescent="0.25">
      <c r="A624" t="s">
        <v>652</v>
      </c>
      <c r="B624">
        <f>_xlfn.XLOOKUP(A624,'Subbu- Mini Project EXcel Clean'!A624:A1623,'Subbu- Mini Project EXcel Clean'!L624:L1623," ",0)</f>
        <v>168</v>
      </c>
      <c r="C624">
        <f>_xlfn.XLOOKUP(A624,'Subbu- Mini Project EXcel Clean'!A624:A1623,'Subbu- Mini Project EXcel Clean'!K624:K1623," ",0)</f>
        <v>70.099999999999994</v>
      </c>
    </row>
    <row r="625" spans="1:3" x14ac:dyDescent="0.25">
      <c r="A625" t="s">
        <v>653</v>
      </c>
      <c r="B625">
        <f>_xlfn.XLOOKUP(A625,'Subbu- Mini Project EXcel Clean'!A625:A1624,'Subbu- Mini Project EXcel Clean'!L625:L1624," ",0)</f>
        <v>191</v>
      </c>
      <c r="C625">
        <f>_xlfn.XLOOKUP(A625,'Subbu- Mini Project EXcel Clean'!A625:A1624,'Subbu- Mini Project EXcel Clean'!K625:K1624," ",0)</f>
        <v>79.7</v>
      </c>
    </row>
    <row r="626" spans="1:3" x14ac:dyDescent="0.25">
      <c r="A626" t="s">
        <v>654</v>
      </c>
      <c r="B626">
        <f>_xlfn.XLOOKUP(A626,'Subbu- Mini Project EXcel Clean'!A626:A1625,'Subbu- Mini Project EXcel Clean'!L626:L1625," ",0)</f>
        <v>198</v>
      </c>
      <c r="C626">
        <f>_xlfn.XLOOKUP(A626,'Subbu- Mini Project EXcel Clean'!A626:A1625,'Subbu- Mini Project EXcel Clean'!K626:K1625," ",0)</f>
        <v>82.4</v>
      </c>
    </row>
    <row r="627" spans="1:3" x14ac:dyDescent="0.25">
      <c r="A627" t="s">
        <v>655</v>
      </c>
      <c r="B627">
        <f>_xlfn.XLOOKUP(A627,'Subbu- Mini Project EXcel Clean'!A627:A1626,'Subbu- Mini Project EXcel Clean'!L627:L1626," ",0)</f>
        <v>156</v>
      </c>
      <c r="C627">
        <f>_xlfn.XLOOKUP(A627,'Subbu- Mini Project EXcel Clean'!A627:A1626,'Subbu- Mini Project EXcel Clean'!K627:K1626," ",0)</f>
        <v>64.8</v>
      </c>
    </row>
    <row r="628" spans="1:3" x14ac:dyDescent="0.25">
      <c r="A628" t="s">
        <v>656</v>
      </c>
      <c r="B628">
        <f>_xlfn.XLOOKUP(A628,'Subbu- Mini Project EXcel Clean'!A628:A1627,'Subbu- Mini Project EXcel Clean'!L628:L1627," ",0)</f>
        <v>167</v>
      </c>
      <c r="C628">
        <f>_xlfn.XLOOKUP(A628,'Subbu- Mini Project EXcel Clean'!A628:A1627,'Subbu- Mini Project EXcel Clean'!K628:K1627," ",0)</f>
        <v>69.400000000000006</v>
      </c>
    </row>
    <row r="629" spans="1:3" x14ac:dyDescent="0.25">
      <c r="A629" t="s">
        <v>657</v>
      </c>
      <c r="B629">
        <f>_xlfn.XLOOKUP(A629,'Subbu- Mini Project EXcel Clean'!A629:A1628,'Subbu- Mini Project EXcel Clean'!L629:L1628," ",0)</f>
        <v>205</v>
      </c>
      <c r="C629">
        <f>_xlfn.XLOOKUP(A629,'Subbu- Mini Project EXcel Clean'!A629:A1628,'Subbu- Mini Project EXcel Clean'!K629:K1628," ",0)</f>
        <v>85.3</v>
      </c>
    </row>
    <row r="630" spans="1:3" x14ac:dyDescent="0.25">
      <c r="A630" t="s">
        <v>658</v>
      </c>
      <c r="B630">
        <f>_xlfn.XLOOKUP(A630,'Subbu- Mini Project EXcel Clean'!A630:A1629,'Subbu- Mini Project EXcel Clean'!L630:L1629," ",0)</f>
        <v>114</v>
      </c>
      <c r="C630">
        <f>_xlfn.XLOOKUP(A630,'Subbu- Mini Project EXcel Clean'!A630:A1629,'Subbu- Mini Project EXcel Clean'!K630:K1629," ",0)</f>
        <v>47.4</v>
      </c>
    </row>
    <row r="631" spans="1:3" x14ac:dyDescent="0.25">
      <c r="A631" t="s">
        <v>659</v>
      </c>
      <c r="B631">
        <f>_xlfn.XLOOKUP(A631,'Subbu- Mini Project EXcel Clean'!A631:A1630,'Subbu- Mini Project EXcel Clean'!L631:L1630," ",0)</f>
        <v>159</v>
      </c>
      <c r="C631">
        <f>_xlfn.XLOOKUP(A631,'Subbu- Mini Project EXcel Clean'!A631:A1630,'Subbu- Mini Project EXcel Clean'!K631:K1630," ",0)</f>
        <v>66.2</v>
      </c>
    </row>
    <row r="632" spans="1:3" x14ac:dyDescent="0.25">
      <c r="A632" t="s">
        <v>660</v>
      </c>
      <c r="B632">
        <f>_xlfn.XLOOKUP(A632,'Subbu- Mini Project EXcel Clean'!A632:A1631,'Subbu- Mini Project EXcel Clean'!L632:L1631," ",0)</f>
        <v>174</v>
      </c>
      <c r="C632">
        <f>_xlfn.XLOOKUP(A632,'Subbu- Mini Project EXcel Clean'!A632:A1631,'Subbu- Mini Project EXcel Clean'!K632:K1631," ",0)</f>
        <v>72.5</v>
      </c>
    </row>
    <row r="633" spans="1:3" x14ac:dyDescent="0.25">
      <c r="A633" t="s">
        <v>661</v>
      </c>
      <c r="B633">
        <f>_xlfn.XLOOKUP(A633,'Subbu- Mini Project EXcel Clean'!A633:A1632,'Subbu- Mini Project EXcel Clean'!L633:L1632," ",0)</f>
        <v>197</v>
      </c>
      <c r="C633">
        <f>_xlfn.XLOOKUP(A633,'Subbu- Mini Project EXcel Clean'!A633:A1632,'Subbu- Mini Project EXcel Clean'!K633:K1632," ",0)</f>
        <v>82.2</v>
      </c>
    </row>
    <row r="634" spans="1:3" x14ac:dyDescent="0.25">
      <c r="A634" t="s">
        <v>662</v>
      </c>
      <c r="B634">
        <f>_xlfn.XLOOKUP(A634,'Subbu- Mini Project EXcel Clean'!A634:A1633,'Subbu- Mini Project EXcel Clean'!L634:L1633," ",0)</f>
        <v>174</v>
      </c>
      <c r="C634">
        <f>_xlfn.XLOOKUP(A634,'Subbu- Mini Project EXcel Clean'!A634:A1633,'Subbu- Mini Project EXcel Clean'!K634:K1633," ",0)</f>
        <v>72.599999999999994</v>
      </c>
    </row>
    <row r="635" spans="1:3" x14ac:dyDescent="0.25">
      <c r="A635" t="s">
        <v>663</v>
      </c>
      <c r="B635">
        <f>_xlfn.XLOOKUP(A635,'Subbu- Mini Project EXcel Clean'!A635:A1634,'Subbu- Mini Project EXcel Clean'!L635:L1634," ",0)</f>
        <v>175</v>
      </c>
      <c r="C635">
        <f>_xlfn.XLOOKUP(A635,'Subbu- Mini Project EXcel Clean'!A635:A1634,'Subbu- Mini Project EXcel Clean'!K635:K1634," ",0)</f>
        <v>72.8</v>
      </c>
    </row>
    <row r="636" spans="1:3" x14ac:dyDescent="0.25">
      <c r="A636" t="s">
        <v>664</v>
      </c>
      <c r="B636">
        <f>_xlfn.XLOOKUP(A636,'Subbu- Mini Project EXcel Clean'!A636:A1635,'Subbu- Mini Project EXcel Clean'!L636:L1635," ",0)</f>
        <v>144</v>
      </c>
      <c r="C636">
        <f>_xlfn.XLOOKUP(A636,'Subbu- Mini Project EXcel Clean'!A636:A1635,'Subbu- Mini Project EXcel Clean'!K636:K1635," ",0)</f>
        <v>60.2</v>
      </c>
    </row>
    <row r="637" spans="1:3" x14ac:dyDescent="0.25">
      <c r="A637" t="s">
        <v>665</v>
      </c>
      <c r="B637">
        <f>_xlfn.XLOOKUP(A637,'Subbu- Mini Project EXcel Clean'!A637:A1636,'Subbu- Mini Project EXcel Clean'!L637:L1636," ",0)</f>
        <v>160</v>
      </c>
      <c r="C637">
        <f>_xlfn.XLOOKUP(A637,'Subbu- Mini Project EXcel Clean'!A637:A1636,'Subbu- Mini Project EXcel Clean'!K637:K1636," ",0)</f>
        <v>66.8</v>
      </c>
    </row>
    <row r="638" spans="1:3" x14ac:dyDescent="0.25">
      <c r="A638" t="s">
        <v>666</v>
      </c>
      <c r="B638">
        <f>_xlfn.XLOOKUP(A638,'Subbu- Mini Project EXcel Clean'!A638:A1637,'Subbu- Mini Project EXcel Clean'!L638:L1637," ",0)</f>
        <v>207</v>
      </c>
      <c r="C638">
        <f>_xlfn.XLOOKUP(A638,'Subbu- Mini Project EXcel Clean'!A638:A1637,'Subbu- Mini Project EXcel Clean'!K638:K1637," ",0)</f>
        <v>86.1</v>
      </c>
    </row>
    <row r="639" spans="1:3" x14ac:dyDescent="0.25">
      <c r="A639" t="s">
        <v>667</v>
      </c>
      <c r="B639">
        <f>_xlfn.XLOOKUP(A639,'Subbu- Mini Project EXcel Clean'!A639:A1638,'Subbu- Mini Project EXcel Clean'!L639:L1638," ",0)</f>
        <v>182</v>
      </c>
      <c r="C639">
        <f>_xlfn.XLOOKUP(A639,'Subbu- Mini Project EXcel Clean'!A639:A1638,'Subbu- Mini Project EXcel Clean'!K639:K1638," ",0)</f>
        <v>76</v>
      </c>
    </row>
    <row r="640" spans="1:3" x14ac:dyDescent="0.25">
      <c r="A640" t="s">
        <v>668</v>
      </c>
      <c r="B640">
        <f>_xlfn.XLOOKUP(A640,'Subbu- Mini Project EXcel Clean'!A640:A1639,'Subbu- Mini Project EXcel Clean'!L640:L1639," ",0)</f>
        <v>148</v>
      </c>
      <c r="C640">
        <f>_xlfn.XLOOKUP(A640,'Subbu- Mini Project EXcel Clean'!A640:A1639,'Subbu- Mini Project EXcel Clean'!K640:K1639," ",0)</f>
        <v>61.6</v>
      </c>
    </row>
    <row r="641" spans="1:3" x14ac:dyDescent="0.25">
      <c r="A641" t="s">
        <v>669</v>
      </c>
      <c r="B641">
        <f>_xlfn.XLOOKUP(A641,'Subbu- Mini Project EXcel Clean'!A641:A1640,'Subbu- Mini Project EXcel Clean'!L641:L1640," ",0)</f>
        <v>188</v>
      </c>
      <c r="C641">
        <f>_xlfn.XLOOKUP(A641,'Subbu- Mini Project EXcel Clean'!A641:A1640,'Subbu- Mini Project EXcel Clean'!K641:K1640," ",0)</f>
        <v>78.3</v>
      </c>
    </row>
    <row r="642" spans="1:3" x14ac:dyDescent="0.25">
      <c r="A642" t="s">
        <v>670</v>
      </c>
      <c r="B642">
        <f>_xlfn.XLOOKUP(A642,'Subbu- Mini Project EXcel Clean'!A642:A1641,'Subbu- Mini Project EXcel Clean'!L642:L1641," ",0)</f>
        <v>141</v>
      </c>
      <c r="C642">
        <f>_xlfn.XLOOKUP(A642,'Subbu- Mini Project EXcel Clean'!A642:A1641,'Subbu- Mini Project EXcel Clean'!K642:K1641," ",0)</f>
        <v>58.6</v>
      </c>
    </row>
    <row r="643" spans="1:3" x14ac:dyDescent="0.25">
      <c r="A643" t="s">
        <v>671</v>
      </c>
      <c r="B643">
        <f>_xlfn.XLOOKUP(A643,'Subbu- Mini Project EXcel Clean'!A643:A1642,'Subbu- Mini Project EXcel Clean'!L643:L1642," ",0)</f>
        <v>167</v>
      </c>
      <c r="C643">
        <f>_xlfn.XLOOKUP(A643,'Subbu- Mini Project EXcel Clean'!A643:A1642,'Subbu- Mini Project EXcel Clean'!K643:K1642," ",0)</f>
        <v>69.5</v>
      </c>
    </row>
    <row r="644" spans="1:3" x14ac:dyDescent="0.25">
      <c r="A644" t="s">
        <v>672</v>
      </c>
      <c r="B644">
        <f>_xlfn.XLOOKUP(A644,'Subbu- Mini Project EXcel Clean'!A644:A1643,'Subbu- Mini Project EXcel Clean'!L644:L1643," ",0)</f>
        <v>157</v>
      </c>
      <c r="C644">
        <f>_xlfn.XLOOKUP(A644,'Subbu- Mini Project EXcel Clean'!A644:A1643,'Subbu- Mini Project EXcel Clean'!K644:K1643," ",0)</f>
        <v>65.5</v>
      </c>
    </row>
    <row r="645" spans="1:3" x14ac:dyDescent="0.25">
      <c r="A645" t="s">
        <v>673</v>
      </c>
      <c r="B645">
        <f>_xlfn.XLOOKUP(A645,'Subbu- Mini Project EXcel Clean'!A645:A1644,'Subbu- Mini Project EXcel Clean'!L645:L1644," ",0)</f>
        <v>158</v>
      </c>
      <c r="C645">
        <f>_xlfn.XLOOKUP(A645,'Subbu- Mini Project EXcel Clean'!A645:A1644,'Subbu- Mini Project EXcel Clean'!K645:K1644," ",0)</f>
        <v>65.7</v>
      </c>
    </row>
    <row r="646" spans="1:3" x14ac:dyDescent="0.25">
      <c r="A646" t="s">
        <v>674</v>
      </c>
      <c r="B646">
        <f>_xlfn.XLOOKUP(A646,'Subbu- Mini Project EXcel Clean'!A646:A1645,'Subbu- Mini Project EXcel Clean'!L646:L1645," ",0)</f>
        <v>164</v>
      </c>
      <c r="C646">
        <f>_xlfn.XLOOKUP(A646,'Subbu- Mini Project EXcel Clean'!A646:A1645,'Subbu- Mini Project EXcel Clean'!K646:K1645," ",0)</f>
        <v>68.2</v>
      </c>
    </row>
    <row r="647" spans="1:3" x14ac:dyDescent="0.25">
      <c r="A647" t="s">
        <v>675</v>
      </c>
      <c r="B647">
        <f>_xlfn.XLOOKUP(A647,'Subbu- Mini Project EXcel Clean'!A647:A1646,'Subbu- Mini Project EXcel Clean'!L647:L1646," ",0)</f>
        <v>204</v>
      </c>
      <c r="C647">
        <f>_xlfn.XLOOKUP(A647,'Subbu- Mini Project EXcel Clean'!A647:A1646,'Subbu- Mini Project EXcel Clean'!K647:K1646," ",0)</f>
        <v>85.1</v>
      </c>
    </row>
    <row r="648" spans="1:3" x14ac:dyDescent="0.25">
      <c r="A648" t="s">
        <v>676</v>
      </c>
      <c r="B648">
        <f>_xlfn.XLOOKUP(A648,'Subbu- Mini Project EXcel Clean'!A648:A1647,'Subbu- Mini Project EXcel Clean'!L648:L1647," ",0)</f>
        <v>177</v>
      </c>
      <c r="C648">
        <f>_xlfn.XLOOKUP(A648,'Subbu- Mini Project EXcel Clean'!A648:A1647,'Subbu- Mini Project EXcel Clean'!K648:K1647," ",0)</f>
        <v>73.900000000000006</v>
      </c>
    </row>
    <row r="649" spans="1:3" x14ac:dyDescent="0.25">
      <c r="A649" t="s">
        <v>677</v>
      </c>
      <c r="B649">
        <f>_xlfn.XLOOKUP(A649,'Subbu- Mini Project EXcel Clean'!A649:A1648,'Subbu- Mini Project EXcel Clean'!L649:L1648," ",0)</f>
        <v>173</v>
      </c>
      <c r="C649">
        <f>_xlfn.XLOOKUP(A649,'Subbu- Mini Project EXcel Clean'!A649:A1648,'Subbu- Mini Project EXcel Clean'!K649:K1648," ",0)</f>
        <v>72.2</v>
      </c>
    </row>
    <row r="650" spans="1:3" x14ac:dyDescent="0.25">
      <c r="A650" t="s">
        <v>678</v>
      </c>
      <c r="B650">
        <f>_xlfn.XLOOKUP(A650,'Subbu- Mini Project EXcel Clean'!A650:A1649,'Subbu- Mini Project EXcel Clean'!L650:L1649," ",0)</f>
        <v>185</v>
      </c>
      <c r="C650">
        <f>_xlfn.XLOOKUP(A650,'Subbu- Mini Project EXcel Clean'!A650:A1649,'Subbu- Mini Project EXcel Clean'!K650:K1649," ",0)</f>
        <v>77.2</v>
      </c>
    </row>
    <row r="651" spans="1:3" x14ac:dyDescent="0.25">
      <c r="A651" t="s">
        <v>679</v>
      </c>
      <c r="B651">
        <f>_xlfn.XLOOKUP(A651,'Subbu- Mini Project EXcel Clean'!A651:A1650,'Subbu- Mini Project EXcel Clean'!L651:L1650," ",0)</f>
        <v>157</v>
      </c>
      <c r="C651">
        <f>_xlfn.XLOOKUP(A651,'Subbu- Mini Project EXcel Clean'!A651:A1650,'Subbu- Mini Project EXcel Clean'!K651:K1650," ",0)</f>
        <v>65.5</v>
      </c>
    </row>
    <row r="652" spans="1:3" x14ac:dyDescent="0.25">
      <c r="A652" t="s">
        <v>680</v>
      </c>
      <c r="B652">
        <f>_xlfn.XLOOKUP(A652,'Subbu- Mini Project EXcel Clean'!A652:A1651,'Subbu- Mini Project EXcel Clean'!L652:L1651," ",0)</f>
        <v>150</v>
      </c>
      <c r="C652">
        <f>_xlfn.XLOOKUP(A652,'Subbu- Mini Project EXcel Clean'!A652:A1651,'Subbu- Mini Project EXcel Clean'!K652:K1651," ",0)</f>
        <v>62.5</v>
      </c>
    </row>
    <row r="653" spans="1:3" x14ac:dyDescent="0.25">
      <c r="A653" t="s">
        <v>681</v>
      </c>
      <c r="B653">
        <f>_xlfn.XLOOKUP(A653,'Subbu- Mini Project EXcel Clean'!A653:A1652,'Subbu- Mini Project EXcel Clean'!L653:L1652," ",0)</f>
        <v>165</v>
      </c>
      <c r="C653">
        <f>_xlfn.XLOOKUP(A653,'Subbu- Mini Project EXcel Clean'!A653:A1652,'Subbu- Mini Project EXcel Clean'!K653:K1652," ",0)</f>
        <v>68.8</v>
      </c>
    </row>
    <row r="654" spans="1:3" x14ac:dyDescent="0.25">
      <c r="A654" t="s">
        <v>682</v>
      </c>
      <c r="B654">
        <f>_xlfn.XLOOKUP(A654,'Subbu- Mini Project EXcel Clean'!A654:A1653,'Subbu- Mini Project EXcel Clean'!L654:L1653," ",0)</f>
        <v>180</v>
      </c>
      <c r="C654">
        <f>_xlfn.XLOOKUP(A654,'Subbu- Mini Project EXcel Clean'!A654:A1653,'Subbu- Mini Project EXcel Clean'!K654:K1653," ",0)</f>
        <v>74.8</v>
      </c>
    </row>
    <row r="655" spans="1:3" x14ac:dyDescent="0.25">
      <c r="A655" t="s">
        <v>683</v>
      </c>
      <c r="B655">
        <f>_xlfn.XLOOKUP(A655,'Subbu- Mini Project EXcel Clean'!A655:A1654,'Subbu- Mini Project EXcel Clean'!L655:L1654," ",0)</f>
        <v>210</v>
      </c>
      <c r="C655">
        <f>_xlfn.XLOOKUP(A655,'Subbu- Mini Project EXcel Clean'!A655:A1654,'Subbu- Mini Project EXcel Clean'!K655:K1654," ",0)</f>
        <v>87.4</v>
      </c>
    </row>
    <row r="656" spans="1:3" x14ac:dyDescent="0.25">
      <c r="A656" t="s">
        <v>684</v>
      </c>
      <c r="B656">
        <f>_xlfn.XLOOKUP(A656,'Subbu- Mini Project EXcel Clean'!A656:A1655,'Subbu- Mini Project EXcel Clean'!L656:L1655," ",0)</f>
        <v>187</v>
      </c>
      <c r="C656">
        <f>_xlfn.XLOOKUP(A656,'Subbu- Mini Project EXcel Clean'!A656:A1655,'Subbu- Mini Project EXcel Clean'!K656:K1655," ",0)</f>
        <v>77.900000000000006</v>
      </c>
    </row>
    <row r="657" spans="1:3" x14ac:dyDescent="0.25">
      <c r="A657" t="s">
        <v>685</v>
      </c>
      <c r="B657">
        <f>_xlfn.XLOOKUP(A657,'Subbu- Mini Project EXcel Clean'!A657:A1656,'Subbu- Mini Project EXcel Clean'!L657:L1656," ",0)</f>
        <v>152</v>
      </c>
      <c r="C657">
        <f>_xlfn.XLOOKUP(A657,'Subbu- Mini Project EXcel Clean'!A657:A1656,'Subbu- Mini Project EXcel Clean'!K657:K1656," ",0)</f>
        <v>63.3</v>
      </c>
    </row>
    <row r="658" spans="1:3" x14ac:dyDescent="0.25">
      <c r="A658" t="s">
        <v>686</v>
      </c>
      <c r="B658">
        <f>_xlfn.XLOOKUP(A658,'Subbu- Mini Project EXcel Clean'!A658:A1657,'Subbu- Mini Project EXcel Clean'!L658:L1657," ",0)</f>
        <v>162</v>
      </c>
      <c r="C658">
        <f>_xlfn.XLOOKUP(A658,'Subbu- Mini Project EXcel Clean'!A658:A1657,'Subbu- Mini Project EXcel Clean'!K658:K1657," ",0)</f>
        <v>67.400000000000006</v>
      </c>
    </row>
    <row r="659" spans="1:3" x14ac:dyDescent="0.25">
      <c r="A659" t="s">
        <v>687</v>
      </c>
      <c r="B659">
        <f>_xlfn.XLOOKUP(A659,'Subbu- Mini Project EXcel Clean'!A659:A1658,'Subbu- Mini Project EXcel Clean'!L659:L1658," ",0)</f>
        <v>191</v>
      </c>
      <c r="C659">
        <f>_xlfn.XLOOKUP(A659,'Subbu- Mini Project EXcel Clean'!A659:A1658,'Subbu- Mini Project EXcel Clean'!K659:K1658," ",0)</f>
        <v>79.400000000000006</v>
      </c>
    </row>
    <row r="660" spans="1:3" x14ac:dyDescent="0.25">
      <c r="A660" t="s">
        <v>688</v>
      </c>
      <c r="B660">
        <f>_xlfn.XLOOKUP(A660,'Subbu- Mini Project EXcel Clean'!A660:A1659,'Subbu- Mini Project EXcel Clean'!L660:L1659," ",0)</f>
        <v>193</v>
      </c>
      <c r="C660">
        <f>_xlfn.XLOOKUP(A660,'Subbu- Mini Project EXcel Clean'!A660:A1659,'Subbu- Mini Project EXcel Clean'!K660:K1659," ",0)</f>
        <v>80.400000000000006</v>
      </c>
    </row>
    <row r="661" spans="1:3" x14ac:dyDescent="0.25">
      <c r="A661" t="s">
        <v>689</v>
      </c>
      <c r="B661">
        <f>_xlfn.XLOOKUP(A661,'Subbu- Mini Project EXcel Clean'!A661:A1660,'Subbu- Mini Project EXcel Clean'!L661:L1660," ",0)</f>
        <v>178</v>
      </c>
      <c r="C661">
        <f>_xlfn.XLOOKUP(A661,'Subbu- Mini Project EXcel Clean'!A661:A1660,'Subbu- Mini Project EXcel Clean'!K661:K1660," ",0)</f>
        <v>74.099999999999994</v>
      </c>
    </row>
    <row r="662" spans="1:3" x14ac:dyDescent="0.25">
      <c r="A662" t="s">
        <v>690</v>
      </c>
      <c r="B662">
        <f>_xlfn.XLOOKUP(A662,'Subbu- Mini Project EXcel Clean'!A662:A1661,'Subbu- Mini Project EXcel Clean'!L662:L1661," ",0)</f>
        <v>150</v>
      </c>
      <c r="C662">
        <f>_xlfn.XLOOKUP(A662,'Subbu- Mini Project EXcel Clean'!A662:A1661,'Subbu- Mini Project EXcel Clean'!K662:K1661," ",0)</f>
        <v>62.7</v>
      </c>
    </row>
    <row r="663" spans="1:3" x14ac:dyDescent="0.25">
      <c r="A663" t="s">
        <v>691</v>
      </c>
      <c r="B663">
        <f>_xlfn.XLOOKUP(A663,'Subbu- Mini Project EXcel Clean'!A663:A1662,'Subbu- Mini Project EXcel Clean'!L663:L1662," ",0)</f>
        <v>214</v>
      </c>
      <c r="C663">
        <f>_xlfn.XLOOKUP(A663,'Subbu- Mini Project EXcel Clean'!A663:A1662,'Subbu- Mini Project EXcel Clean'!K663:K1662," ",0)</f>
        <v>89.1</v>
      </c>
    </row>
    <row r="664" spans="1:3" x14ac:dyDescent="0.25">
      <c r="A664" t="s">
        <v>692</v>
      </c>
      <c r="B664">
        <f>_xlfn.XLOOKUP(A664,'Subbu- Mini Project EXcel Clean'!A664:A1663,'Subbu- Mini Project EXcel Clean'!L664:L1663," ",0)</f>
        <v>194</v>
      </c>
      <c r="C664">
        <f>_xlfn.XLOOKUP(A664,'Subbu- Mini Project EXcel Clean'!A664:A1663,'Subbu- Mini Project EXcel Clean'!K664:K1663," ",0)</f>
        <v>80.8</v>
      </c>
    </row>
    <row r="665" spans="1:3" x14ac:dyDescent="0.25">
      <c r="A665" t="s">
        <v>693</v>
      </c>
      <c r="B665">
        <f>_xlfn.XLOOKUP(A665,'Subbu- Mini Project EXcel Clean'!A665:A1664,'Subbu- Mini Project EXcel Clean'!L665:L1664," ",0)</f>
        <v>152</v>
      </c>
      <c r="C665">
        <f>_xlfn.XLOOKUP(A665,'Subbu- Mini Project EXcel Clean'!A665:A1664,'Subbu- Mini Project EXcel Clean'!K665:K1664," ",0)</f>
        <v>63.4</v>
      </c>
    </row>
    <row r="666" spans="1:3" x14ac:dyDescent="0.25">
      <c r="A666" t="s">
        <v>694</v>
      </c>
      <c r="B666">
        <f>_xlfn.XLOOKUP(A666,'Subbu- Mini Project EXcel Clean'!A666:A1665,'Subbu- Mini Project EXcel Clean'!L666:L1665," ",0)</f>
        <v>154</v>
      </c>
      <c r="C666">
        <f>_xlfn.XLOOKUP(A666,'Subbu- Mini Project EXcel Clean'!A666:A1665,'Subbu- Mini Project EXcel Clean'!K666:K1665," ",0)</f>
        <v>64.3</v>
      </c>
    </row>
    <row r="667" spans="1:3" x14ac:dyDescent="0.25">
      <c r="A667" t="s">
        <v>695</v>
      </c>
      <c r="B667">
        <f>_xlfn.XLOOKUP(A667,'Subbu- Mini Project EXcel Clean'!A667:A1666,'Subbu- Mini Project EXcel Clean'!L667:L1666," ",0)</f>
        <v>150</v>
      </c>
      <c r="C667">
        <f>_xlfn.XLOOKUP(A667,'Subbu- Mini Project EXcel Clean'!A667:A1666,'Subbu- Mini Project EXcel Clean'!K667:K1666," ",0)</f>
        <v>62.4</v>
      </c>
    </row>
    <row r="668" spans="1:3" x14ac:dyDescent="0.25">
      <c r="A668" t="s">
        <v>696</v>
      </c>
      <c r="B668">
        <f>_xlfn.XLOOKUP(A668,'Subbu- Mini Project EXcel Clean'!A668:A1667,'Subbu- Mini Project EXcel Clean'!L668:L1667," ",0)</f>
        <v>158</v>
      </c>
      <c r="C668">
        <f>_xlfn.XLOOKUP(A668,'Subbu- Mini Project EXcel Clean'!A668:A1667,'Subbu- Mini Project EXcel Clean'!K668:K1667," ",0)</f>
        <v>65.8</v>
      </c>
    </row>
    <row r="669" spans="1:3" x14ac:dyDescent="0.25">
      <c r="A669" t="s">
        <v>697</v>
      </c>
      <c r="B669">
        <f>_xlfn.XLOOKUP(A669,'Subbu- Mini Project EXcel Clean'!A669:A1668,'Subbu- Mini Project EXcel Clean'!L669:L1668," ",0)</f>
        <v>125</v>
      </c>
      <c r="C669">
        <f>_xlfn.XLOOKUP(A669,'Subbu- Mini Project EXcel Clean'!A669:A1668,'Subbu- Mini Project EXcel Clean'!K669:K1668," ",0)</f>
        <v>52</v>
      </c>
    </row>
    <row r="670" spans="1:3" x14ac:dyDescent="0.25">
      <c r="A670" t="s">
        <v>698</v>
      </c>
      <c r="B670">
        <f>_xlfn.XLOOKUP(A670,'Subbu- Mini Project EXcel Clean'!A670:A1669,'Subbu- Mini Project EXcel Clean'!L670:L1669," ",0)</f>
        <v>154</v>
      </c>
      <c r="C670">
        <f>_xlfn.XLOOKUP(A670,'Subbu- Mini Project EXcel Clean'!A670:A1669,'Subbu- Mini Project EXcel Clean'!K670:K1669," ",0)</f>
        <v>64</v>
      </c>
    </row>
    <row r="671" spans="1:3" x14ac:dyDescent="0.25">
      <c r="A671" t="s">
        <v>699</v>
      </c>
      <c r="B671">
        <f>_xlfn.XLOOKUP(A671,'Subbu- Mini Project EXcel Clean'!A671:A1670,'Subbu- Mini Project EXcel Clean'!L671:L1670," ",0)</f>
        <v>174</v>
      </c>
      <c r="C671">
        <f>_xlfn.XLOOKUP(A671,'Subbu- Mini Project EXcel Clean'!A671:A1670,'Subbu- Mini Project EXcel Clean'!K671:K1670," ",0)</f>
        <v>72.7</v>
      </c>
    </row>
    <row r="672" spans="1:3" x14ac:dyDescent="0.25">
      <c r="A672" t="s">
        <v>700</v>
      </c>
      <c r="B672">
        <f>_xlfn.XLOOKUP(A672,'Subbu- Mini Project EXcel Clean'!A672:A1671,'Subbu- Mini Project EXcel Clean'!L672:L1671," ",0)</f>
        <v>148</v>
      </c>
      <c r="C672">
        <f>_xlfn.XLOOKUP(A672,'Subbu- Mini Project EXcel Clean'!A672:A1671,'Subbu- Mini Project EXcel Clean'!K672:K1671," ",0)</f>
        <v>61.6</v>
      </c>
    </row>
    <row r="673" spans="1:3" x14ac:dyDescent="0.25">
      <c r="A673" t="s">
        <v>701</v>
      </c>
      <c r="B673">
        <f>_xlfn.XLOOKUP(A673,'Subbu- Mini Project EXcel Clean'!A673:A1672,'Subbu- Mini Project EXcel Clean'!L673:L1672," ",0)</f>
        <v>204</v>
      </c>
      <c r="C673">
        <f>_xlfn.XLOOKUP(A673,'Subbu- Mini Project EXcel Clean'!A673:A1672,'Subbu- Mini Project EXcel Clean'!K673:K1672," ",0)</f>
        <v>84.9</v>
      </c>
    </row>
    <row r="674" spans="1:3" x14ac:dyDescent="0.25">
      <c r="A674" t="s">
        <v>702</v>
      </c>
      <c r="B674">
        <f>_xlfn.XLOOKUP(A674,'Subbu- Mini Project EXcel Clean'!A674:A1673,'Subbu- Mini Project EXcel Clean'!L674:L1673," ",0)</f>
        <v>140</v>
      </c>
      <c r="C674">
        <f>_xlfn.XLOOKUP(A674,'Subbu- Mini Project EXcel Clean'!A674:A1673,'Subbu- Mini Project EXcel Clean'!K674:K1673," ",0)</f>
        <v>58.4</v>
      </c>
    </row>
    <row r="675" spans="1:3" x14ac:dyDescent="0.25">
      <c r="A675" t="s">
        <v>703</v>
      </c>
      <c r="B675">
        <f>_xlfn.XLOOKUP(A675,'Subbu- Mini Project EXcel Clean'!A675:A1674,'Subbu- Mini Project EXcel Clean'!L675:L1674," ",0)</f>
        <v>183</v>
      </c>
      <c r="C675">
        <f>_xlfn.XLOOKUP(A675,'Subbu- Mini Project EXcel Clean'!A675:A1674,'Subbu- Mini Project EXcel Clean'!K675:K1674," ",0)</f>
        <v>76.2</v>
      </c>
    </row>
    <row r="676" spans="1:3" x14ac:dyDescent="0.25">
      <c r="A676" t="s">
        <v>704</v>
      </c>
      <c r="B676">
        <f>_xlfn.XLOOKUP(A676,'Subbu- Mini Project EXcel Clean'!A676:A1675,'Subbu- Mini Project EXcel Clean'!L676:L1675," ",0)</f>
        <v>168</v>
      </c>
      <c r="C676">
        <f>_xlfn.XLOOKUP(A676,'Subbu- Mini Project EXcel Clean'!A676:A1675,'Subbu- Mini Project EXcel Clean'!K676:K1675," ",0)</f>
        <v>70.2</v>
      </c>
    </row>
    <row r="677" spans="1:3" x14ac:dyDescent="0.25">
      <c r="A677" t="s">
        <v>705</v>
      </c>
      <c r="B677">
        <f>_xlfn.XLOOKUP(A677,'Subbu- Mini Project EXcel Clean'!A677:A1676,'Subbu- Mini Project EXcel Clean'!L677:L1676," ",0)</f>
        <v>198</v>
      </c>
      <c r="C677">
        <f>_xlfn.XLOOKUP(A677,'Subbu- Mini Project EXcel Clean'!A677:A1676,'Subbu- Mini Project EXcel Clean'!K677:K1676," ",0)</f>
        <v>82.3</v>
      </c>
    </row>
    <row r="678" spans="1:3" x14ac:dyDescent="0.25">
      <c r="A678" t="s">
        <v>706</v>
      </c>
      <c r="B678">
        <f>_xlfn.XLOOKUP(A678,'Subbu- Mini Project EXcel Clean'!A678:A1677,'Subbu- Mini Project EXcel Clean'!L678:L1677," ",0)</f>
        <v>167</v>
      </c>
      <c r="C678">
        <f>_xlfn.XLOOKUP(A678,'Subbu- Mini Project EXcel Clean'!A678:A1677,'Subbu- Mini Project EXcel Clean'!K678:K1677," ",0)</f>
        <v>69.7</v>
      </c>
    </row>
    <row r="679" spans="1:3" x14ac:dyDescent="0.25">
      <c r="A679" t="s">
        <v>707</v>
      </c>
      <c r="B679">
        <f>_xlfn.XLOOKUP(A679,'Subbu- Mini Project EXcel Clean'!A679:A1678,'Subbu- Mini Project EXcel Clean'!L679:L1678," ",0)</f>
        <v>181</v>
      </c>
      <c r="C679">
        <f>_xlfn.XLOOKUP(A679,'Subbu- Mini Project EXcel Clean'!A679:A1678,'Subbu- Mini Project EXcel Clean'!K679:K1678," ",0)</f>
        <v>75.599999999999994</v>
      </c>
    </row>
    <row r="680" spans="1:3" x14ac:dyDescent="0.25">
      <c r="A680" t="s">
        <v>708</v>
      </c>
      <c r="B680">
        <f>_xlfn.XLOOKUP(A680,'Subbu- Mini Project EXcel Clean'!A680:A1679,'Subbu- Mini Project EXcel Clean'!L680:L1679," ",0)</f>
        <v>201</v>
      </c>
      <c r="C680">
        <f>_xlfn.XLOOKUP(A680,'Subbu- Mini Project EXcel Clean'!A680:A1679,'Subbu- Mini Project EXcel Clean'!K680:K1679," ",0)</f>
        <v>83.6</v>
      </c>
    </row>
    <row r="681" spans="1:3" x14ac:dyDescent="0.25">
      <c r="A681" t="s">
        <v>709</v>
      </c>
      <c r="B681">
        <f>_xlfn.XLOOKUP(A681,'Subbu- Mini Project EXcel Clean'!A681:A1680,'Subbu- Mini Project EXcel Clean'!L681:L1680," ",0)</f>
        <v>207</v>
      </c>
      <c r="C681">
        <f>_xlfn.XLOOKUP(A681,'Subbu- Mini Project EXcel Clean'!A681:A1680,'Subbu- Mini Project EXcel Clean'!K681:K1680," ",0)</f>
        <v>86.3</v>
      </c>
    </row>
    <row r="682" spans="1:3" x14ac:dyDescent="0.25">
      <c r="A682" t="s">
        <v>710</v>
      </c>
      <c r="B682">
        <f>_xlfn.XLOOKUP(A682,'Subbu- Mini Project EXcel Clean'!A682:A1681,'Subbu- Mini Project EXcel Clean'!L682:L1681," ",0)</f>
        <v>204</v>
      </c>
      <c r="C682">
        <f>_xlfn.XLOOKUP(A682,'Subbu- Mini Project EXcel Clean'!A682:A1681,'Subbu- Mini Project EXcel Clean'!K682:K1681," ",0)</f>
        <v>85.2</v>
      </c>
    </row>
    <row r="683" spans="1:3" x14ac:dyDescent="0.25">
      <c r="A683" t="s">
        <v>711</v>
      </c>
      <c r="B683">
        <f>_xlfn.XLOOKUP(A683,'Subbu- Mini Project EXcel Clean'!A683:A1682,'Subbu- Mini Project EXcel Clean'!L683:L1682," ",0)</f>
        <v>169</v>
      </c>
      <c r="C683">
        <f>_xlfn.XLOOKUP(A683,'Subbu- Mini Project EXcel Clean'!A683:A1682,'Subbu- Mini Project EXcel Clean'!K683:K1682," ",0)</f>
        <v>70.3</v>
      </c>
    </row>
    <row r="684" spans="1:3" x14ac:dyDescent="0.25">
      <c r="A684" t="s">
        <v>712</v>
      </c>
      <c r="B684">
        <f>_xlfn.XLOOKUP(A684,'Subbu- Mini Project EXcel Clean'!A684:A1683,'Subbu- Mini Project EXcel Clean'!L684:L1683," ",0)</f>
        <v>135</v>
      </c>
      <c r="C684">
        <f>_xlfn.XLOOKUP(A684,'Subbu- Mini Project EXcel Clean'!A684:A1683,'Subbu- Mini Project EXcel Clean'!K684:K1683," ",0)</f>
        <v>56.2</v>
      </c>
    </row>
    <row r="685" spans="1:3" x14ac:dyDescent="0.25">
      <c r="A685" t="s">
        <v>713</v>
      </c>
      <c r="B685">
        <f>_xlfn.XLOOKUP(A685,'Subbu- Mini Project EXcel Clean'!A685:A1684,'Subbu- Mini Project EXcel Clean'!L685:L1684," ",0)</f>
        <v>200</v>
      </c>
      <c r="C685">
        <f>_xlfn.XLOOKUP(A685,'Subbu- Mini Project EXcel Clean'!A685:A1684,'Subbu- Mini Project EXcel Clean'!K685:K1684," ",0)</f>
        <v>83.4</v>
      </c>
    </row>
    <row r="686" spans="1:3" x14ac:dyDescent="0.25">
      <c r="A686" t="s">
        <v>714</v>
      </c>
      <c r="B686">
        <f>_xlfn.XLOOKUP(A686,'Subbu- Mini Project EXcel Clean'!A686:A1685,'Subbu- Mini Project EXcel Clean'!L686:L1685," ",0)</f>
        <v>198</v>
      </c>
      <c r="C686">
        <f>_xlfn.XLOOKUP(A686,'Subbu- Mini Project EXcel Clean'!A686:A1685,'Subbu- Mini Project EXcel Clean'!K686:K1685," ",0)</f>
        <v>82.7</v>
      </c>
    </row>
    <row r="687" spans="1:3" x14ac:dyDescent="0.25">
      <c r="A687" t="s">
        <v>715</v>
      </c>
      <c r="B687">
        <f>_xlfn.XLOOKUP(A687,'Subbu- Mini Project EXcel Clean'!A687:A1686,'Subbu- Mini Project EXcel Clean'!L687:L1686," ",0)</f>
        <v>176</v>
      </c>
      <c r="C687">
        <f>_xlfn.XLOOKUP(A687,'Subbu- Mini Project EXcel Clean'!A687:A1686,'Subbu- Mini Project EXcel Clean'!K687:K1686," ",0)</f>
        <v>73.5</v>
      </c>
    </row>
    <row r="688" spans="1:3" x14ac:dyDescent="0.25">
      <c r="A688" t="s">
        <v>716</v>
      </c>
      <c r="B688">
        <f>_xlfn.XLOOKUP(A688,'Subbu- Mini Project EXcel Clean'!A688:A1687,'Subbu- Mini Project EXcel Clean'!L688:L1687," ",0)</f>
        <v>213</v>
      </c>
      <c r="C688">
        <f>_xlfn.XLOOKUP(A688,'Subbu- Mini Project EXcel Clean'!A688:A1687,'Subbu- Mini Project EXcel Clean'!K688:K1687," ",0)</f>
        <v>88.9</v>
      </c>
    </row>
    <row r="689" spans="1:3" x14ac:dyDescent="0.25">
      <c r="A689" t="s">
        <v>717</v>
      </c>
      <c r="B689">
        <f>_xlfn.XLOOKUP(A689,'Subbu- Mini Project EXcel Clean'!A689:A1688,'Subbu- Mini Project EXcel Clean'!L689:L1688," ",0)</f>
        <v>166</v>
      </c>
      <c r="C689">
        <f>_xlfn.XLOOKUP(A689,'Subbu- Mini Project EXcel Clean'!A689:A1688,'Subbu- Mini Project EXcel Clean'!K689:K1688," ",0)</f>
        <v>69.2</v>
      </c>
    </row>
    <row r="690" spans="1:3" x14ac:dyDescent="0.25">
      <c r="A690" t="s">
        <v>718</v>
      </c>
      <c r="B690">
        <f>_xlfn.XLOOKUP(A690,'Subbu- Mini Project EXcel Clean'!A690:A1689,'Subbu- Mini Project EXcel Clean'!L690:L1689," ",0)</f>
        <v>190</v>
      </c>
      <c r="C690">
        <f>_xlfn.XLOOKUP(A690,'Subbu- Mini Project EXcel Clean'!A690:A1689,'Subbu- Mini Project EXcel Clean'!K690:K1689," ",0)</f>
        <v>79.2</v>
      </c>
    </row>
    <row r="691" spans="1:3" x14ac:dyDescent="0.25">
      <c r="A691" t="s">
        <v>719</v>
      </c>
      <c r="B691">
        <f>_xlfn.XLOOKUP(A691,'Subbu- Mini Project EXcel Clean'!A691:A1690,'Subbu- Mini Project EXcel Clean'!L691:L1690," ",0)</f>
        <v>130</v>
      </c>
      <c r="C691">
        <f>_xlfn.XLOOKUP(A691,'Subbu- Mini Project EXcel Clean'!A691:A1690,'Subbu- Mini Project EXcel Clean'!K691:K1690," ",0)</f>
        <v>54.1</v>
      </c>
    </row>
    <row r="692" spans="1:3" x14ac:dyDescent="0.25">
      <c r="A692" t="s">
        <v>720</v>
      </c>
      <c r="B692">
        <f>_xlfn.XLOOKUP(A692,'Subbu- Mini Project EXcel Clean'!A692:A1691,'Subbu- Mini Project EXcel Clean'!L692:L1691," ",0)</f>
        <v>182</v>
      </c>
      <c r="C692">
        <f>_xlfn.XLOOKUP(A692,'Subbu- Mini Project EXcel Clean'!A692:A1691,'Subbu- Mini Project EXcel Clean'!K692:K1691," ",0)</f>
        <v>75.8</v>
      </c>
    </row>
    <row r="693" spans="1:3" x14ac:dyDescent="0.25">
      <c r="A693" t="s">
        <v>721</v>
      </c>
      <c r="B693">
        <f>_xlfn.XLOOKUP(A693,'Subbu- Mini Project EXcel Clean'!A693:A1692,'Subbu- Mini Project EXcel Clean'!L693:L1692," ",0)</f>
        <v>156</v>
      </c>
      <c r="C693">
        <f>_xlfn.XLOOKUP(A693,'Subbu- Mini Project EXcel Clean'!A693:A1692,'Subbu- Mini Project EXcel Clean'!K693:K1692," ",0)</f>
        <v>65</v>
      </c>
    </row>
    <row r="694" spans="1:3" x14ac:dyDescent="0.25">
      <c r="A694" t="s">
        <v>722</v>
      </c>
      <c r="B694">
        <f>_xlfn.XLOOKUP(A694,'Subbu- Mini Project EXcel Clean'!A694:A1693,'Subbu- Mini Project EXcel Clean'!L694:L1693," ",0)</f>
        <v>165</v>
      </c>
      <c r="C694">
        <f>_xlfn.XLOOKUP(A694,'Subbu- Mini Project EXcel Clean'!A694:A1693,'Subbu- Mini Project EXcel Clean'!K694:K1693," ",0)</f>
        <v>68.900000000000006</v>
      </c>
    </row>
    <row r="695" spans="1:3" x14ac:dyDescent="0.25">
      <c r="A695" t="s">
        <v>723</v>
      </c>
      <c r="B695">
        <f>_xlfn.XLOOKUP(A695,'Subbu- Mini Project EXcel Clean'!A695:A1694,'Subbu- Mini Project EXcel Clean'!L695:L1694," ",0)</f>
        <v>156</v>
      </c>
      <c r="C695">
        <f>_xlfn.XLOOKUP(A695,'Subbu- Mini Project EXcel Clean'!A695:A1694,'Subbu- Mini Project EXcel Clean'!K695:K1694," ",0)</f>
        <v>65</v>
      </c>
    </row>
    <row r="696" spans="1:3" x14ac:dyDescent="0.25">
      <c r="A696" t="s">
        <v>724</v>
      </c>
      <c r="B696">
        <f>_xlfn.XLOOKUP(A696,'Subbu- Mini Project EXcel Clean'!A696:A1695,'Subbu- Mini Project EXcel Clean'!L696:L1695," ",0)</f>
        <v>168</v>
      </c>
      <c r="C696">
        <f>_xlfn.XLOOKUP(A696,'Subbu- Mini Project EXcel Clean'!A696:A1695,'Subbu- Mini Project EXcel Clean'!K696:K1695," ",0)</f>
        <v>70.2</v>
      </c>
    </row>
    <row r="697" spans="1:3" x14ac:dyDescent="0.25">
      <c r="A697" t="s">
        <v>725</v>
      </c>
      <c r="B697">
        <f>_xlfn.XLOOKUP(A697,'Subbu- Mini Project EXcel Clean'!A697:A1696,'Subbu- Mini Project EXcel Clean'!L697:L1696," ",0)</f>
        <v>194</v>
      </c>
      <c r="C697">
        <f>_xlfn.XLOOKUP(A697,'Subbu- Mini Project EXcel Clean'!A697:A1696,'Subbu- Mini Project EXcel Clean'!K697:K1696," ",0)</f>
        <v>80.7</v>
      </c>
    </row>
    <row r="698" spans="1:3" x14ac:dyDescent="0.25">
      <c r="A698" t="s">
        <v>726</v>
      </c>
      <c r="B698">
        <f>_xlfn.XLOOKUP(A698,'Subbu- Mini Project EXcel Clean'!A698:A1697,'Subbu- Mini Project EXcel Clean'!L698:L1697," ",0)</f>
        <v>161</v>
      </c>
      <c r="C698">
        <f>_xlfn.XLOOKUP(A698,'Subbu- Mini Project EXcel Clean'!A698:A1697,'Subbu- Mini Project EXcel Clean'!K698:K1697," ",0)</f>
        <v>67.099999999999994</v>
      </c>
    </row>
    <row r="699" spans="1:3" x14ac:dyDescent="0.25">
      <c r="A699" t="s">
        <v>727</v>
      </c>
      <c r="B699">
        <f>_xlfn.XLOOKUP(A699,'Subbu- Mini Project EXcel Clean'!A699:A1698,'Subbu- Mini Project EXcel Clean'!L699:L1698," ",0)</f>
        <v>186</v>
      </c>
      <c r="C699">
        <f>_xlfn.XLOOKUP(A699,'Subbu- Mini Project EXcel Clean'!A699:A1698,'Subbu- Mini Project EXcel Clean'!K699:K1698," ",0)</f>
        <v>77.5</v>
      </c>
    </row>
    <row r="700" spans="1:3" x14ac:dyDescent="0.25">
      <c r="A700" t="s">
        <v>728</v>
      </c>
      <c r="B700">
        <f>_xlfn.XLOOKUP(A700,'Subbu- Mini Project EXcel Clean'!A700:A1699,'Subbu- Mini Project EXcel Clean'!L700:L1699," ",0)</f>
        <v>147</v>
      </c>
      <c r="C700">
        <f>_xlfn.XLOOKUP(A700,'Subbu- Mini Project EXcel Clean'!A700:A1699,'Subbu- Mini Project EXcel Clean'!K700:K1699," ",0)</f>
        <v>61.2</v>
      </c>
    </row>
    <row r="701" spans="1:3" x14ac:dyDescent="0.25">
      <c r="A701" t="s">
        <v>729</v>
      </c>
      <c r="B701">
        <f>_xlfn.XLOOKUP(A701,'Subbu- Mini Project EXcel Clean'!A701:A1700,'Subbu- Mini Project EXcel Clean'!L701:L1700," ",0)</f>
        <v>177</v>
      </c>
      <c r="C701">
        <f>_xlfn.XLOOKUP(A701,'Subbu- Mini Project EXcel Clean'!A701:A1700,'Subbu- Mini Project EXcel Clean'!K701:K1700," ",0)</f>
        <v>73.900000000000006</v>
      </c>
    </row>
    <row r="702" spans="1:3" x14ac:dyDescent="0.25">
      <c r="A702" t="s">
        <v>730</v>
      </c>
      <c r="B702">
        <f>_xlfn.XLOOKUP(A702,'Subbu- Mini Project EXcel Clean'!A702:A1701,'Subbu- Mini Project EXcel Clean'!L702:L1701," ",0)</f>
        <v>180</v>
      </c>
      <c r="C702">
        <f>_xlfn.XLOOKUP(A702,'Subbu- Mini Project EXcel Clean'!A702:A1701,'Subbu- Mini Project EXcel Clean'!K702:K1701," ",0)</f>
        <v>75</v>
      </c>
    </row>
    <row r="703" spans="1:3" x14ac:dyDescent="0.25">
      <c r="A703" t="s">
        <v>731</v>
      </c>
      <c r="B703">
        <f>_xlfn.XLOOKUP(A703,'Subbu- Mini Project EXcel Clean'!A703:A1702,'Subbu- Mini Project EXcel Clean'!L703:L1702," ",0)</f>
        <v>159</v>
      </c>
      <c r="C703">
        <f>_xlfn.XLOOKUP(A703,'Subbu- Mini Project EXcel Clean'!A703:A1702,'Subbu- Mini Project EXcel Clean'!K703:K1702," ",0)</f>
        <v>66.3</v>
      </c>
    </row>
    <row r="704" spans="1:3" x14ac:dyDescent="0.25">
      <c r="A704" t="s">
        <v>732</v>
      </c>
      <c r="B704">
        <f>_xlfn.XLOOKUP(A704,'Subbu- Mini Project EXcel Clean'!A704:A1703,'Subbu- Mini Project EXcel Clean'!L704:L1703," ",0)</f>
        <v>178</v>
      </c>
      <c r="C704">
        <f>_xlfn.XLOOKUP(A704,'Subbu- Mini Project EXcel Clean'!A704:A1703,'Subbu- Mini Project EXcel Clean'!K704:K1703," ",0)</f>
        <v>74.099999999999994</v>
      </c>
    </row>
    <row r="705" spans="1:3" x14ac:dyDescent="0.25">
      <c r="A705" t="s">
        <v>733</v>
      </c>
      <c r="B705">
        <f>_xlfn.XLOOKUP(A705,'Subbu- Mini Project EXcel Clean'!A705:A1704,'Subbu- Mini Project EXcel Clean'!L705:L1704," ",0)</f>
        <v>159</v>
      </c>
      <c r="C705">
        <f>_xlfn.XLOOKUP(A705,'Subbu- Mini Project EXcel Clean'!A705:A1704,'Subbu- Mini Project EXcel Clean'!K705:K1704," ",0)</f>
        <v>66.2</v>
      </c>
    </row>
    <row r="706" spans="1:3" x14ac:dyDescent="0.25">
      <c r="A706" t="s">
        <v>734</v>
      </c>
      <c r="B706">
        <f>_xlfn.XLOOKUP(A706,'Subbu- Mini Project EXcel Clean'!A706:A1705,'Subbu- Mini Project EXcel Clean'!L706:L1705," ",0)</f>
        <v>144</v>
      </c>
      <c r="C706">
        <f>_xlfn.XLOOKUP(A706,'Subbu- Mini Project EXcel Clean'!A706:A1705,'Subbu- Mini Project EXcel Clean'!K706:K1705," ",0)</f>
        <v>59.9</v>
      </c>
    </row>
    <row r="707" spans="1:3" x14ac:dyDescent="0.25">
      <c r="A707" t="s">
        <v>735</v>
      </c>
      <c r="B707">
        <f>_xlfn.XLOOKUP(A707,'Subbu- Mini Project EXcel Clean'!A707:A1706,'Subbu- Mini Project EXcel Clean'!L707:L1706," ",0)</f>
        <v>218</v>
      </c>
      <c r="C707">
        <f>_xlfn.XLOOKUP(A707,'Subbu- Mini Project EXcel Clean'!A707:A1706,'Subbu- Mini Project EXcel Clean'!K707:K1706," ",0)</f>
        <v>90.9</v>
      </c>
    </row>
    <row r="708" spans="1:3" x14ac:dyDescent="0.25">
      <c r="A708" t="s">
        <v>736</v>
      </c>
      <c r="B708">
        <f>_xlfn.XLOOKUP(A708,'Subbu- Mini Project EXcel Clean'!A708:A1707,'Subbu- Mini Project EXcel Clean'!L708:L1707," ",0)</f>
        <v>164</v>
      </c>
      <c r="C708">
        <f>_xlfn.XLOOKUP(A708,'Subbu- Mini Project EXcel Clean'!A708:A1707,'Subbu- Mini Project EXcel Clean'!K708:K1707," ",0)</f>
        <v>68.400000000000006</v>
      </c>
    </row>
    <row r="709" spans="1:3" x14ac:dyDescent="0.25">
      <c r="A709" t="s">
        <v>737</v>
      </c>
      <c r="B709">
        <f>_xlfn.XLOOKUP(A709,'Subbu- Mini Project EXcel Clean'!A709:A1708,'Subbu- Mini Project EXcel Clean'!L709:L1708," ",0)</f>
        <v>185</v>
      </c>
      <c r="C709">
        <f>_xlfn.XLOOKUP(A709,'Subbu- Mini Project EXcel Clean'!A709:A1708,'Subbu- Mini Project EXcel Clean'!K709:K1708," ",0)</f>
        <v>76.900000000000006</v>
      </c>
    </row>
    <row r="710" spans="1:3" x14ac:dyDescent="0.25">
      <c r="A710" t="s">
        <v>738</v>
      </c>
      <c r="B710">
        <f>_xlfn.XLOOKUP(A710,'Subbu- Mini Project EXcel Clean'!A710:A1709,'Subbu- Mini Project EXcel Clean'!L710:L1709," ",0)</f>
        <v>156</v>
      </c>
      <c r="C710">
        <f>_xlfn.XLOOKUP(A710,'Subbu- Mini Project EXcel Clean'!A710:A1709,'Subbu- Mini Project EXcel Clean'!K710:K1709," ",0)</f>
        <v>65</v>
      </c>
    </row>
    <row r="711" spans="1:3" x14ac:dyDescent="0.25">
      <c r="A711" t="s">
        <v>739</v>
      </c>
      <c r="B711">
        <f>_xlfn.XLOOKUP(A711,'Subbu- Mini Project EXcel Clean'!A711:A1710,'Subbu- Mini Project EXcel Clean'!L711:L1710," ",0)</f>
        <v>190</v>
      </c>
      <c r="C711">
        <f>_xlfn.XLOOKUP(A711,'Subbu- Mini Project EXcel Clean'!A711:A1710,'Subbu- Mini Project EXcel Clean'!K711:K1710," ",0)</f>
        <v>79.2</v>
      </c>
    </row>
    <row r="712" spans="1:3" x14ac:dyDescent="0.25">
      <c r="A712" t="s">
        <v>740</v>
      </c>
      <c r="B712">
        <f>_xlfn.XLOOKUP(A712,'Subbu- Mini Project EXcel Clean'!A712:A1711,'Subbu- Mini Project EXcel Clean'!L712:L1711," ",0)</f>
        <v>205</v>
      </c>
      <c r="C712">
        <f>_xlfn.XLOOKUP(A712,'Subbu- Mini Project EXcel Clean'!A712:A1711,'Subbu- Mini Project EXcel Clean'!K712:K1711," ",0)</f>
        <v>85.5</v>
      </c>
    </row>
    <row r="713" spans="1:3" x14ac:dyDescent="0.25">
      <c r="A713" t="s">
        <v>741</v>
      </c>
      <c r="B713">
        <f>_xlfn.XLOOKUP(A713,'Subbu- Mini Project EXcel Clean'!A713:A1712,'Subbu- Mini Project EXcel Clean'!L713:L1712," ",0)</f>
        <v>181</v>
      </c>
      <c r="C713">
        <f>_xlfn.XLOOKUP(A713,'Subbu- Mini Project EXcel Clean'!A713:A1712,'Subbu- Mini Project EXcel Clean'!K713:K1712," ",0)</f>
        <v>75.5</v>
      </c>
    </row>
    <row r="714" spans="1:3" x14ac:dyDescent="0.25">
      <c r="A714" t="s">
        <v>742</v>
      </c>
      <c r="B714">
        <f>_xlfn.XLOOKUP(A714,'Subbu- Mini Project EXcel Clean'!A714:A1713,'Subbu- Mini Project EXcel Clean'!L714:L1713," ",0)</f>
        <v>161</v>
      </c>
      <c r="C714">
        <f>_xlfn.XLOOKUP(A714,'Subbu- Mini Project EXcel Clean'!A714:A1713,'Subbu- Mini Project EXcel Clean'!K714:K1713," ",0)</f>
        <v>66.900000000000006</v>
      </c>
    </row>
    <row r="715" spans="1:3" x14ac:dyDescent="0.25">
      <c r="A715" t="s">
        <v>743</v>
      </c>
      <c r="B715">
        <f>_xlfn.XLOOKUP(A715,'Subbu- Mini Project EXcel Clean'!A715:A1714,'Subbu- Mini Project EXcel Clean'!L715:L1714," ",0)</f>
        <v>172</v>
      </c>
      <c r="C715">
        <f>_xlfn.XLOOKUP(A715,'Subbu- Mini Project EXcel Clean'!A715:A1714,'Subbu- Mini Project EXcel Clean'!K715:K1714," ",0)</f>
        <v>71.599999999999994</v>
      </c>
    </row>
    <row r="716" spans="1:3" x14ac:dyDescent="0.25">
      <c r="A716" t="s">
        <v>744</v>
      </c>
      <c r="B716">
        <f>_xlfn.XLOOKUP(A716,'Subbu- Mini Project EXcel Clean'!A716:A1715,'Subbu- Mini Project EXcel Clean'!L716:L1715," ",0)</f>
        <v>168</v>
      </c>
      <c r="C716">
        <f>_xlfn.XLOOKUP(A716,'Subbu- Mini Project EXcel Clean'!A716:A1715,'Subbu- Mini Project EXcel Clean'!K716:K1715," ",0)</f>
        <v>70.2</v>
      </c>
    </row>
    <row r="717" spans="1:3" x14ac:dyDescent="0.25">
      <c r="A717" t="s">
        <v>745</v>
      </c>
      <c r="B717">
        <f>_xlfn.XLOOKUP(A717,'Subbu- Mini Project EXcel Clean'!A717:A1716,'Subbu- Mini Project EXcel Clean'!L717:L1716," ",0)</f>
        <v>208</v>
      </c>
      <c r="C717">
        <f>_xlfn.XLOOKUP(A717,'Subbu- Mini Project EXcel Clean'!A717:A1716,'Subbu- Mini Project EXcel Clean'!K717:K1716," ",0)</f>
        <v>86.5</v>
      </c>
    </row>
    <row r="718" spans="1:3" x14ac:dyDescent="0.25">
      <c r="A718" t="s">
        <v>746</v>
      </c>
      <c r="B718">
        <f>_xlfn.XLOOKUP(A718,'Subbu- Mini Project EXcel Clean'!A718:A1717,'Subbu- Mini Project EXcel Clean'!L718:L1717," ",0)</f>
        <v>210</v>
      </c>
      <c r="C718">
        <f>_xlfn.XLOOKUP(A718,'Subbu- Mini Project EXcel Clean'!A718:A1717,'Subbu- Mini Project EXcel Clean'!K718:K1717," ",0)</f>
        <v>87.4</v>
      </c>
    </row>
    <row r="719" spans="1:3" x14ac:dyDescent="0.25">
      <c r="A719" t="s">
        <v>747</v>
      </c>
      <c r="B719">
        <f>_xlfn.XLOOKUP(A719,'Subbu- Mini Project EXcel Clean'!A719:A1718,'Subbu- Mini Project EXcel Clean'!L719:L1718," ",0)</f>
        <v>220</v>
      </c>
      <c r="C719">
        <f>_xlfn.XLOOKUP(A719,'Subbu- Mini Project EXcel Clean'!A719:A1718,'Subbu- Mini Project EXcel Clean'!K719:K1718," ",0)</f>
        <v>91.6</v>
      </c>
    </row>
    <row r="720" spans="1:3" x14ac:dyDescent="0.25">
      <c r="A720" t="s">
        <v>748</v>
      </c>
      <c r="B720">
        <f>_xlfn.XLOOKUP(A720,'Subbu- Mini Project EXcel Clean'!A720:A1719,'Subbu- Mini Project EXcel Clean'!L720:L1719," ",0)</f>
        <v>145</v>
      </c>
      <c r="C720">
        <f>_xlfn.XLOOKUP(A720,'Subbu- Mini Project EXcel Clean'!A720:A1719,'Subbu- Mini Project EXcel Clean'!K720:K1719," ",0)</f>
        <v>60.4</v>
      </c>
    </row>
    <row r="721" spans="1:3" x14ac:dyDescent="0.25">
      <c r="A721" t="s">
        <v>749</v>
      </c>
      <c r="B721">
        <f>_xlfn.XLOOKUP(A721,'Subbu- Mini Project EXcel Clean'!A721:A1720,'Subbu- Mini Project EXcel Clean'!L721:L1720," ",0)</f>
        <v>185</v>
      </c>
      <c r="C721">
        <f>_xlfn.XLOOKUP(A721,'Subbu- Mini Project EXcel Clean'!A721:A1720,'Subbu- Mini Project EXcel Clean'!K721:K1720," ",0)</f>
        <v>77</v>
      </c>
    </row>
    <row r="722" spans="1:3" x14ac:dyDescent="0.25">
      <c r="A722" t="s">
        <v>750</v>
      </c>
      <c r="B722">
        <f>_xlfn.XLOOKUP(A722,'Subbu- Mini Project EXcel Clean'!A722:A1721,'Subbu- Mini Project EXcel Clean'!L722:L1721," ",0)</f>
        <v>193</v>
      </c>
      <c r="C722">
        <f>_xlfn.XLOOKUP(A722,'Subbu- Mini Project EXcel Clean'!A722:A1721,'Subbu- Mini Project EXcel Clean'!K722:K1721," ",0)</f>
        <v>80.599999999999994</v>
      </c>
    </row>
    <row r="723" spans="1:3" x14ac:dyDescent="0.25">
      <c r="A723" t="s">
        <v>751</v>
      </c>
      <c r="B723">
        <f>_xlfn.XLOOKUP(A723,'Subbu- Mini Project EXcel Clean'!A723:A1722,'Subbu- Mini Project EXcel Clean'!L723:L1722," ",0)</f>
        <v>164</v>
      </c>
      <c r="C723">
        <f>_xlfn.XLOOKUP(A723,'Subbu- Mini Project EXcel Clean'!A723:A1722,'Subbu- Mini Project EXcel Clean'!K723:K1722," ",0)</f>
        <v>68.5</v>
      </c>
    </row>
    <row r="724" spans="1:3" x14ac:dyDescent="0.25">
      <c r="A724" t="s">
        <v>752</v>
      </c>
      <c r="B724">
        <f>_xlfn.XLOOKUP(A724,'Subbu- Mini Project EXcel Clean'!A724:A1723,'Subbu- Mini Project EXcel Clean'!L724:L1723," ",0)</f>
        <v>166</v>
      </c>
      <c r="C724">
        <f>_xlfn.XLOOKUP(A724,'Subbu- Mini Project EXcel Clean'!A724:A1723,'Subbu- Mini Project EXcel Clean'!K724:K1723," ",0)</f>
        <v>69.099999999999994</v>
      </c>
    </row>
    <row r="725" spans="1:3" x14ac:dyDescent="0.25">
      <c r="A725" t="s">
        <v>753</v>
      </c>
      <c r="B725">
        <f>_xlfn.XLOOKUP(A725,'Subbu- Mini Project EXcel Clean'!A725:A1724,'Subbu- Mini Project EXcel Clean'!L725:L1724," ",0)</f>
        <v>189</v>
      </c>
      <c r="C725">
        <f>_xlfn.XLOOKUP(A725,'Subbu- Mini Project EXcel Clean'!A725:A1724,'Subbu- Mini Project EXcel Clean'!K725:K1724," ",0)</f>
        <v>78.8</v>
      </c>
    </row>
    <row r="726" spans="1:3" x14ac:dyDescent="0.25">
      <c r="A726" t="s">
        <v>754</v>
      </c>
      <c r="B726">
        <f>_xlfn.XLOOKUP(A726,'Subbu- Mini Project EXcel Clean'!A726:A1725,'Subbu- Mini Project EXcel Clean'!L726:L1725," ",0)</f>
        <v>179</v>
      </c>
      <c r="C726">
        <f>_xlfn.XLOOKUP(A726,'Subbu- Mini Project EXcel Clean'!A726:A1725,'Subbu- Mini Project EXcel Clean'!K726:K1725," ",0)</f>
        <v>74.599999999999994</v>
      </c>
    </row>
    <row r="727" spans="1:3" x14ac:dyDescent="0.25">
      <c r="A727" t="s">
        <v>755</v>
      </c>
      <c r="B727">
        <f>_xlfn.XLOOKUP(A727,'Subbu- Mini Project EXcel Clean'!A727:A1726,'Subbu- Mini Project EXcel Clean'!L727:L1726," ",0)</f>
        <v>217</v>
      </c>
      <c r="C727">
        <f>_xlfn.XLOOKUP(A727,'Subbu- Mini Project EXcel Clean'!A727:A1726,'Subbu- Mini Project EXcel Clean'!K727:K1726," ",0)</f>
        <v>90.5</v>
      </c>
    </row>
    <row r="728" spans="1:3" x14ac:dyDescent="0.25">
      <c r="A728" t="s">
        <v>756</v>
      </c>
      <c r="B728">
        <f>_xlfn.XLOOKUP(A728,'Subbu- Mini Project EXcel Clean'!A728:A1727,'Subbu- Mini Project EXcel Clean'!L728:L1727," ",0)</f>
        <v>159</v>
      </c>
      <c r="C728">
        <f>_xlfn.XLOOKUP(A728,'Subbu- Mini Project EXcel Clean'!A728:A1727,'Subbu- Mini Project EXcel Clean'!K728:K1727," ",0)</f>
        <v>66.400000000000006</v>
      </c>
    </row>
    <row r="729" spans="1:3" x14ac:dyDescent="0.25">
      <c r="A729" t="s">
        <v>757</v>
      </c>
      <c r="B729">
        <f>_xlfn.XLOOKUP(A729,'Subbu- Mini Project EXcel Clean'!A729:A1728,'Subbu- Mini Project EXcel Clean'!L729:L1728," ",0)</f>
        <v>202</v>
      </c>
      <c r="C729">
        <f>_xlfn.XLOOKUP(A729,'Subbu- Mini Project EXcel Clean'!A729:A1728,'Subbu- Mini Project EXcel Clean'!K729:K1728," ",0)</f>
        <v>84.1</v>
      </c>
    </row>
    <row r="730" spans="1:3" x14ac:dyDescent="0.25">
      <c r="A730" t="s">
        <v>758</v>
      </c>
      <c r="B730">
        <f>_xlfn.XLOOKUP(A730,'Subbu- Mini Project EXcel Clean'!A730:A1729,'Subbu- Mini Project EXcel Clean'!L730:L1729," ",0)</f>
        <v>143</v>
      </c>
      <c r="C730">
        <f>_xlfn.XLOOKUP(A730,'Subbu- Mini Project EXcel Clean'!A730:A1729,'Subbu- Mini Project EXcel Clean'!K730:K1729," ",0)</f>
        <v>59.6</v>
      </c>
    </row>
    <row r="731" spans="1:3" x14ac:dyDescent="0.25">
      <c r="A731" t="s">
        <v>759</v>
      </c>
      <c r="B731">
        <f>_xlfn.XLOOKUP(A731,'Subbu- Mini Project EXcel Clean'!A731:A1730,'Subbu- Mini Project EXcel Clean'!L731:L1730," ",0)</f>
        <v>163</v>
      </c>
      <c r="C731">
        <f>_xlfn.XLOOKUP(A731,'Subbu- Mini Project EXcel Clean'!A731:A1730,'Subbu- Mini Project EXcel Clean'!K731:K1730," ",0)</f>
        <v>67.900000000000006</v>
      </c>
    </row>
    <row r="732" spans="1:3" x14ac:dyDescent="0.25">
      <c r="A732" t="s">
        <v>760</v>
      </c>
      <c r="B732">
        <f>_xlfn.XLOOKUP(A732,'Subbu- Mini Project EXcel Clean'!A732:A1731,'Subbu- Mini Project EXcel Clean'!L732:L1731," ",0)</f>
        <v>144</v>
      </c>
      <c r="C732">
        <f>_xlfn.XLOOKUP(A732,'Subbu- Mini Project EXcel Clean'!A732:A1731,'Subbu- Mini Project EXcel Clean'!K732:K1731," ",0)</f>
        <v>59.9</v>
      </c>
    </row>
    <row r="733" spans="1:3" x14ac:dyDescent="0.25">
      <c r="A733" t="s">
        <v>761</v>
      </c>
      <c r="B733">
        <f>_xlfn.XLOOKUP(A733,'Subbu- Mini Project EXcel Clean'!A733:A1732,'Subbu- Mini Project EXcel Clean'!L733:L1732," ",0)</f>
        <v>184</v>
      </c>
      <c r="C733">
        <f>_xlfn.XLOOKUP(A733,'Subbu- Mini Project EXcel Clean'!A733:A1732,'Subbu- Mini Project EXcel Clean'!K733:K1732," ",0)</f>
        <v>76.7</v>
      </c>
    </row>
    <row r="734" spans="1:3" x14ac:dyDescent="0.25">
      <c r="A734" t="s">
        <v>762</v>
      </c>
      <c r="B734">
        <f>_xlfn.XLOOKUP(A734,'Subbu- Mini Project EXcel Clean'!A734:A1733,'Subbu- Mini Project EXcel Clean'!L734:L1733," ",0)</f>
        <v>184</v>
      </c>
      <c r="C734">
        <f>_xlfn.XLOOKUP(A734,'Subbu- Mini Project EXcel Clean'!A734:A1733,'Subbu- Mini Project EXcel Clean'!K734:K1733," ",0)</f>
        <v>76.599999999999994</v>
      </c>
    </row>
    <row r="735" spans="1:3" x14ac:dyDescent="0.25">
      <c r="A735" t="s">
        <v>763</v>
      </c>
      <c r="B735">
        <f>_xlfn.XLOOKUP(A735,'Subbu- Mini Project EXcel Clean'!A735:A1734,'Subbu- Mini Project EXcel Clean'!L735:L1734," ",0)</f>
        <v>172</v>
      </c>
      <c r="C735">
        <f>_xlfn.XLOOKUP(A735,'Subbu- Mini Project EXcel Clean'!A735:A1734,'Subbu- Mini Project EXcel Clean'!K735:K1734," ",0)</f>
        <v>71.5</v>
      </c>
    </row>
    <row r="736" spans="1:3" x14ac:dyDescent="0.25">
      <c r="A736" t="s">
        <v>764</v>
      </c>
      <c r="B736">
        <f>_xlfn.XLOOKUP(A736,'Subbu- Mini Project EXcel Clean'!A736:A1735,'Subbu- Mini Project EXcel Clean'!L736:L1735," ",0)</f>
        <v>165</v>
      </c>
      <c r="C736">
        <f>_xlfn.XLOOKUP(A736,'Subbu- Mini Project EXcel Clean'!A736:A1735,'Subbu- Mini Project EXcel Clean'!K736:K1735," ",0)</f>
        <v>68.8</v>
      </c>
    </row>
    <row r="737" spans="1:3" x14ac:dyDescent="0.25">
      <c r="A737" t="s">
        <v>765</v>
      </c>
      <c r="B737">
        <f>_xlfn.XLOOKUP(A737,'Subbu- Mini Project EXcel Clean'!A737:A1736,'Subbu- Mini Project EXcel Clean'!L737:L1736," ",0)</f>
        <v>185</v>
      </c>
      <c r="C737">
        <f>_xlfn.XLOOKUP(A737,'Subbu- Mini Project EXcel Clean'!A737:A1736,'Subbu- Mini Project EXcel Clean'!K737:K1736," ",0)</f>
        <v>76.900000000000006</v>
      </c>
    </row>
    <row r="738" spans="1:3" x14ac:dyDescent="0.25">
      <c r="A738" t="s">
        <v>766</v>
      </c>
      <c r="B738">
        <f>_xlfn.XLOOKUP(A738,'Subbu- Mini Project EXcel Clean'!A738:A1737,'Subbu- Mini Project EXcel Clean'!L738:L1737," ",0)</f>
        <v>181</v>
      </c>
      <c r="C738">
        <f>_xlfn.XLOOKUP(A738,'Subbu- Mini Project EXcel Clean'!A738:A1737,'Subbu- Mini Project EXcel Clean'!K738:K1737," ",0)</f>
        <v>75.599999999999994</v>
      </c>
    </row>
    <row r="739" spans="1:3" x14ac:dyDescent="0.25">
      <c r="A739" t="s">
        <v>767</v>
      </c>
      <c r="B739">
        <f>_xlfn.XLOOKUP(A739,'Subbu- Mini Project EXcel Clean'!A739:A1738,'Subbu- Mini Project EXcel Clean'!L739:L1738," ",0)</f>
        <v>211</v>
      </c>
      <c r="C739">
        <f>_xlfn.XLOOKUP(A739,'Subbu- Mini Project EXcel Clean'!A739:A1738,'Subbu- Mini Project EXcel Clean'!K739:K1738," ",0)</f>
        <v>88.1</v>
      </c>
    </row>
    <row r="740" spans="1:3" x14ac:dyDescent="0.25">
      <c r="A740" t="s">
        <v>768</v>
      </c>
      <c r="B740">
        <f>_xlfn.XLOOKUP(A740,'Subbu- Mini Project EXcel Clean'!A740:A1739,'Subbu- Mini Project EXcel Clean'!L740:L1739," ",0)</f>
        <v>150</v>
      </c>
      <c r="C740">
        <f>_xlfn.XLOOKUP(A740,'Subbu- Mini Project EXcel Clean'!A740:A1739,'Subbu- Mini Project EXcel Clean'!K740:K1739," ",0)</f>
        <v>62.3</v>
      </c>
    </row>
    <row r="741" spans="1:3" x14ac:dyDescent="0.25">
      <c r="A741" t="s">
        <v>769</v>
      </c>
      <c r="B741">
        <f>_xlfn.XLOOKUP(A741,'Subbu- Mini Project EXcel Clean'!A741:A1740,'Subbu- Mini Project EXcel Clean'!L741:L1740," ",0)</f>
        <v>181</v>
      </c>
      <c r="C741">
        <f>_xlfn.XLOOKUP(A741,'Subbu- Mini Project EXcel Clean'!A741:A1740,'Subbu- Mini Project EXcel Clean'!K741:K1740," ",0)</f>
        <v>75.3</v>
      </c>
    </row>
    <row r="742" spans="1:3" x14ac:dyDescent="0.25">
      <c r="A742" t="s">
        <v>770</v>
      </c>
      <c r="B742">
        <f>_xlfn.XLOOKUP(A742,'Subbu- Mini Project EXcel Clean'!A742:A1741,'Subbu- Mini Project EXcel Clean'!L742:L1741," ",0)</f>
        <v>165</v>
      </c>
      <c r="C742">
        <f>_xlfn.XLOOKUP(A742,'Subbu- Mini Project EXcel Clean'!A742:A1741,'Subbu- Mini Project EXcel Clean'!K742:K1741," ",0)</f>
        <v>68.7</v>
      </c>
    </row>
    <row r="743" spans="1:3" x14ac:dyDescent="0.25">
      <c r="A743" t="s">
        <v>771</v>
      </c>
      <c r="B743">
        <f>_xlfn.XLOOKUP(A743,'Subbu- Mini Project EXcel Clean'!A743:A1742,'Subbu- Mini Project EXcel Clean'!L743:L1742," ",0)</f>
        <v>174</v>
      </c>
      <c r="C743">
        <f>_xlfn.XLOOKUP(A743,'Subbu- Mini Project EXcel Clean'!A743:A1742,'Subbu- Mini Project EXcel Clean'!K743:K1742," ",0)</f>
        <v>72.599999999999994</v>
      </c>
    </row>
    <row r="744" spans="1:3" x14ac:dyDescent="0.25">
      <c r="A744" t="s">
        <v>772</v>
      </c>
      <c r="B744">
        <f>_xlfn.XLOOKUP(A744,'Subbu- Mini Project EXcel Clean'!A744:A1743,'Subbu- Mini Project EXcel Clean'!L744:L1743," ",0)</f>
        <v>192</v>
      </c>
      <c r="C744">
        <f>_xlfn.XLOOKUP(A744,'Subbu- Mini Project EXcel Clean'!A744:A1743,'Subbu- Mini Project EXcel Clean'!K744:K1743," ",0)</f>
        <v>80.2</v>
      </c>
    </row>
    <row r="745" spans="1:3" x14ac:dyDescent="0.25">
      <c r="A745" t="s">
        <v>773</v>
      </c>
      <c r="B745">
        <f>_xlfn.XLOOKUP(A745,'Subbu- Mini Project EXcel Clean'!A745:A1744,'Subbu- Mini Project EXcel Clean'!L745:L1744," ",0)</f>
        <v>178</v>
      </c>
      <c r="C745">
        <f>_xlfn.XLOOKUP(A745,'Subbu- Mini Project EXcel Clean'!A745:A1744,'Subbu- Mini Project EXcel Clean'!K745:K1744," ",0)</f>
        <v>74</v>
      </c>
    </row>
    <row r="746" spans="1:3" x14ac:dyDescent="0.25">
      <c r="A746" t="s">
        <v>774</v>
      </c>
      <c r="B746">
        <f>_xlfn.XLOOKUP(A746,'Subbu- Mini Project EXcel Clean'!A746:A1745,'Subbu- Mini Project EXcel Clean'!L746:L1745," ",0)</f>
        <v>157</v>
      </c>
      <c r="C746">
        <f>_xlfn.XLOOKUP(A746,'Subbu- Mini Project EXcel Clean'!A746:A1745,'Subbu- Mini Project EXcel Clean'!K746:K1745," ",0)</f>
        <v>65.5</v>
      </c>
    </row>
    <row r="747" spans="1:3" x14ac:dyDescent="0.25">
      <c r="A747" t="s">
        <v>775</v>
      </c>
      <c r="B747">
        <f>_xlfn.XLOOKUP(A747,'Subbu- Mini Project EXcel Clean'!A747:A1746,'Subbu- Mini Project EXcel Clean'!L747:L1746," ",0)</f>
        <v>218</v>
      </c>
      <c r="C747">
        <f>_xlfn.XLOOKUP(A747,'Subbu- Mini Project EXcel Clean'!A747:A1746,'Subbu- Mini Project EXcel Clean'!K747:K1746," ",0)</f>
        <v>90.8</v>
      </c>
    </row>
    <row r="748" spans="1:3" x14ac:dyDescent="0.25">
      <c r="A748" t="s">
        <v>776</v>
      </c>
      <c r="B748">
        <f>_xlfn.XLOOKUP(A748,'Subbu- Mini Project EXcel Clean'!A748:A1747,'Subbu- Mini Project EXcel Clean'!L748:L1747," ",0)</f>
        <v>155</v>
      </c>
      <c r="C748">
        <f>_xlfn.XLOOKUP(A748,'Subbu- Mini Project EXcel Clean'!A748:A1747,'Subbu- Mini Project EXcel Clean'!K748:K1747," ",0)</f>
        <v>64.400000000000006</v>
      </c>
    </row>
    <row r="749" spans="1:3" x14ac:dyDescent="0.25">
      <c r="A749" t="s">
        <v>777</v>
      </c>
      <c r="B749">
        <f>_xlfn.XLOOKUP(A749,'Subbu- Mini Project EXcel Clean'!A749:A1748,'Subbu- Mini Project EXcel Clean'!L749:L1748," ",0)</f>
        <v>187</v>
      </c>
      <c r="C749">
        <f>_xlfn.XLOOKUP(A749,'Subbu- Mini Project EXcel Clean'!A749:A1748,'Subbu- Mini Project EXcel Clean'!K749:K1748," ",0)</f>
        <v>78</v>
      </c>
    </row>
    <row r="750" spans="1:3" x14ac:dyDescent="0.25">
      <c r="A750" t="s">
        <v>778</v>
      </c>
      <c r="B750">
        <f>_xlfn.XLOOKUP(A750,'Subbu- Mini Project EXcel Clean'!A750:A1749,'Subbu- Mini Project EXcel Clean'!L750:L1749," ",0)</f>
        <v>217</v>
      </c>
      <c r="C750">
        <f>_xlfn.XLOOKUP(A750,'Subbu- Mini Project EXcel Clean'!A750:A1749,'Subbu- Mini Project EXcel Clean'!K750:K1749," ",0)</f>
        <v>90.4</v>
      </c>
    </row>
    <row r="751" spans="1:3" x14ac:dyDescent="0.25">
      <c r="A751" t="s">
        <v>779</v>
      </c>
      <c r="B751">
        <f>_xlfn.XLOOKUP(A751,'Subbu- Mini Project EXcel Clean'!A751:A1750,'Subbu- Mini Project EXcel Clean'!L751:L1750," ",0)</f>
        <v>194</v>
      </c>
      <c r="C751">
        <f>_xlfn.XLOOKUP(A751,'Subbu- Mini Project EXcel Clean'!A751:A1750,'Subbu- Mini Project EXcel Clean'!K751:K1750," ",0)</f>
        <v>80.7</v>
      </c>
    </row>
    <row r="752" spans="1:3" x14ac:dyDescent="0.25">
      <c r="A752" t="s">
        <v>780</v>
      </c>
      <c r="B752">
        <f>_xlfn.XLOOKUP(A752,'Subbu- Mini Project EXcel Clean'!A752:A1751,'Subbu- Mini Project EXcel Clean'!L752:L1751," ",0)</f>
        <v>180</v>
      </c>
      <c r="C752">
        <f>_xlfn.XLOOKUP(A752,'Subbu- Mini Project EXcel Clean'!A752:A1751,'Subbu- Mini Project EXcel Clean'!K752:K1751," ",0)</f>
        <v>74.8</v>
      </c>
    </row>
    <row r="753" spans="1:3" x14ac:dyDescent="0.25">
      <c r="A753" t="s">
        <v>781</v>
      </c>
      <c r="B753">
        <f>_xlfn.XLOOKUP(A753,'Subbu- Mini Project EXcel Clean'!A753:A1752,'Subbu- Mini Project EXcel Clean'!L753:L1752," ",0)</f>
        <v>200</v>
      </c>
      <c r="C753">
        <f>_xlfn.XLOOKUP(A753,'Subbu- Mini Project EXcel Clean'!A753:A1752,'Subbu- Mini Project EXcel Clean'!K753:K1752," ",0)</f>
        <v>83.2</v>
      </c>
    </row>
    <row r="754" spans="1:3" x14ac:dyDescent="0.25">
      <c r="A754" t="s">
        <v>782</v>
      </c>
      <c r="B754">
        <f>_xlfn.XLOOKUP(A754,'Subbu- Mini Project EXcel Clean'!A754:A1753,'Subbu- Mini Project EXcel Clean'!L754:L1753," ",0)</f>
        <v>197</v>
      </c>
      <c r="C754">
        <f>_xlfn.XLOOKUP(A754,'Subbu- Mini Project EXcel Clean'!A754:A1753,'Subbu- Mini Project EXcel Clean'!K754:K1753," ",0)</f>
        <v>82</v>
      </c>
    </row>
    <row r="755" spans="1:3" x14ac:dyDescent="0.25">
      <c r="A755" t="s">
        <v>783</v>
      </c>
      <c r="B755">
        <f>_xlfn.XLOOKUP(A755,'Subbu- Mini Project EXcel Clean'!A755:A1754,'Subbu- Mini Project EXcel Clean'!L755:L1754," ",0)</f>
        <v>165</v>
      </c>
      <c r="C755">
        <f>_xlfn.XLOOKUP(A755,'Subbu- Mini Project EXcel Clean'!A755:A1754,'Subbu- Mini Project EXcel Clean'!K755:K1754," ",0)</f>
        <v>68.7</v>
      </c>
    </row>
    <row r="756" spans="1:3" x14ac:dyDescent="0.25">
      <c r="A756" t="s">
        <v>784</v>
      </c>
      <c r="B756">
        <f>_xlfn.XLOOKUP(A756,'Subbu- Mini Project EXcel Clean'!A756:A1755,'Subbu- Mini Project EXcel Clean'!L756:L1755," ",0)</f>
        <v>168</v>
      </c>
      <c r="C756">
        <f>_xlfn.XLOOKUP(A756,'Subbu- Mini Project EXcel Clean'!A756:A1755,'Subbu- Mini Project EXcel Clean'!K756:K1755," ",0)</f>
        <v>70</v>
      </c>
    </row>
    <row r="757" spans="1:3" x14ac:dyDescent="0.25">
      <c r="A757" t="s">
        <v>785</v>
      </c>
      <c r="B757">
        <f>_xlfn.XLOOKUP(A757,'Subbu- Mini Project EXcel Clean'!A757:A1756,'Subbu- Mini Project EXcel Clean'!L757:L1756," ",0)</f>
        <v>196</v>
      </c>
      <c r="C757">
        <f>_xlfn.XLOOKUP(A757,'Subbu- Mini Project EXcel Clean'!A757:A1756,'Subbu- Mini Project EXcel Clean'!K757:K1756," ",0)</f>
        <v>81.8</v>
      </c>
    </row>
    <row r="758" spans="1:3" x14ac:dyDescent="0.25">
      <c r="A758" t="s">
        <v>786</v>
      </c>
      <c r="B758">
        <f>_xlfn.XLOOKUP(A758,'Subbu- Mini Project EXcel Clean'!A758:A1757,'Subbu- Mini Project EXcel Clean'!L758:L1757," ",0)</f>
        <v>180</v>
      </c>
      <c r="C758">
        <f>_xlfn.XLOOKUP(A758,'Subbu- Mini Project EXcel Clean'!A758:A1757,'Subbu- Mini Project EXcel Clean'!K758:K1757," ",0)</f>
        <v>75.099999999999994</v>
      </c>
    </row>
    <row r="759" spans="1:3" x14ac:dyDescent="0.25">
      <c r="A759" t="s">
        <v>787</v>
      </c>
      <c r="B759">
        <f>_xlfn.XLOOKUP(A759,'Subbu- Mini Project EXcel Clean'!A759:A1758,'Subbu- Mini Project EXcel Clean'!L759:L1758," ",0)</f>
        <v>195</v>
      </c>
      <c r="C759">
        <f>_xlfn.XLOOKUP(A759,'Subbu- Mini Project EXcel Clean'!A759:A1758,'Subbu- Mini Project EXcel Clean'!K759:K1758," ",0)</f>
        <v>81.2</v>
      </c>
    </row>
    <row r="760" spans="1:3" x14ac:dyDescent="0.25">
      <c r="A760" t="s">
        <v>788</v>
      </c>
      <c r="B760">
        <f>_xlfn.XLOOKUP(A760,'Subbu- Mini Project EXcel Clean'!A760:A1759,'Subbu- Mini Project EXcel Clean'!L760:L1759," ",0)</f>
        <v>197</v>
      </c>
      <c r="C760">
        <f>_xlfn.XLOOKUP(A760,'Subbu- Mini Project EXcel Clean'!A760:A1759,'Subbu- Mini Project EXcel Clean'!K760:K1759," ",0)</f>
        <v>82.1</v>
      </c>
    </row>
    <row r="761" spans="1:3" x14ac:dyDescent="0.25">
      <c r="A761" t="s">
        <v>789</v>
      </c>
      <c r="B761">
        <f>_xlfn.XLOOKUP(A761,'Subbu- Mini Project EXcel Clean'!A761:A1760,'Subbu- Mini Project EXcel Clean'!L761:L1760," ",0)</f>
        <v>179</v>
      </c>
      <c r="C761">
        <f>_xlfn.XLOOKUP(A761,'Subbu- Mini Project EXcel Clean'!A761:A1760,'Subbu- Mini Project EXcel Clean'!K761:K1760," ",0)</f>
        <v>74.599999999999994</v>
      </c>
    </row>
    <row r="762" spans="1:3" x14ac:dyDescent="0.25">
      <c r="A762" t="s">
        <v>790</v>
      </c>
      <c r="B762">
        <f>_xlfn.XLOOKUP(A762,'Subbu- Mini Project EXcel Clean'!A762:A1761,'Subbu- Mini Project EXcel Clean'!L762:L1761," ",0)</f>
        <v>148</v>
      </c>
      <c r="C762">
        <f>_xlfn.XLOOKUP(A762,'Subbu- Mini Project EXcel Clean'!A762:A1761,'Subbu- Mini Project EXcel Clean'!K762:K1761," ",0)</f>
        <v>61.6</v>
      </c>
    </row>
    <row r="763" spans="1:3" x14ac:dyDescent="0.25">
      <c r="A763" t="s">
        <v>791</v>
      </c>
      <c r="B763">
        <f>_xlfn.XLOOKUP(A763,'Subbu- Mini Project EXcel Clean'!A763:A1762,'Subbu- Mini Project EXcel Clean'!L763:L1762," ",0)</f>
        <v>172</v>
      </c>
      <c r="C763">
        <f>_xlfn.XLOOKUP(A763,'Subbu- Mini Project EXcel Clean'!A763:A1762,'Subbu- Mini Project EXcel Clean'!K763:K1762," ",0)</f>
        <v>71.7</v>
      </c>
    </row>
    <row r="764" spans="1:3" x14ac:dyDescent="0.25">
      <c r="A764" t="s">
        <v>792</v>
      </c>
      <c r="B764">
        <f>_xlfn.XLOOKUP(A764,'Subbu- Mini Project EXcel Clean'!A764:A1763,'Subbu- Mini Project EXcel Clean'!L764:L1763," ",0)</f>
        <v>177</v>
      </c>
      <c r="C764">
        <f>_xlfn.XLOOKUP(A764,'Subbu- Mini Project EXcel Clean'!A764:A1763,'Subbu- Mini Project EXcel Clean'!K764:K1763," ",0)</f>
        <v>73.8</v>
      </c>
    </row>
    <row r="765" spans="1:3" x14ac:dyDescent="0.25">
      <c r="A765" t="s">
        <v>793</v>
      </c>
      <c r="B765">
        <f>_xlfn.XLOOKUP(A765,'Subbu- Mini Project EXcel Clean'!A765:A1764,'Subbu- Mini Project EXcel Clean'!L765:L1764," ",0)</f>
        <v>194</v>
      </c>
      <c r="C765">
        <f>_xlfn.XLOOKUP(A765,'Subbu- Mini Project EXcel Clean'!A765:A1764,'Subbu- Mini Project EXcel Clean'!K765:K1764," ",0)</f>
        <v>81</v>
      </c>
    </row>
    <row r="766" spans="1:3" x14ac:dyDescent="0.25">
      <c r="A766" t="s">
        <v>794</v>
      </c>
      <c r="B766">
        <f>_xlfn.XLOOKUP(A766,'Subbu- Mini Project EXcel Clean'!A766:A1765,'Subbu- Mini Project EXcel Clean'!L766:L1765," ",0)</f>
        <v>162</v>
      </c>
      <c r="C766">
        <f>_xlfn.XLOOKUP(A766,'Subbu- Mini Project EXcel Clean'!A766:A1765,'Subbu- Mini Project EXcel Clean'!K766:K1765," ",0)</f>
        <v>67.5</v>
      </c>
    </row>
    <row r="767" spans="1:3" x14ac:dyDescent="0.25">
      <c r="A767" t="s">
        <v>795</v>
      </c>
      <c r="B767">
        <f>_xlfn.XLOOKUP(A767,'Subbu- Mini Project EXcel Clean'!A767:A1766,'Subbu- Mini Project EXcel Clean'!L767:L1766," ",0)</f>
        <v>165</v>
      </c>
      <c r="C767">
        <f>_xlfn.XLOOKUP(A767,'Subbu- Mini Project EXcel Clean'!A767:A1766,'Subbu- Mini Project EXcel Clean'!K767:K1766," ",0)</f>
        <v>68.900000000000006</v>
      </c>
    </row>
    <row r="768" spans="1:3" x14ac:dyDescent="0.25">
      <c r="A768" t="s">
        <v>796</v>
      </c>
      <c r="B768">
        <f>_xlfn.XLOOKUP(A768,'Subbu- Mini Project EXcel Clean'!A768:A1767,'Subbu- Mini Project EXcel Clean'!L768:L1767," ",0)</f>
        <v>189</v>
      </c>
      <c r="C768">
        <f>_xlfn.XLOOKUP(A768,'Subbu- Mini Project EXcel Clean'!A768:A1767,'Subbu- Mini Project EXcel Clean'!K768:K1767," ",0)</f>
        <v>78.8</v>
      </c>
    </row>
    <row r="769" spans="1:3" x14ac:dyDescent="0.25">
      <c r="A769" t="s">
        <v>797</v>
      </c>
      <c r="B769">
        <f>_xlfn.XLOOKUP(A769,'Subbu- Mini Project EXcel Clean'!A769:A1768,'Subbu- Mini Project EXcel Clean'!L769:L1768," ",0)</f>
        <v>198</v>
      </c>
      <c r="C769">
        <f>_xlfn.XLOOKUP(A769,'Subbu- Mini Project EXcel Clean'!A769:A1768,'Subbu- Mini Project EXcel Clean'!K769:K1768," ",0)</f>
        <v>82.7</v>
      </c>
    </row>
    <row r="770" spans="1:3" x14ac:dyDescent="0.25">
      <c r="A770" t="s">
        <v>798</v>
      </c>
      <c r="B770">
        <f>_xlfn.XLOOKUP(A770,'Subbu- Mini Project EXcel Clean'!A770:A1769,'Subbu- Mini Project EXcel Clean'!L770:L1769," ",0)</f>
        <v>165</v>
      </c>
      <c r="C770">
        <f>_xlfn.XLOOKUP(A770,'Subbu- Mini Project EXcel Clean'!A770:A1769,'Subbu- Mini Project EXcel Clean'!K770:K1769," ",0)</f>
        <v>68.8</v>
      </c>
    </row>
    <row r="771" spans="1:3" x14ac:dyDescent="0.25">
      <c r="A771" t="s">
        <v>799</v>
      </c>
      <c r="B771">
        <f>_xlfn.XLOOKUP(A771,'Subbu- Mini Project EXcel Clean'!A771:A1770,'Subbu- Mini Project EXcel Clean'!L771:L1770," ",0)</f>
        <v>199</v>
      </c>
      <c r="C771">
        <f>_xlfn.XLOOKUP(A771,'Subbu- Mini Project EXcel Clean'!A771:A1770,'Subbu- Mini Project EXcel Clean'!K771:K1770," ",0)</f>
        <v>83</v>
      </c>
    </row>
    <row r="772" spans="1:3" x14ac:dyDescent="0.25">
      <c r="A772" t="s">
        <v>800</v>
      </c>
      <c r="B772">
        <f>_xlfn.XLOOKUP(A772,'Subbu- Mini Project EXcel Clean'!A772:A1771,'Subbu- Mini Project EXcel Clean'!L772:L1771," ",0)</f>
        <v>160</v>
      </c>
      <c r="C772">
        <f>_xlfn.XLOOKUP(A772,'Subbu- Mini Project EXcel Clean'!A772:A1771,'Subbu- Mini Project EXcel Clean'!K772:K1771," ",0)</f>
        <v>66.5</v>
      </c>
    </row>
    <row r="773" spans="1:3" x14ac:dyDescent="0.25">
      <c r="A773" t="s">
        <v>801</v>
      </c>
      <c r="B773">
        <f>_xlfn.XLOOKUP(A773,'Subbu- Mini Project EXcel Clean'!A773:A1772,'Subbu- Mini Project EXcel Clean'!L773:L1772," ",0)</f>
        <v>195</v>
      </c>
      <c r="C773">
        <f>_xlfn.XLOOKUP(A773,'Subbu- Mini Project EXcel Clean'!A773:A1772,'Subbu- Mini Project EXcel Clean'!K773:K1772," ",0)</f>
        <v>81.099999999999994</v>
      </c>
    </row>
    <row r="774" spans="1:3" x14ac:dyDescent="0.25">
      <c r="A774" t="s">
        <v>802</v>
      </c>
      <c r="B774">
        <f>_xlfn.XLOOKUP(A774,'Subbu- Mini Project EXcel Clean'!A774:A1773,'Subbu- Mini Project EXcel Clean'!L774:L1773," ",0)</f>
        <v>154</v>
      </c>
      <c r="C774">
        <f>_xlfn.XLOOKUP(A774,'Subbu- Mini Project EXcel Clean'!A774:A1773,'Subbu- Mini Project EXcel Clean'!K774:K1773," ",0)</f>
        <v>64.2</v>
      </c>
    </row>
    <row r="775" spans="1:3" x14ac:dyDescent="0.25">
      <c r="A775" t="s">
        <v>803</v>
      </c>
      <c r="B775">
        <f>_xlfn.XLOOKUP(A775,'Subbu- Mini Project EXcel Clean'!A775:A1774,'Subbu- Mini Project EXcel Clean'!L775:L1774," ",0)</f>
        <v>170</v>
      </c>
      <c r="C775">
        <f>_xlfn.XLOOKUP(A775,'Subbu- Mini Project EXcel Clean'!A775:A1774,'Subbu- Mini Project EXcel Clean'!K775:K1774," ",0)</f>
        <v>70.7</v>
      </c>
    </row>
    <row r="776" spans="1:3" x14ac:dyDescent="0.25">
      <c r="A776" t="s">
        <v>804</v>
      </c>
      <c r="B776">
        <f>_xlfn.XLOOKUP(A776,'Subbu- Mini Project EXcel Clean'!A776:A1775,'Subbu- Mini Project EXcel Clean'!L776:L1775," ",0)</f>
        <v>186</v>
      </c>
      <c r="C776">
        <f>_xlfn.XLOOKUP(A776,'Subbu- Mini Project EXcel Clean'!A776:A1775,'Subbu- Mini Project EXcel Clean'!K776:K1775," ",0)</f>
        <v>77.3</v>
      </c>
    </row>
    <row r="777" spans="1:3" x14ac:dyDescent="0.25">
      <c r="A777" t="s">
        <v>805</v>
      </c>
      <c r="B777">
        <f>_xlfn.XLOOKUP(A777,'Subbu- Mini Project EXcel Clean'!A777:A1776,'Subbu- Mini Project EXcel Clean'!L777:L1776," ",0)</f>
        <v>153</v>
      </c>
      <c r="C777">
        <f>_xlfn.XLOOKUP(A777,'Subbu- Mini Project EXcel Clean'!A777:A1776,'Subbu- Mini Project EXcel Clean'!K777:K1776," ",0)</f>
        <v>63.6</v>
      </c>
    </row>
    <row r="778" spans="1:3" x14ac:dyDescent="0.25">
      <c r="A778" t="s">
        <v>806</v>
      </c>
      <c r="B778">
        <f>_xlfn.XLOOKUP(A778,'Subbu- Mini Project EXcel Clean'!A778:A1777,'Subbu- Mini Project EXcel Clean'!L778:L1777," ",0)</f>
        <v>157</v>
      </c>
      <c r="C778">
        <f>_xlfn.XLOOKUP(A778,'Subbu- Mini Project EXcel Clean'!A778:A1777,'Subbu- Mini Project EXcel Clean'!K778:K1777," ",0)</f>
        <v>65.599999999999994</v>
      </c>
    </row>
    <row r="779" spans="1:3" x14ac:dyDescent="0.25">
      <c r="A779" t="s">
        <v>807</v>
      </c>
      <c r="B779">
        <f>_xlfn.XLOOKUP(A779,'Subbu- Mini Project EXcel Clean'!A779:A1778,'Subbu- Mini Project EXcel Clean'!L779:L1778," ",0)</f>
        <v>190</v>
      </c>
      <c r="C779">
        <f>_xlfn.XLOOKUP(A779,'Subbu- Mini Project EXcel Clean'!A779:A1778,'Subbu- Mini Project EXcel Clean'!K779:K1778," ",0)</f>
        <v>79</v>
      </c>
    </row>
    <row r="780" spans="1:3" x14ac:dyDescent="0.25">
      <c r="A780" t="s">
        <v>808</v>
      </c>
      <c r="B780">
        <f>_xlfn.XLOOKUP(A780,'Subbu- Mini Project EXcel Clean'!A780:A1779,'Subbu- Mini Project EXcel Clean'!L780:L1779," ",0)</f>
        <v>192</v>
      </c>
      <c r="C780">
        <f>_xlfn.XLOOKUP(A780,'Subbu- Mini Project EXcel Clean'!A780:A1779,'Subbu- Mini Project EXcel Clean'!K780:K1779," ",0)</f>
        <v>80</v>
      </c>
    </row>
    <row r="781" spans="1:3" x14ac:dyDescent="0.25">
      <c r="A781" t="s">
        <v>809</v>
      </c>
      <c r="B781">
        <f>_xlfn.XLOOKUP(A781,'Subbu- Mini Project EXcel Clean'!A781:A1780,'Subbu- Mini Project EXcel Clean'!L781:L1780," ",0)</f>
        <v>187</v>
      </c>
      <c r="C781">
        <f>_xlfn.XLOOKUP(A781,'Subbu- Mini Project EXcel Clean'!A781:A1780,'Subbu- Mini Project EXcel Clean'!K781:K1780," ",0)</f>
        <v>78</v>
      </c>
    </row>
    <row r="782" spans="1:3" x14ac:dyDescent="0.25">
      <c r="A782" t="s">
        <v>810</v>
      </c>
      <c r="B782">
        <f>_xlfn.XLOOKUP(A782,'Subbu- Mini Project EXcel Clean'!A782:A1781,'Subbu- Mini Project EXcel Clean'!L782:L1781," ",0)</f>
        <v>185</v>
      </c>
      <c r="C782">
        <f>_xlfn.XLOOKUP(A782,'Subbu- Mini Project EXcel Clean'!A782:A1781,'Subbu- Mini Project EXcel Clean'!K782:K1781," ",0)</f>
        <v>76.900000000000006</v>
      </c>
    </row>
    <row r="783" spans="1:3" x14ac:dyDescent="0.25">
      <c r="A783" t="s">
        <v>811</v>
      </c>
      <c r="B783">
        <f>_xlfn.XLOOKUP(A783,'Subbu- Mini Project EXcel Clean'!A783:A1782,'Subbu- Mini Project EXcel Clean'!L783:L1782," ",0)</f>
        <v>195</v>
      </c>
      <c r="C783">
        <f>_xlfn.XLOOKUP(A783,'Subbu- Mini Project EXcel Clean'!A783:A1782,'Subbu- Mini Project EXcel Clean'!K783:K1782," ",0)</f>
        <v>81.3</v>
      </c>
    </row>
    <row r="784" spans="1:3" x14ac:dyDescent="0.25">
      <c r="A784" t="s">
        <v>812</v>
      </c>
      <c r="B784">
        <f>_xlfn.XLOOKUP(A784,'Subbu- Mini Project EXcel Clean'!A784:A1783,'Subbu- Mini Project EXcel Clean'!L784:L1783," ",0)</f>
        <v>147</v>
      </c>
      <c r="C784">
        <f>_xlfn.XLOOKUP(A784,'Subbu- Mini Project EXcel Clean'!A784:A1783,'Subbu- Mini Project EXcel Clean'!K784:K1783," ",0)</f>
        <v>61.1</v>
      </c>
    </row>
    <row r="785" spans="1:3" x14ac:dyDescent="0.25">
      <c r="A785" t="s">
        <v>813</v>
      </c>
      <c r="B785">
        <f>_xlfn.XLOOKUP(A785,'Subbu- Mini Project EXcel Clean'!A785:A1784,'Subbu- Mini Project EXcel Clean'!L785:L1784," ",0)</f>
        <v>158</v>
      </c>
      <c r="C785">
        <f>_xlfn.XLOOKUP(A785,'Subbu- Mini Project EXcel Clean'!A785:A1784,'Subbu- Mini Project EXcel Clean'!K785:K1784," ",0)</f>
        <v>65.900000000000006</v>
      </c>
    </row>
    <row r="786" spans="1:3" x14ac:dyDescent="0.25">
      <c r="A786" t="s">
        <v>814</v>
      </c>
      <c r="B786">
        <f>_xlfn.XLOOKUP(A786,'Subbu- Mini Project EXcel Clean'!A786:A1785,'Subbu- Mini Project EXcel Clean'!L786:L1785," ",0)</f>
        <v>189</v>
      </c>
      <c r="C786">
        <f>_xlfn.XLOOKUP(A786,'Subbu- Mini Project EXcel Clean'!A786:A1785,'Subbu- Mini Project EXcel Clean'!K786:K1785," ",0)</f>
        <v>78.900000000000006</v>
      </c>
    </row>
    <row r="787" spans="1:3" x14ac:dyDescent="0.25">
      <c r="A787" t="s">
        <v>815</v>
      </c>
      <c r="B787">
        <f>_xlfn.XLOOKUP(A787,'Subbu- Mini Project EXcel Clean'!A787:A1786,'Subbu- Mini Project EXcel Clean'!L787:L1786," ",0)</f>
        <v>192</v>
      </c>
      <c r="C787">
        <f>_xlfn.XLOOKUP(A787,'Subbu- Mini Project EXcel Clean'!A787:A1786,'Subbu- Mini Project EXcel Clean'!K787:K1786," ",0)</f>
        <v>79.8</v>
      </c>
    </row>
    <row r="788" spans="1:3" x14ac:dyDescent="0.25">
      <c r="A788" t="s">
        <v>816</v>
      </c>
      <c r="B788">
        <f>_xlfn.XLOOKUP(A788,'Subbu- Mini Project EXcel Clean'!A788:A1787,'Subbu- Mini Project EXcel Clean'!L788:L1787," ",0)</f>
        <v>166</v>
      </c>
      <c r="C788">
        <f>_xlfn.XLOOKUP(A788,'Subbu- Mini Project EXcel Clean'!A788:A1787,'Subbu- Mini Project EXcel Clean'!K788:K1787," ",0)</f>
        <v>69.3</v>
      </c>
    </row>
    <row r="789" spans="1:3" x14ac:dyDescent="0.25">
      <c r="A789" t="s">
        <v>817</v>
      </c>
      <c r="B789">
        <f>_xlfn.XLOOKUP(A789,'Subbu- Mini Project EXcel Clean'!A789:A1788,'Subbu- Mini Project EXcel Clean'!L789:L1788," ",0)</f>
        <v>179</v>
      </c>
      <c r="C789">
        <f>_xlfn.XLOOKUP(A789,'Subbu- Mini Project EXcel Clean'!A789:A1788,'Subbu- Mini Project EXcel Clean'!K789:K1788," ",0)</f>
        <v>74.7</v>
      </c>
    </row>
    <row r="790" spans="1:3" x14ac:dyDescent="0.25">
      <c r="A790" t="s">
        <v>818</v>
      </c>
      <c r="B790">
        <f>_xlfn.XLOOKUP(A790,'Subbu- Mini Project EXcel Clean'!A790:A1789,'Subbu- Mini Project EXcel Clean'!L790:L1789," ",0)</f>
        <v>150</v>
      </c>
      <c r="C790">
        <f>_xlfn.XLOOKUP(A790,'Subbu- Mini Project EXcel Clean'!A790:A1789,'Subbu- Mini Project EXcel Clean'!K790:K1789," ",0)</f>
        <v>62.3</v>
      </c>
    </row>
    <row r="791" spans="1:3" x14ac:dyDescent="0.25">
      <c r="A791" t="s">
        <v>819</v>
      </c>
      <c r="B791">
        <f>_xlfn.XLOOKUP(A791,'Subbu- Mini Project EXcel Clean'!A791:A1790,'Subbu- Mini Project EXcel Clean'!L791:L1790," ",0)</f>
        <v>204</v>
      </c>
      <c r="C791">
        <f>_xlfn.XLOOKUP(A791,'Subbu- Mini Project EXcel Clean'!A791:A1790,'Subbu- Mini Project EXcel Clean'!K791:K1790," ",0)</f>
        <v>84.9</v>
      </c>
    </row>
    <row r="792" spans="1:3" x14ac:dyDescent="0.25">
      <c r="A792" t="s">
        <v>820</v>
      </c>
      <c r="B792">
        <f>_xlfn.XLOOKUP(A792,'Subbu- Mini Project EXcel Clean'!A792:A1791,'Subbu- Mini Project EXcel Clean'!L792:L1791," ",0)</f>
        <v>180</v>
      </c>
      <c r="C792">
        <f>_xlfn.XLOOKUP(A792,'Subbu- Mini Project EXcel Clean'!A792:A1791,'Subbu- Mini Project EXcel Clean'!K792:K1791," ",0)</f>
        <v>74.900000000000006</v>
      </c>
    </row>
    <row r="793" spans="1:3" x14ac:dyDescent="0.25">
      <c r="A793" t="s">
        <v>821</v>
      </c>
      <c r="B793">
        <f>_xlfn.XLOOKUP(A793,'Subbu- Mini Project EXcel Clean'!A793:A1792,'Subbu- Mini Project EXcel Clean'!L793:L1792," ",0)</f>
        <v>164</v>
      </c>
      <c r="C793">
        <f>_xlfn.XLOOKUP(A793,'Subbu- Mini Project EXcel Clean'!A793:A1792,'Subbu- Mini Project EXcel Clean'!K793:K1792," ",0)</f>
        <v>68.400000000000006</v>
      </c>
    </row>
    <row r="794" spans="1:3" x14ac:dyDescent="0.25">
      <c r="A794" t="s">
        <v>822</v>
      </c>
      <c r="B794">
        <f>_xlfn.XLOOKUP(A794,'Subbu- Mini Project EXcel Clean'!A794:A1793,'Subbu- Mini Project EXcel Clean'!L794:L1793," ",0)</f>
        <v>154</v>
      </c>
      <c r="C794">
        <f>_xlfn.XLOOKUP(A794,'Subbu- Mini Project EXcel Clean'!A794:A1793,'Subbu- Mini Project EXcel Clean'!K794:K1793," ",0)</f>
        <v>64</v>
      </c>
    </row>
    <row r="795" spans="1:3" x14ac:dyDescent="0.25">
      <c r="A795" t="s">
        <v>823</v>
      </c>
      <c r="B795">
        <f>_xlfn.XLOOKUP(A795,'Subbu- Mini Project EXcel Clean'!A795:A1794,'Subbu- Mini Project EXcel Clean'!L795:L1794," ",0)</f>
        <v>166</v>
      </c>
      <c r="C795">
        <f>_xlfn.XLOOKUP(A795,'Subbu- Mini Project EXcel Clean'!A795:A1794,'Subbu- Mini Project EXcel Clean'!K795:K1794," ",0)</f>
        <v>69.3</v>
      </c>
    </row>
    <row r="796" spans="1:3" x14ac:dyDescent="0.25">
      <c r="A796" t="s">
        <v>824</v>
      </c>
      <c r="B796">
        <f>_xlfn.XLOOKUP(A796,'Subbu- Mini Project EXcel Clean'!A796:A1795,'Subbu- Mini Project EXcel Clean'!L796:L1795," ",0)</f>
        <v>156</v>
      </c>
      <c r="C796">
        <f>_xlfn.XLOOKUP(A796,'Subbu- Mini Project EXcel Clean'!A796:A1795,'Subbu- Mini Project EXcel Clean'!K796:K1795," ",0)</f>
        <v>65</v>
      </c>
    </row>
    <row r="797" spans="1:3" x14ac:dyDescent="0.25">
      <c r="A797" t="s">
        <v>825</v>
      </c>
      <c r="B797">
        <f>_xlfn.XLOOKUP(A797,'Subbu- Mini Project EXcel Clean'!A797:A1796,'Subbu- Mini Project EXcel Clean'!L797:L1796," ",0)</f>
        <v>215</v>
      </c>
      <c r="C797">
        <f>_xlfn.XLOOKUP(A797,'Subbu- Mini Project EXcel Clean'!A797:A1796,'Subbu- Mini Project EXcel Clean'!K797:K1796," ",0)</f>
        <v>89.6</v>
      </c>
    </row>
    <row r="798" spans="1:3" x14ac:dyDescent="0.25">
      <c r="A798" t="s">
        <v>826</v>
      </c>
      <c r="B798">
        <f>_xlfn.XLOOKUP(A798,'Subbu- Mini Project EXcel Clean'!A798:A1797,'Subbu- Mini Project EXcel Clean'!L798:L1797," ",0)</f>
        <v>199</v>
      </c>
      <c r="C798">
        <f>_xlfn.XLOOKUP(A798,'Subbu- Mini Project EXcel Clean'!A798:A1797,'Subbu- Mini Project EXcel Clean'!K798:K1797," ",0)</f>
        <v>83.1</v>
      </c>
    </row>
    <row r="799" spans="1:3" x14ac:dyDescent="0.25">
      <c r="A799" t="s">
        <v>827</v>
      </c>
      <c r="B799">
        <f>_xlfn.XLOOKUP(A799,'Subbu- Mini Project EXcel Clean'!A799:A1798,'Subbu- Mini Project EXcel Clean'!L799:L1798," ",0)</f>
        <v>190</v>
      </c>
      <c r="C799">
        <f>_xlfn.XLOOKUP(A799,'Subbu- Mini Project EXcel Clean'!A799:A1798,'Subbu- Mini Project EXcel Clean'!K799:K1798," ",0)</f>
        <v>79</v>
      </c>
    </row>
    <row r="800" spans="1:3" x14ac:dyDescent="0.25">
      <c r="A800" t="s">
        <v>828</v>
      </c>
      <c r="B800">
        <f>_xlfn.XLOOKUP(A800,'Subbu- Mini Project EXcel Clean'!A800:A1799,'Subbu- Mini Project EXcel Clean'!L800:L1799," ",0)</f>
        <v>207</v>
      </c>
      <c r="C800">
        <f>_xlfn.XLOOKUP(A800,'Subbu- Mini Project EXcel Clean'!A800:A1799,'Subbu- Mini Project EXcel Clean'!K800:K1799," ",0)</f>
        <v>86.1</v>
      </c>
    </row>
    <row r="801" spans="1:3" x14ac:dyDescent="0.25">
      <c r="A801" t="s">
        <v>829</v>
      </c>
      <c r="B801">
        <f>_xlfn.XLOOKUP(A801,'Subbu- Mini Project EXcel Clean'!A801:A1800,'Subbu- Mini Project EXcel Clean'!L801:L1800," ",0)</f>
        <v>226</v>
      </c>
      <c r="C801">
        <f>_xlfn.XLOOKUP(A801,'Subbu- Mini Project EXcel Clean'!A801:A1800,'Subbu- Mini Project EXcel Clean'!K801:K1800," ",0)</f>
        <v>94.3</v>
      </c>
    </row>
    <row r="802" spans="1:3" x14ac:dyDescent="0.25">
      <c r="A802" t="s">
        <v>830</v>
      </c>
      <c r="B802">
        <f>_xlfn.XLOOKUP(A802,'Subbu- Mini Project EXcel Clean'!A802:A1801,'Subbu- Mini Project EXcel Clean'!L802:L1801," ",0)</f>
        <v>188</v>
      </c>
      <c r="C802">
        <f>_xlfn.XLOOKUP(A802,'Subbu- Mini Project EXcel Clean'!A802:A1801,'Subbu- Mini Project EXcel Clean'!K802:K1801," ",0)</f>
        <v>78.2</v>
      </c>
    </row>
    <row r="803" spans="1:3" x14ac:dyDescent="0.25">
      <c r="A803" t="s">
        <v>831</v>
      </c>
      <c r="B803">
        <f>_xlfn.XLOOKUP(A803,'Subbu- Mini Project EXcel Clean'!A803:A1802,'Subbu- Mini Project EXcel Clean'!L803:L1802," ",0)</f>
        <v>126</v>
      </c>
      <c r="C803">
        <f>_xlfn.XLOOKUP(A803,'Subbu- Mini Project EXcel Clean'!A803:A1802,'Subbu- Mini Project EXcel Clean'!K803:K1802," ",0)</f>
        <v>52.7</v>
      </c>
    </row>
    <row r="804" spans="1:3" x14ac:dyDescent="0.25">
      <c r="A804" t="s">
        <v>832</v>
      </c>
      <c r="B804">
        <f>_xlfn.XLOOKUP(A804,'Subbu- Mini Project EXcel Clean'!A804:A1803,'Subbu- Mini Project EXcel Clean'!L804:L1803," ",0)</f>
        <v>172</v>
      </c>
      <c r="C804">
        <f>_xlfn.XLOOKUP(A804,'Subbu- Mini Project EXcel Clean'!A804:A1803,'Subbu- Mini Project EXcel Clean'!K804:K1803," ",0)</f>
        <v>71.7</v>
      </c>
    </row>
    <row r="805" spans="1:3" x14ac:dyDescent="0.25">
      <c r="A805" t="s">
        <v>833</v>
      </c>
      <c r="B805">
        <f>_xlfn.XLOOKUP(A805,'Subbu- Mini Project EXcel Clean'!A805:A1804,'Subbu- Mini Project EXcel Clean'!L805:L1804," ",0)</f>
        <v>179</v>
      </c>
      <c r="C805">
        <f>_xlfn.XLOOKUP(A805,'Subbu- Mini Project EXcel Clean'!A805:A1804,'Subbu- Mini Project EXcel Clean'!K805:K1804," ",0)</f>
        <v>74.599999999999994</v>
      </c>
    </row>
    <row r="806" spans="1:3" x14ac:dyDescent="0.25">
      <c r="A806" t="s">
        <v>834</v>
      </c>
      <c r="B806">
        <f>_xlfn.XLOOKUP(A806,'Subbu- Mini Project EXcel Clean'!A806:A1805,'Subbu- Mini Project EXcel Clean'!L806:L1805," ",0)</f>
        <v>169</v>
      </c>
      <c r="C806">
        <f>_xlfn.XLOOKUP(A806,'Subbu- Mini Project EXcel Clean'!A806:A1805,'Subbu- Mini Project EXcel Clean'!K806:K1805," ",0)</f>
        <v>70.400000000000006</v>
      </c>
    </row>
    <row r="807" spans="1:3" x14ac:dyDescent="0.25">
      <c r="A807" t="s">
        <v>835</v>
      </c>
      <c r="B807">
        <f>_xlfn.XLOOKUP(A807,'Subbu- Mini Project EXcel Clean'!A807:A1806,'Subbu- Mini Project EXcel Clean'!L807:L1806," ",0)</f>
        <v>190</v>
      </c>
      <c r="C807">
        <f>_xlfn.XLOOKUP(A807,'Subbu- Mini Project EXcel Clean'!A807:A1806,'Subbu- Mini Project EXcel Clean'!K807:K1806," ",0)</f>
        <v>79.3</v>
      </c>
    </row>
    <row r="808" spans="1:3" x14ac:dyDescent="0.25">
      <c r="A808" t="s">
        <v>836</v>
      </c>
      <c r="B808">
        <f>_xlfn.XLOOKUP(A808,'Subbu- Mini Project EXcel Clean'!A808:A1807,'Subbu- Mini Project EXcel Clean'!L808:L1807," ",0)</f>
        <v>219</v>
      </c>
      <c r="C808">
        <f>_xlfn.XLOOKUP(A808,'Subbu- Mini Project EXcel Clean'!A808:A1807,'Subbu- Mini Project EXcel Clean'!K808:K1807," ",0)</f>
        <v>91.3</v>
      </c>
    </row>
    <row r="809" spans="1:3" x14ac:dyDescent="0.25">
      <c r="A809" t="s">
        <v>837</v>
      </c>
      <c r="B809">
        <f>_xlfn.XLOOKUP(A809,'Subbu- Mini Project EXcel Clean'!A809:A1808,'Subbu- Mini Project EXcel Clean'!L809:L1808," ",0)</f>
        <v>220</v>
      </c>
      <c r="C809">
        <f>_xlfn.XLOOKUP(A809,'Subbu- Mini Project EXcel Clean'!A809:A1808,'Subbu- Mini Project EXcel Clean'!K809:K1808," ",0)</f>
        <v>91.8</v>
      </c>
    </row>
    <row r="810" spans="1:3" x14ac:dyDescent="0.25">
      <c r="A810" t="s">
        <v>838</v>
      </c>
      <c r="B810">
        <f>_xlfn.XLOOKUP(A810,'Subbu- Mini Project EXcel Clean'!A810:A1809,'Subbu- Mini Project EXcel Clean'!L810:L1809," ",0)</f>
        <v>172</v>
      </c>
      <c r="C810">
        <f>_xlfn.XLOOKUP(A810,'Subbu- Mini Project EXcel Clean'!A810:A1809,'Subbu- Mini Project EXcel Clean'!K810:K1809," ",0)</f>
        <v>71.5</v>
      </c>
    </row>
    <row r="811" spans="1:3" x14ac:dyDescent="0.25">
      <c r="A811" t="s">
        <v>839</v>
      </c>
      <c r="B811">
        <f>_xlfn.XLOOKUP(A811,'Subbu- Mini Project EXcel Clean'!A811:A1810,'Subbu- Mini Project EXcel Clean'!L811:L1810," ",0)</f>
        <v>165</v>
      </c>
      <c r="C811">
        <f>_xlfn.XLOOKUP(A811,'Subbu- Mini Project EXcel Clean'!A811:A1810,'Subbu- Mini Project EXcel Clean'!K811:K1810," ",0)</f>
        <v>68.599999999999994</v>
      </c>
    </row>
    <row r="812" spans="1:3" x14ac:dyDescent="0.25">
      <c r="A812" t="s">
        <v>840</v>
      </c>
      <c r="B812">
        <f>_xlfn.XLOOKUP(A812,'Subbu- Mini Project EXcel Clean'!A812:A1811,'Subbu- Mini Project EXcel Clean'!L812:L1811," ",0)</f>
        <v>213</v>
      </c>
      <c r="C812">
        <f>_xlfn.XLOOKUP(A812,'Subbu- Mini Project EXcel Clean'!A812:A1811,'Subbu- Mini Project EXcel Clean'!K812:K1811," ",0)</f>
        <v>88.9</v>
      </c>
    </row>
    <row r="813" spans="1:3" x14ac:dyDescent="0.25">
      <c r="A813" t="s">
        <v>841</v>
      </c>
      <c r="B813">
        <f>_xlfn.XLOOKUP(A813,'Subbu- Mini Project EXcel Clean'!A813:A1812,'Subbu- Mini Project EXcel Clean'!L813:L1812," ",0)</f>
        <v>200</v>
      </c>
      <c r="C813">
        <f>_xlfn.XLOOKUP(A813,'Subbu- Mini Project EXcel Clean'!A813:A1812,'Subbu- Mini Project EXcel Clean'!K813:K1812," ",0)</f>
        <v>83.4</v>
      </c>
    </row>
    <row r="814" spans="1:3" x14ac:dyDescent="0.25">
      <c r="A814" t="s">
        <v>842</v>
      </c>
      <c r="B814">
        <f>_xlfn.XLOOKUP(A814,'Subbu- Mini Project EXcel Clean'!A814:A1813,'Subbu- Mini Project EXcel Clean'!L814:L1813," ",0)</f>
        <v>163</v>
      </c>
      <c r="C814">
        <f>_xlfn.XLOOKUP(A814,'Subbu- Mini Project EXcel Clean'!A814:A1813,'Subbu- Mini Project EXcel Clean'!K814:K1813," ",0)</f>
        <v>68</v>
      </c>
    </row>
    <row r="815" spans="1:3" x14ac:dyDescent="0.25">
      <c r="A815" t="s">
        <v>843</v>
      </c>
      <c r="B815">
        <f>_xlfn.XLOOKUP(A815,'Subbu- Mini Project EXcel Clean'!A815:A1814,'Subbu- Mini Project EXcel Clean'!L815:L1814," ",0)</f>
        <v>206</v>
      </c>
      <c r="C815">
        <f>_xlfn.XLOOKUP(A815,'Subbu- Mini Project EXcel Clean'!A815:A1814,'Subbu- Mini Project EXcel Clean'!K815:K1814," ",0)</f>
        <v>85.7</v>
      </c>
    </row>
    <row r="816" spans="1:3" x14ac:dyDescent="0.25">
      <c r="A816" t="s">
        <v>844</v>
      </c>
      <c r="B816">
        <f>_xlfn.XLOOKUP(A816,'Subbu- Mini Project EXcel Clean'!A816:A1815,'Subbu- Mini Project EXcel Clean'!L816:L1815," ",0)</f>
        <v>226</v>
      </c>
      <c r="C816">
        <f>_xlfn.XLOOKUP(A816,'Subbu- Mini Project EXcel Clean'!A816:A1815,'Subbu- Mini Project EXcel Clean'!K816:K1815," ",0)</f>
        <v>94.2</v>
      </c>
    </row>
    <row r="817" spans="1:3" x14ac:dyDescent="0.25">
      <c r="A817" t="s">
        <v>845</v>
      </c>
      <c r="B817">
        <f>_xlfn.XLOOKUP(A817,'Subbu- Mini Project EXcel Clean'!A817:A1816,'Subbu- Mini Project EXcel Clean'!L817:L1816," ",0)</f>
        <v>161</v>
      </c>
      <c r="C817">
        <f>_xlfn.XLOOKUP(A817,'Subbu- Mini Project EXcel Clean'!A817:A1816,'Subbu- Mini Project EXcel Clean'!K817:K1816," ",0)</f>
        <v>67.099999999999994</v>
      </c>
    </row>
    <row r="818" spans="1:3" x14ac:dyDescent="0.25">
      <c r="A818" t="s">
        <v>846</v>
      </c>
      <c r="B818">
        <f>_xlfn.XLOOKUP(A818,'Subbu- Mini Project EXcel Clean'!A818:A1817,'Subbu- Mini Project EXcel Clean'!L818:L1817," ",0)</f>
        <v>177</v>
      </c>
      <c r="C818">
        <f>_xlfn.XLOOKUP(A818,'Subbu- Mini Project EXcel Clean'!A818:A1817,'Subbu- Mini Project EXcel Clean'!K818:K1817," ",0)</f>
        <v>73.7</v>
      </c>
    </row>
    <row r="819" spans="1:3" x14ac:dyDescent="0.25">
      <c r="A819" t="s">
        <v>847</v>
      </c>
      <c r="B819">
        <f>_xlfn.XLOOKUP(A819,'Subbu- Mini Project EXcel Clean'!A819:A1818,'Subbu- Mini Project EXcel Clean'!L819:L1818," ",0)</f>
        <v>169</v>
      </c>
      <c r="C819">
        <f>_xlfn.XLOOKUP(A819,'Subbu- Mini Project EXcel Clean'!A819:A1818,'Subbu- Mini Project EXcel Clean'!K819:K1818," ",0)</f>
        <v>70.3</v>
      </c>
    </row>
    <row r="820" spans="1:3" x14ac:dyDescent="0.25">
      <c r="A820" t="s">
        <v>848</v>
      </c>
      <c r="B820">
        <f>_xlfn.XLOOKUP(A820,'Subbu- Mini Project EXcel Clean'!A820:A1819,'Subbu- Mini Project EXcel Clean'!L820:L1819," ",0)</f>
        <v>153</v>
      </c>
      <c r="C820">
        <f>_xlfn.XLOOKUP(A820,'Subbu- Mini Project EXcel Clean'!A820:A1819,'Subbu- Mini Project EXcel Clean'!K820:K1819," ",0)</f>
        <v>63.7</v>
      </c>
    </row>
    <row r="821" spans="1:3" x14ac:dyDescent="0.25">
      <c r="A821" t="s">
        <v>849</v>
      </c>
      <c r="B821">
        <f>_xlfn.XLOOKUP(A821,'Subbu- Mini Project EXcel Clean'!A821:A1820,'Subbu- Mini Project EXcel Clean'!L821:L1820," ",0)</f>
        <v>181</v>
      </c>
      <c r="C821">
        <f>_xlfn.XLOOKUP(A821,'Subbu- Mini Project EXcel Clean'!A821:A1820,'Subbu- Mini Project EXcel Clean'!K821:K1820," ",0)</f>
        <v>75.599999999999994</v>
      </c>
    </row>
    <row r="822" spans="1:3" x14ac:dyDescent="0.25">
      <c r="A822" t="s">
        <v>850</v>
      </c>
      <c r="B822">
        <f>_xlfn.XLOOKUP(A822,'Subbu- Mini Project EXcel Clean'!A822:A1821,'Subbu- Mini Project EXcel Clean'!L822:L1821," ",0)</f>
        <v>197</v>
      </c>
      <c r="C822">
        <f>_xlfn.XLOOKUP(A822,'Subbu- Mini Project EXcel Clean'!A822:A1821,'Subbu- Mini Project EXcel Clean'!K822:K1821," ",0)</f>
        <v>82</v>
      </c>
    </row>
    <row r="823" spans="1:3" x14ac:dyDescent="0.25">
      <c r="A823" t="s">
        <v>851</v>
      </c>
      <c r="B823">
        <f>_xlfn.XLOOKUP(A823,'Subbu- Mini Project EXcel Clean'!A823:A1822,'Subbu- Mini Project EXcel Clean'!L823:L1822," ",0)</f>
        <v>127</v>
      </c>
      <c r="C823">
        <f>_xlfn.XLOOKUP(A823,'Subbu- Mini Project EXcel Clean'!A823:A1822,'Subbu- Mini Project EXcel Clean'!K823:K1822," ",0)</f>
        <v>53</v>
      </c>
    </row>
    <row r="824" spans="1:3" x14ac:dyDescent="0.25">
      <c r="A824" t="s">
        <v>852</v>
      </c>
      <c r="B824">
        <f>_xlfn.XLOOKUP(A824,'Subbu- Mini Project EXcel Clean'!A824:A1823,'Subbu- Mini Project EXcel Clean'!L824:L1823," ",0)</f>
        <v>176</v>
      </c>
      <c r="C824">
        <f>_xlfn.XLOOKUP(A824,'Subbu- Mini Project EXcel Clean'!A824:A1823,'Subbu- Mini Project EXcel Clean'!K824:K1823," ",0)</f>
        <v>73.400000000000006</v>
      </c>
    </row>
    <row r="825" spans="1:3" x14ac:dyDescent="0.25">
      <c r="A825" t="s">
        <v>853</v>
      </c>
      <c r="B825">
        <f>_xlfn.XLOOKUP(A825,'Subbu- Mini Project EXcel Clean'!A825:A1824,'Subbu- Mini Project EXcel Clean'!L825:L1824," ",0)</f>
        <v>179</v>
      </c>
      <c r="C825">
        <f>_xlfn.XLOOKUP(A825,'Subbu- Mini Project EXcel Clean'!A825:A1824,'Subbu- Mini Project EXcel Clean'!K825:K1824," ",0)</f>
        <v>74.7</v>
      </c>
    </row>
    <row r="826" spans="1:3" x14ac:dyDescent="0.25">
      <c r="A826" t="s">
        <v>854</v>
      </c>
      <c r="B826">
        <f>_xlfn.XLOOKUP(A826,'Subbu- Mini Project EXcel Clean'!A826:A1825,'Subbu- Mini Project EXcel Clean'!L826:L1825," ",0)</f>
        <v>156</v>
      </c>
      <c r="C826">
        <f>_xlfn.XLOOKUP(A826,'Subbu- Mini Project EXcel Clean'!A826:A1825,'Subbu- Mini Project EXcel Clean'!K826:K1825," ",0)</f>
        <v>65.099999999999994</v>
      </c>
    </row>
    <row r="827" spans="1:3" x14ac:dyDescent="0.25">
      <c r="A827" t="s">
        <v>855</v>
      </c>
      <c r="B827">
        <f>_xlfn.XLOOKUP(A827,'Subbu- Mini Project EXcel Clean'!A827:A1826,'Subbu- Mini Project EXcel Clean'!L827:L1826," ",0)</f>
        <v>205</v>
      </c>
      <c r="C827">
        <f>_xlfn.XLOOKUP(A827,'Subbu- Mini Project EXcel Clean'!A827:A1826,'Subbu- Mini Project EXcel Clean'!K827:K1826," ",0)</f>
        <v>85.3</v>
      </c>
    </row>
    <row r="828" spans="1:3" x14ac:dyDescent="0.25">
      <c r="A828" t="s">
        <v>856</v>
      </c>
      <c r="B828">
        <f>_xlfn.XLOOKUP(A828,'Subbu- Mini Project EXcel Clean'!A828:A1827,'Subbu- Mini Project EXcel Clean'!L828:L1827," ",0)</f>
        <v>148</v>
      </c>
      <c r="C828">
        <f>_xlfn.XLOOKUP(A828,'Subbu- Mini Project EXcel Clean'!A828:A1827,'Subbu- Mini Project EXcel Clean'!K828:K1827," ",0)</f>
        <v>61.6</v>
      </c>
    </row>
    <row r="829" spans="1:3" x14ac:dyDescent="0.25">
      <c r="A829" t="s">
        <v>857</v>
      </c>
      <c r="B829">
        <f>_xlfn.XLOOKUP(A829,'Subbu- Mini Project EXcel Clean'!A829:A1828,'Subbu- Mini Project EXcel Clean'!L829:L1828," ",0)</f>
        <v>159</v>
      </c>
      <c r="C829">
        <f>_xlfn.XLOOKUP(A829,'Subbu- Mini Project EXcel Clean'!A829:A1828,'Subbu- Mini Project EXcel Clean'!K829:K1828," ",0)</f>
        <v>66.2</v>
      </c>
    </row>
    <row r="830" spans="1:3" x14ac:dyDescent="0.25">
      <c r="A830" t="s">
        <v>858</v>
      </c>
      <c r="B830">
        <f>_xlfn.XLOOKUP(A830,'Subbu- Mini Project EXcel Clean'!A830:A1829,'Subbu- Mini Project EXcel Clean'!L830:L1829," ",0)</f>
        <v>182</v>
      </c>
      <c r="C830">
        <f>_xlfn.XLOOKUP(A830,'Subbu- Mini Project EXcel Clean'!A830:A1829,'Subbu- Mini Project EXcel Clean'!K830:K1829," ",0)</f>
        <v>75.8</v>
      </c>
    </row>
    <row r="831" spans="1:3" x14ac:dyDescent="0.25">
      <c r="A831" t="s">
        <v>859</v>
      </c>
      <c r="B831">
        <f>_xlfn.XLOOKUP(A831,'Subbu- Mini Project EXcel Clean'!A831:A1830,'Subbu- Mini Project EXcel Clean'!L831:L1830," ",0)</f>
        <v>184</v>
      </c>
      <c r="C831">
        <f>_xlfn.XLOOKUP(A831,'Subbu- Mini Project EXcel Clean'!A831:A1830,'Subbu- Mini Project EXcel Clean'!K831:K1830," ",0)</f>
        <v>76.5</v>
      </c>
    </row>
    <row r="832" spans="1:3" x14ac:dyDescent="0.25">
      <c r="A832" t="s">
        <v>860</v>
      </c>
      <c r="B832">
        <f>_xlfn.XLOOKUP(A832,'Subbu- Mini Project EXcel Clean'!A832:A1831,'Subbu- Mini Project EXcel Clean'!L832:L1831," ",0)</f>
        <v>160</v>
      </c>
      <c r="C832">
        <f>_xlfn.XLOOKUP(A832,'Subbu- Mini Project EXcel Clean'!A832:A1831,'Subbu- Mini Project EXcel Clean'!K832:K1831," ",0)</f>
        <v>66.8</v>
      </c>
    </row>
    <row r="833" spans="1:3" x14ac:dyDescent="0.25">
      <c r="A833" t="s">
        <v>861</v>
      </c>
      <c r="B833">
        <f>_xlfn.XLOOKUP(A833,'Subbu- Mini Project EXcel Clean'!A833:A1832,'Subbu- Mini Project EXcel Clean'!L833:L1832," ",0)</f>
        <v>158</v>
      </c>
      <c r="C833">
        <f>_xlfn.XLOOKUP(A833,'Subbu- Mini Project EXcel Clean'!A833:A1832,'Subbu- Mini Project EXcel Clean'!K833:K1832," ",0)</f>
        <v>66</v>
      </c>
    </row>
    <row r="834" spans="1:3" x14ac:dyDescent="0.25">
      <c r="A834" t="s">
        <v>862</v>
      </c>
      <c r="B834">
        <f>_xlfn.XLOOKUP(A834,'Subbu- Mini Project EXcel Clean'!A834:A1833,'Subbu- Mini Project EXcel Clean'!L834:L1833," ",0)</f>
        <v>164</v>
      </c>
      <c r="C834">
        <f>_xlfn.XLOOKUP(A834,'Subbu- Mini Project EXcel Clean'!A834:A1833,'Subbu- Mini Project EXcel Clean'!K834:K1833," ",0)</f>
        <v>68.3</v>
      </c>
    </row>
    <row r="835" spans="1:3" x14ac:dyDescent="0.25">
      <c r="A835" t="s">
        <v>863</v>
      </c>
      <c r="B835">
        <f>_xlfn.XLOOKUP(A835,'Subbu- Mini Project EXcel Clean'!A835:A1834,'Subbu- Mini Project EXcel Clean'!L835:L1834," ",0)</f>
        <v>138</v>
      </c>
      <c r="C835">
        <f>_xlfn.XLOOKUP(A835,'Subbu- Mini Project EXcel Clean'!A835:A1834,'Subbu- Mini Project EXcel Clean'!K835:K1834," ",0)</f>
        <v>57.7</v>
      </c>
    </row>
    <row r="836" spans="1:3" x14ac:dyDescent="0.25">
      <c r="A836" t="s">
        <v>864</v>
      </c>
      <c r="B836">
        <f>_xlfn.XLOOKUP(A836,'Subbu- Mini Project EXcel Clean'!A836:A1835,'Subbu- Mini Project EXcel Clean'!L836:L1835," ",0)</f>
        <v>181</v>
      </c>
      <c r="C836">
        <f>_xlfn.XLOOKUP(A836,'Subbu- Mini Project EXcel Clean'!A836:A1835,'Subbu- Mini Project EXcel Clean'!K836:K1835," ",0)</f>
        <v>75.400000000000006</v>
      </c>
    </row>
    <row r="837" spans="1:3" x14ac:dyDescent="0.25">
      <c r="A837" t="s">
        <v>865</v>
      </c>
      <c r="B837">
        <f>_xlfn.XLOOKUP(A837,'Subbu- Mini Project EXcel Clean'!A837:A1836,'Subbu- Mini Project EXcel Clean'!L837:L1836," ",0)</f>
        <v>162</v>
      </c>
      <c r="C837">
        <f>_xlfn.XLOOKUP(A837,'Subbu- Mini Project EXcel Clean'!A837:A1836,'Subbu- Mini Project EXcel Clean'!K837:K1836," ",0)</f>
        <v>67.5</v>
      </c>
    </row>
    <row r="838" spans="1:3" x14ac:dyDescent="0.25">
      <c r="A838" t="s">
        <v>866</v>
      </c>
      <c r="B838">
        <f>_xlfn.XLOOKUP(A838,'Subbu- Mini Project EXcel Clean'!A838:A1837,'Subbu- Mini Project EXcel Clean'!L838:L1837," ",0)</f>
        <v>200</v>
      </c>
      <c r="C838">
        <f>_xlfn.XLOOKUP(A838,'Subbu- Mini Project EXcel Clean'!A838:A1837,'Subbu- Mini Project EXcel Clean'!K838:K1837," ",0)</f>
        <v>83.3</v>
      </c>
    </row>
    <row r="839" spans="1:3" x14ac:dyDescent="0.25">
      <c r="A839" t="s">
        <v>867</v>
      </c>
      <c r="B839">
        <f>_xlfn.XLOOKUP(A839,'Subbu- Mini Project EXcel Clean'!A839:A1838,'Subbu- Mini Project EXcel Clean'!L839:L1838," ",0)</f>
        <v>174</v>
      </c>
      <c r="C839">
        <f>_xlfn.XLOOKUP(A839,'Subbu- Mini Project EXcel Clean'!A839:A1838,'Subbu- Mini Project EXcel Clean'!K839:K1838," ",0)</f>
        <v>72.5</v>
      </c>
    </row>
    <row r="840" spans="1:3" x14ac:dyDescent="0.25">
      <c r="A840" t="s">
        <v>868</v>
      </c>
      <c r="B840">
        <f>_xlfn.XLOOKUP(A840,'Subbu- Mini Project EXcel Clean'!A840:A1839,'Subbu- Mini Project EXcel Clean'!L840:L1839," ",0)</f>
        <v>189</v>
      </c>
      <c r="C840">
        <f>_xlfn.XLOOKUP(A840,'Subbu- Mini Project EXcel Clean'!A840:A1839,'Subbu- Mini Project EXcel Clean'!K840:K1839," ",0)</f>
        <v>78.599999999999994</v>
      </c>
    </row>
    <row r="841" spans="1:3" x14ac:dyDescent="0.25">
      <c r="A841" t="s">
        <v>869</v>
      </c>
      <c r="B841">
        <f>_xlfn.XLOOKUP(A841,'Subbu- Mini Project EXcel Clean'!A841:A1840,'Subbu- Mini Project EXcel Clean'!L841:L1840," ",0)</f>
        <v>202</v>
      </c>
      <c r="C841">
        <f>_xlfn.XLOOKUP(A841,'Subbu- Mini Project EXcel Clean'!A841:A1840,'Subbu- Mini Project EXcel Clean'!K841:K1840," ",0)</f>
        <v>84.1</v>
      </c>
    </row>
    <row r="842" spans="1:3" x14ac:dyDescent="0.25">
      <c r="A842" t="s">
        <v>870</v>
      </c>
      <c r="B842">
        <f>_xlfn.XLOOKUP(A842,'Subbu- Mini Project EXcel Clean'!A842:A1841,'Subbu- Mini Project EXcel Clean'!L842:L1841," ",0)</f>
        <v>144</v>
      </c>
      <c r="C842">
        <f>_xlfn.XLOOKUP(A842,'Subbu- Mini Project EXcel Clean'!A842:A1841,'Subbu- Mini Project EXcel Clean'!K842:K1841," ",0)</f>
        <v>59.9</v>
      </c>
    </row>
    <row r="843" spans="1:3" x14ac:dyDescent="0.25">
      <c r="A843" t="s">
        <v>871</v>
      </c>
      <c r="B843">
        <f>_xlfn.XLOOKUP(A843,'Subbu- Mini Project EXcel Clean'!A843:A1842,'Subbu- Mini Project EXcel Clean'!L843:L1842," ",0)</f>
        <v>192</v>
      </c>
      <c r="C843">
        <f>_xlfn.XLOOKUP(A843,'Subbu- Mini Project EXcel Clean'!A843:A1842,'Subbu- Mini Project EXcel Clean'!K843:K1842," ",0)</f>
        <v>79.8</v>
      </c>
    </row>
    <row r="844" spans="1:3" x14ac:dyDescent="0.25">
      <c r="A844" t="s">
        <v>872</v>
      </c>
      <c r="B844">
        <f>_xlfn.XLOOKUP(A844,'Subbu- Mini Project EXcel Clean'!A844:A1843,'Subbu- Mini Project EXcel Clean'!L844:L1843," ",0)</f>
        <v>150</v>
      </c>
      <c r="C844">
        <f>_xlfn.XLOOKUP(A844,'Subbu- Mini Project EXcel Clean'!A844:A1843,'Subbu- Mini Project EXcel Clean'!K844:K1843," ",0)</f>
        <v>62.7</v>
      </c>
    </row>
    <row r="845" spans="1:3" x14ac:dyDescent="0.25">
      <c r="A845" t="s">
        <v>873</v>
      </c>
      <c r="B845">
        <f>_xlfn.XLOOKUP(A845,'Subbu- Mini Project EXcel Clean'!A845:A1844,'Subbu- Mini Project EXcel Clean'!L845:L1844," ",0)</f>
        <v>210</v>
      </c>
      <c r="C845">
        <f>_xlfn.XLOOKUP(A845,'Subbu- Mini Project EXcel Clean'!A845:A1844,'Subbu- Mini Project EXcel Clean'!K845:K1844," ",0)</f>
        <v>87.3</v>
      </c>
    </row>
    <row r="846" spans="1:3" x14ac:dyDescent="0.25">
      <c r="A846" t="s">
        <v>874</v>
      </c>
      <c r="B846">
        <f>_xlfn.XLOOKUP(A846,'Subbu- Mini Project EXcel Clean'!A846:A1845,'Subbu- Mini Project EXcel Clean'!L846:L1845," ",0)</f>
        <v>159</v>
      </c>
      <c r="C846">
        <f>_xlfn.XLOOKUP(A846,'Subbu- Mini Project EXcel Clean'!A846:A1845,'Subbu- Mini Project EXcel Clean'!K846:K1845," ",0)</f>
        <v>66.3</v>
      </c>
    </row>
    <row r="847" spans="1:3" x14ac:dyDescent="0.25">
      <c r="A847" t="s">
        <v>875</v>
      </c>
      <c r="B847">
        <f>_xlfn.XLOOKUP(A847,'Subbu- Mini Project EXcel Clean'!A847:A1846,'Subbu- Mini Project EXcel Clean'!L847:L1846," ",0)</f>
        <v>170</v>
      </c>
      <c r="C847">
        <f>_xlfn.XLOOKUP(A847,'Subbu- Mini Project EXcel Clean'!A847:A1846,'Subbu- Mini Project EXcel Clean'!K847:K1846," ",0)</f>
        <v>70.900000000000006</v>
      </c>
    </row>
    <row r="848" spans="1:3" x14ac:dyDescent="0.25">
      <c r="A848" t="s">
        <v>876</v>
      </c>
      <c r="B848">
        <f>_xlfn.XLOOKUP(A848,'Subbu- Mini Project EXcel Clean'!A848:A1847,'Subbu- Mini Project EXcel Clean'!L848:L1847," ",0)</f>
        <v>128</v>
      </c>
      <c r="C848">
        <f>_xlfn.XLOOKUP(A848,'Subbu- Mini Project EXcel Clean'!A848:A1847,'Subbu- Mini Project EXcel Clean'!K848:K1847," ",0)</f>
        <v>53.3</v>
      </c>
    </row>
    <row r="849" spans="1:3" x14ac:dyDescent="0.25">
      <c r="A849" t="s">
        <v>877</v>
      </c>
      <c r="B849">
        <f>_xlfn.XLOOKUP(A849,'Subbu- Mini Project EXcel Clean'!A849:A1848,'Subbu- Mini Project EXcel Clean'!L849:L1848," ",0)</f>
        <v>214</v>
      </c>
      <c r="C849">
        <f>_xlfn.XLOOKUP(A849,'Subbu- Mini Project EXcel Clean'!A849:A1848,'Subbu- Mini Project EXcel Clean'!K849:K1848," ",0)</f>
        <v>89.1</v>
      </c>
    </row>
    <row r="850" spans="1:3" x14ac:dyDescent="0.25">
      <c r="A850" t="s">
        <v>878</v>
      </c>
      <c r="B850">
        <f>_xlfn.XLOOKUP(A850,'Subbu- Mini Project EXcel Clean'!A850:A1849,'Subbu- Mini Project EXcel Clean'!L850:L1849," ",0)</f>
        <v>181</v>
      </c>
      <c r="C850">
        <f>_xlfn.XLOOKUP(A850,'Subbu- Mini Project EXcel Clean'!A850:A1849,'Subbu- Mini Project EXcel Clean'!K850:K1849," ",0)</f>
        <v>75.599999999999994</v>
      </c>
    </row>
    <row r="851" spans="1:3" x14ac:dyDescent="0.25">
      <c r="A851" t="s">
        <v>879</v>
      </c>
      <c r="B851">
        <f>_xlfn.XLOOKUP(A851,'Subbu- Mini Project EXcel Clean'!A851:A1850,'Subbu- Mini Project EXcel Clean'!L851:L1850," ",0)</f>
        <v>175</v>
      </c>
      <c r="C851">
        <f>_xlfn.XLOOKUP(A851,'Subbu- Mini Project EXcel Clean'!A851:A1850,'Subbu- Mini Project EXcel Clean'!K851:K1850," ",0)</f>
        <v>73</v>
      </c>
    </row>
    <row r="852" spans="1:3" x14ac:dyDescent="0.25">
      <c r="A852" t="s">
        <v>880</v>
      </c>
      <c r="B852">
        <f>_xlfn.XLOOKUP(A852,'Subbu- Mini Project EXcel Clean'!A852:A1851,'Subbu- Mini Project EXcel Clean'!L852:L1851," ",0)</f>
        <v>133</v>
      </c>
      <c r="C852">
        <f>_xlfn.XLOOKUP(A852,'Subbu- Mini Project EXcel Clean'!A852:A1851,'Subbu- Mini Project EXcel Clean'!K852:K1851," ",0)</f>
        <v>55.4</v>
      </c>
    </row>
    <row r="853" spans="1:3" x14ac:dyDescent="0.25">
      <c r="A853" t="s">
        <v>881</v>
      </c>
      <c r="B853">
        <f>_xlfn.XLOOKUP(A853,'Subbu- Mini Project EXcel Clean'!A853:A1852,'Subbu- Mini Project EXcel Clean'!L853:L1852," ",0)</f>
        <v>211</v>
      </c>
      <c r="C853">
        <f>_xlfn.XLOOKUP(A853,'Subbu- Mini Project EXcel Clean'!A853:A1852,'Subbu- Mini Project EXcel Clean'!K853:K1852," ",0)</f>
        <v>88</v>
      </c>
    </row>
    <row r="854" spans="1:3" x14ac:dyDescent="0.25">
      <c r="A854" t="s">
        <v>882</v>
      </c>
      <c r="B854">
        <f>_xlfn.XLOOKUP(A854,'Subbu- Mini Project EXcel Clean'!A854:A1853,'Subbu- Mini Project EXcel Clean'!L854:L1853," ",0)</f>
        <v>164</v>
      </c>
      <c r="C854">
        <f>_xlfn.XLOOKUP(A854,'Subbu- Mini Project EXcel Clean'!A854:A1853,'Subbu- Mini Project EXcel Clean'!K854:K1853," ",0)</f>
        <v>68.2</v>
      </c>
    </row>
    <row r="855" spans="1:3" x14ac:dyDescent="0.25">
      <c r="A855" t="s">
        <v>883</v>
      </c>
      <c r="B855">
        <f>_xlfn.XLOOKUP(A855,'Subbu- Mini Project EXcel Clean'!A855:A1854,'Subbu- Mini Project EXcel Clean'!L855:L1854," ",0)</f>
        <v>201</v>
      </c>
      <c r="C855">
        <f>_xlfn.XLOOKUP(A855,'Subbu- Mini Project EXcel Clean'!A855:A1854,'Subbu- Mini Project EXcel Clean'!K855:K1854," ",0)</f>
        <v>83.6</v>
      </c>
    </row>
    <row r="856" spans="1:3" x14ac:dyDescent="0.25">
      <c r="A856" t="s">
        <v>884</v>
      </c>
      <c r="B856">
        <f>_xlfn.XLOOKUP(A856,'Subbu- Mini Project EXcel Clean'!A856:A1855,'Subbu- Mini Project EXcel Clean'!L856:L1855," ",0)</f>
        <v>144</v>
      </c>
      <c r="C856">
        <f>_xlfn.XLOOKUP(A856,'Subbu- Mini Project EXcel Clean'!A856:A1855,'Subbu- Mini Project EXcel Clean'!K856:K1855," ",0)</f>
        <v>60</v>
      </c>
    </row>
    <row r="857" spans="1:3" x14ac:dyDescent="0.25">
      <c r="A857" t="s">
        <v>885</v>
      </c>
      <c r="B857">
        <f>_xlfn.XLOOKUP(A857,'Subbu- Mini Project EXcel Clean'!A857:A1856,'Subbu- Mini Project EXcel Clean'!L857:L1856," ",0)</f>
        <v>147</v>
      </c>
      <c r="C857">
        <f>_xlfn.XLOOKUP(A857,'Subbu- Mini Project EXcel Clean'!A857:A1856,'Subbu- Mini Project EXcel Clean'!K857:K1856," ",0)</f>
        <v>61.1</v>
      </c>
    </row>
    <row r="858" spans="1:3" x14ac:dyDescent="0.25">
      <c r="A858" t="s">
        <v>886</v>
      </c>
      <c r="B858">
        <f>_xlfn.XLOOKUP(A858,'Subbu- Mini Project EXcel Clean'!A858:A1857,'Subbu- Mini Project EXcel Clean'!L858:L1857," ",0)</f>
        <v>162</v>
      </c>
      <c r="C858">
        <f>_xlfn.XLOOKUP(A858,'Subbu- Mini Project EXcel Clean'!A858:A1857,'Subbu- Mini Project EXcel Clean'!K858:K1857," ",0)</f>
        <v>67.5</v>
      </c>
    </row>
    <row r="859" spans="1:3" x14ac:dyDescent="0.25">
      <c r="A859" t="s">
        <v>887</v>
      </c>
      <c r="B859">
        <f>_xlfn.XLOOKUP(A859,'Subbu- Mini Project EXcel Clean'!A859:A1858,'Subbu- Mini Project EXcel Clean'!L859:L1858," ",0)</f>
        <v>177</v>
      </c>
      <c r="C859">
        <f>_xlfn.XLOOKUP(A859,'Subbu- Mini Project EXcel Clean'!A859:A1858,'Subbu- Mini Project EXcel Clean'!K859:K1858," ",0)</f>
        <v>73.7</v>
      </c>
    </row>
    <row r="860" spans="1:3" x14ac:dyDescent="0.25">
      <c r="A860" t="s">
        <v>888</v>
      </c>
      <c r="B860">
        <f>_xlfn.XLOOKUP(A860,'Subbu- Mini Project EXcel Clean'!A860:A1859,'Subbu- Mini Project EXcel Clean'!L860:L1859," ",0)</f>
        <v>175</v>
      </c>
      <c r="C860">
        <f>_xlfn.XLOOKUP(A860,'Subbu- Mini Project EXcel Clean'!A860:A1859,'Subbu- Mini Project EXcel Clean'!K860:K1859," ",0)</f>
        <v>72.8</v>
      </c>
    </row>
    <row r="861" spans="1:3" x14ac:dyDescent="0.25">
      <c r="A861" t="s">
        <v>889</v>
      </c>
      <c r="B861">
        <f>_xlfn.XLOOKUP(A861,'Subbu- Mini Project EXcel Clean'!A861:A1860,'Subbu- Mini Project EXcel Clean'!L861:L1860," ",0)</f>
        <v>155</v>
      </c>
      <c r="C861">
        <f>_xlfn.XLOOKUP(A861,'Subbu- Mini Project EXcel Clean'!A861:A1860,'Subbu- Mini Project EXcel Clean'!K861:K1860," ",0)</f>
        <v>64.400000000000006</v>
      </c>
    </row>
    <row r="862" spans="1:3" x14ac:dyDescent="0.25">
      <c r="A862" t="s">
        <v>890</v>
      </c>
      <c r="B862">
        <f>_xlfn.XLOOKUP(A862,'Subbu- Mini Project EXcel Clean'!A862:A1861,'Subbu- Mini Project EXcel Clean'!L862:L1861," ",0)</f>
        <v>186</v>
      </c>
      <c r="C862">
        <f>_xlfn.XLOOKUP(A862,'Subbu- Mini Project EXcel Clean'!A862:A1861,'Subbu- Mini Project EXcel Clean'!K862:K1861," ",0)</f>
        <v>77.3</v>
      </c>
    </row>
    <row r="863" spans="1:3" x14ac:dyDescent="0.25">
      <c r="A863" t="s">
        <v>891</v>
      </c>
      <c r="B863">
        <f>_xlfn.XLOOKUP(A863,'Subbu- Mini Project EXcel Clean'!A863:A1862,'Subbu- Mini Project EXcel Clean'!L863:L1862," ",0)</f>
        <v>192</v>
      </c>
      <c r="C863">
        <f>_xlfn.XLOOKUP(A863,'Subbu- Mini Project EXcel Clean'!A863:A1862,'Subbu- Mini Project EXcel Clean'!K863:K1862," ",0)</f>
        <v>80</v>
      </c>
    </row>
    <row r="864" spans="1:3" x14ac:dyDescent="0.25">
      <c r="A864" t="s">
        <v>892</v>
      </c>
      <c r="B864">
        <f>_xlfn.XLOOKUP(A864,'Subbu- Mini Project EXcel Clean'!A864:A1863,'Subbu- Mini Project EXcel Clean'!L864:L1863," ",0)</f>
        <v>195</v>
      </c>
      <c r="C864">
        <f>_xlfn.XLOOKUP(A864,'Subbu- Mini Project EXcel Clean'!A864:A1863,'Subbu- Mini Project EXcel Clean'!K864:K1863," ",0)</f>
        <v>81.2</v>
      </c>
    </row>
    <row r="865" spans="1:3" x14ac:dyDescent="0.25">
      <c r="A865" t="s">
        <v>893</v>
      </c>
      <c r="B865">
        <f>_xlfn.XLOOKUP(A865,'Subbu- Mini Project EXcel Clean'!A865:A1864,'Subbu- Mini Project EXcel Clean'!L865:L1864," ",0)</f>
        <v>168</v>
      </c>
      <c r="C865">
        <f>_xlfn.XLOOKUP(A865,'Subbu- Mini Project EXcel Clean'!A865:A1864,'Subbu- Mini Project EXcel Clean'!K865:K1864," ",0)</f>
        <v>69.8</v>
      </c>
    </row>
    <row r="866" spans="1:3" x14ac:dyDescent="0.25">
      <c r="A866" t="s">
        <v>894</v>
      </c>
      <c r="B866">
        <f>_xlfn.XLOOKUP(A866,'Subbu- Mini Project EXcel Clean'!A866:A1865,'Subbu- Mini Project EXcel Clean'!L866:L1865," ",0)</f>
        <v>163</v>
      </c>
      <c r="C866">
        <f>_xlfn.XLOOKUP(A866,'Subbu- Mini Project EXcel Clean'!A866:A1865,'Subbu- Mini Project EXcel Clean'!K866:K1865," ",0)</f>
        <v>67.900000000000006</v>
      </c>
    </row>
    <row r="867" spans="1:3" x14ac:dyDescent="0.25">
      <c r="A867" t="s">
        <v>895</v>
      </c>
      <c r="B867">
        <f>_xlfn.XLOOKUP(A867,'Subbu- Mini Project EXcel Clean'!A867:A1866,'Subbu- Mini Project EXcel Clean'!L867:L1866," ",0)</f>
        <v>150</v>
      </c>
      <c r="C867">
        <f>_xlfn.XLOOKUP(A867,'Subbu- Mini Project EXcel Clean'!A867:A1866,'Subbu- Mini Project EXcel Clean'!K867:K1866," ",0)</f>
        <v>62.3</v>
      </c>
    </row>
    <row r="868" spans="1:3" x14ac:dyDescent="0.25">
      <c r="A868" t="s">
        <v>896</v>
      </c>
      <c r="B868">
        <f>_xlfn.XLOOKUP(A868,'Subbu- Mini Project EXcel Clean'!A868:A1867,'Subbu- Mini Project EXcel Clean'!L868:L1867," ",0)</f>
        <v>137</v>
      </c>
      <c r="C868">
        <f>_xlfn.XLOOKUP(A868,'Subbu- Mini Project EXcel Clean'!A868:A1867,'Subbu- Mini Project EXcel Clean'!K868:K1867," ",0)</f>
        <v>56.9</v>
      </c>
    </row>
    <row r="869" spans="1:3" x14ac:dyDescent="0.25">
      <c r="A869" t="s">
        <v>897</v>
      </c>
      <c r="B869">
        <f>_xlfn.XLOOKUP(A869,'Subbu- Mini Project EXcel Clean'!A869:A1868,'Subbu- Mini Project EXcel Clean'!L869:L1868," ",0)</f>
        <v>140</v>
      </c>
      <c r="C869">
        <f>_xlfn.XLOOKUP(A869,'Subbu- Mini Project EXcel Clean'!A869:A1868,'Subbu- Mini Project EXcel Clean'!K869:K1868," ",0)</f>
        <v>58.3</v>
      </c>
    </row>
    <row r="870" spans="1:3" x14ac:dyDescent="0.25">
      <c r="A870" t="s">
        <v>898</v>
      </c>
      <c r="B870">
        <f>_xlfn.XLOOKUP(A870,'Subbu- Mini Project EXcel Clean'!A870:A1869,'Subbu- Mini Project EXcel Clean'!L870:L1869," ",0)</f>
        <v>203</v>
      </c>
      <c r="C870">
        <f>_xlfn.XLOOKUP(A870,'Subbu- Mini Project EXcel Clean'!A870:A1869,'Subbu- Mini Project EXcel Clean'!K870:K1869," ",0)</f>
        <v>84.4</v>
      </c>
    </row>
    <row r="871" spans="1:3" x14ac:dyDescent="0.25">
      <c r="A871" t="s">
        <v>899</v>
      </c>
      <c r="B871">
        <f>_xlfn.XLOOKUP(A871,'Subbu- Mini Project EXcel Clean'!A871:A1870,'Subbu- Mini Project EXcel Clean'!L871:L1870," ",0)</f>
        <v>203</v>
      </c>
      <c r="C871">
        <f>_xlfn.XLOOKUP(A871,'Subbu- Mini Project EXcel Clean'!A871:A1870,'Subbu- Mini Project EXcel Clean'!K871:K1870," ",0)</f>
        <v>84.4</v>
      </c>
    </row>
    <row r="872" spans="1:3" x14ac:dyDescent="0.25">
      <c r="A872" t="s">
        <v>900</v>
      </c>
      <c r="B872">
        <f>_xlfn.XLOOKUP(A872,'Subbu- Mini Project EXcel Clean'!A872:A1871,'Subbu- Mini Project EXcel Clean'!L872:L1871," ",0)</f>
        <v>152</v>
      </c>
      <c r="C872">
        <f>_xlfn.XLOOKUP(A872,'Subbu- Mini Project EXcel Clean'!A872:A1871,'Subbu- Mini Project EXcel Clean'!K872:K1871," ",0)</f>
        <v>63.5</v>
      </c>
    </row>
    <row r="873" spans="1:3" x14ac:dyDescent="0.25">
      <c r="A873" t="s">
        <v>901</v>
      </c>
      <c r="B873">
        <f>_xlfn.XLOOKUP(A873,'Subbu- Mini Project EXcel Clean'!A873:A1872,'Subbu- Mini Project EXcel Clean'!L873:L1872," ",0)</f>
        <v>158</v>
      </c>
      <c r="C873">
        <f>_xlfn.XLOOKUP(A873,'Subbu- Mini Project EXcel Clean'!A873:A1872,'Subbu- Mini Project EXcel Clean'!K873:K1872," ",0)</f>
        <v>66</v>
      </c>
    </row>
    <row r="874" spans="1:3" x14ac:dyDescent="0.25">
      <c r="A874" t="s">
        <v>902</v>
      </c>
      <c r="B874">
        <f>_xlfn.XLOOKUP(A874,'Subbu- Mini Project EXcel Clean'!A874:A1873,'Subbu- Mini Project EXcel Clean'!L874:L1873," ",0)</f>
        <v>192</v>
      </c>
      <c r="C874">
        <f>_xlfn.XLOOKUP(A874,'Subbu- Mini Project EXcel Clean'!A874:A1873,'Subbu- Mini Project EXcel Clean'!K874:K1873," ",0)</f>
        <v>80.2</v>
      </c>
    </row>
    <row r="875" spans="1:3" x14ac:dyDescent="0.25">
      <c r="A875" t="s">
        <v>903</v>
      </c>
      <c r="B875">
        <f>_xlfn.XLOOKUP(A875,'Subbu- Mini Project EXcel Clean'!A875:A1874,'Subbu- Mini Project EXcel Clean'!L875:L1874," ",0)</f>
        <v>177</v>
      </c>
      <c r="C875">
        <f>_xlfn.XLOOKUP(A875,'Subbu- Mini Project EXcel Clean'!A875:A1874,'Subbu- Mini Project EXcel Clean'!K875:K1874," ",0)</f>
        <v>73.900000000000006</v>
      </c>
    </row>
    <row r="876" spans="1:3" x14ac:dyDescent="0.25">
      <c r="A876" t="s">
        <v>904</v>
      </c>
      <c r="B876">
        <f>_xlfn.XLOOKUP(A876,'Subbu- Mini Project EXcel Clean'!A876:A1875,'Subbu- Mini Project EXcel Clean'!L876:L1875," ",0)</f>
        <v>123</v>
      </c>
      <c r="C876">
        <f>_xlfn.XLOOKUP(A876,'Subbu- Mini Project EXcel Clean'!A876:A1875,'Subbu- Mini Project EXcel Clean'!K876:K1875," ",0)</f>
        <v>51.2</v>
      </c>
    </row>
    <row r="877" spans="1:3" x14ac:dyDescent="0.25">
      <c r="A877" t="s">
        <v>905</v>
      </c>
      <c r="B877">
        <f>_xlfn.XLOOKUP(A877,'Subbu- Mini Project EXcel Clean'!A877:A1876,'Subbu- Mini Project EXcel Clean'!L877:L1876," ",0)</f>
        <v>153</v>
      </c>
      <c r="C877">
        <f>_xlfn.XLOOKUP(A877,'Subbu- Mini Project EXcel Clean'!A877:A1876,'Subbu- Mini Project EXcel Clean'!K877:K1876," ",0)</f>
        <v>63.7</v>
      </c>
    </row>
    <row r="878" spans="1:3" x14ac:dyDescent="0.25">
      <c r="A878" t="s">
        <v>906</v>
      </c>
      <c r="B878">
        <f>_xlfn.XLOOKUP(A878,'Subbu- Mini Project EXcel Clean'!A878:A1877,'Subbu- Mini Project EXcel Clean'!L878:L1877," ",0)</f>
        <v>175</v>
      </c>
      <c r="C878">
        <f>_xlfn.XLOOKUP(A878,'Subbu- Mini Project EXcel Clean'!A878:A1877,'Subbu- Mini Project EXcel Clean'!K878:K1877," ",0)</f>
        <v>72.8</v>
      </c>
    </row>
    <row r="879" spans="1:3" x14ac:dyDescent="0.25">
      <c r="A879" t="s">
        <v>907</v>
      </c>
      <c r="B879">
        <f>_xlfn.XLOOKUP(A879,'Subbu- Mini Project EXcel Clean'!A879:A1878,'Subbu- Mini Project EXcel Clean'!L879:L1878," ",0)</f>
        <v>198</v>
      </c>
      <c r="C879">
        <f>_xlfn.XLOOKUP(A879,'Subbu- Mini Project EXcel Clean'!A879:A1878,'Subbu- Mini Project EXcel Clean'!K879:K1878," ",0)</f>
        <v>82.6</v>
      </c>
    </row>
    <row r="880" spans="1:3" x14ac:dyDescent="0.25">
      <c r="A880" t="s">
        <v>908</v>
      </c>
      <c r="B880">
        <f>_xlfn.XLOOKUP(A880,'Subbu- Mini Project EXcel Clean'!A880:A1879,'Subbu- Mini Project EXcel Clean'!L880:L1879," ",0)</f>
        <v>155</v>
      </c>
      <c r="C880">
        <f>_xlfn.XLOOKUP(A880,'Subbu- Mini Project EXcel Clean'!A880:A1879,'Subbu- Mini Project EXcel Clean'!K880:K1879," ",0)</f>
        <v>64.7</v>
      </c>
    </row>
    <row r="881" spans="1:3" x14ac:dyDescent="0.25">
      <c r="A881" t="s">
        <v>909</v>
      </c>
      <c r="B881">
        <f>_xlfn.XLOOKUP(A881,'Subbu- Mini Project EXcel Clean'!A881:A1880,'Subbu- Mini Project EXcel Clean'!L881:L1880," ",0)</f>
        <v>148</v>
      </c>
      <c r="C881">
        <f>_xlfn.XLOOKUP(A881,'Subbu- Mini Project EXcel Clean'!A881:A1880,'Subbu- Mini Project EXcel Clean'!K881:K1880," ",0)</f>
        <v>61.6</v>
      </c>
    </row>
    <row r="882" spans="1:3" x14ac:dyDescent="0.25">
      <c r="A882" t="s">
        <v>910</v>
      </c>
      <c r="B882">
        <f>_xlfn.XLOOKUP(A882,'Subbu- Mini Project EXcel Clean'!A882:A1881,'Subbu- Mini Project EXcel Clean'!L882:L1881," ",0)</f>
        <v>150</v>
      </c>
      <c r="C882">
        <f>_xlfn.XLOOKUP(A882,'Subbu- Mini Project EXcel Clean'!A882:A1881,'Subbu- Mini Project EXcel Clean'!K882:K1881," ",0)</f>
        <v>62.5</v>
      </c>
    </row>
    <row r="883" spans="1:3" x14ac:dyDescent="0.25">
      <c r="A883" t="s">
        <v>911</v>
      </c>
      <c r="B883">
        <f>_xlfn.XLOOKUP(A883,'Subbu- Mini Project EXcel Clean'!A883:A1882,'Subbu- Mini Project EXcel Clean'!L883:L1882," ",0)</f>
        <v>183</v>
      </c>
      <c r="C883">
        <f>_xlfn.XLOOKUP(A883,'Subbu- Mini Project EXcel Clean'!A883:A1882,'Subbu- Mini Project EXcel Clean'!K883:K1882," ",0)</f>
        <v>76.2</v>
      </c>
    </row>
    <row r="884" spans="1:3" x14ac:dyDescent="0.25">
      <c r="A884" t="s">
        <v>912</v>
      </c>
      <c r="B884">
        <f>_xlfn.XLOOKUP(A884,'Subbu- Mini Project EXcel Clean'!A884:A1883,'Subbu- Mini Project EXcel Clean'!L884:L1883," ",0)</f>
        <v>118</v>
      </c>
      <c r="C884">
        <f>_xlfn.XLOOKUP(A884,'Subbu- Mini Project EXcel Clean'!A884:A1883,'Subbu- Mini Project EXcel Clean'!K884:K1883," ",0)</f>
        <v>49.3</v>
      </c>
    </row>
    <row r="885" spans="1:3" x14ac:dyDescent="0.25">
      <c r="A885" t="s">
        <v>913</v>
      </c>
      <c r="B885">
        <f>_xlfn.XLOOKUP(A885,'Subbu- Mini Project EXcel Clean'!A885:A1884,'Subbu- Mini Project EXcel Clean'!L885:L1884," ",0)</f>
        <v>155</v>
      </c>
      <c r="C885">
        <f>_xlfn.XLOOKUP(A885,'Subbu- Mini Project EXcel Clean'!A885:A1884,'Subbu- Mini Project EXcel Clean'!K885:K1884," ",0)</f>
        <v>64.5</v>
      </c>
    </row>
    <row r="886" spans="1:3" x14ac:dyDescent="0.25">
      <c r="A886" t="s">
        <v>914</v>
      </c>
      <c r="B886">
        <f>_xlfn.XLOOKUP(A886,'Subbu- Mini Project EXcel Clean'!A886:A1885,'Subbu- Mini Project EXcel Clean'!L886:L1885," ",0)</f>
        <v>193</v>
      </c>
      <c r="C886">
        <f>_xlfn.XLOOKUP(A886,'Subbu- Mini Project EXcel Clean'!A886:A1885,'Subbu- Mini Project EXcel Clean'!K886:K1885," ",0)</f>
        <v>80.599999999999994</v>
      </c>
    </row>
    <row r="887" spans="1:3" x14ac:dyDescent="0.25">
      <c r="A887" t="s">
        <v>915</v>
      </c>
      <c r="B887">
        <f>_xlfn.XLOOKUP(A887,'Subbu- Mini Project EXcel Clean'!A887:A1886,'Subbu- Mini Project EXcel Clean'!L887:L1886," ",0)</f>
        <v>168</v>
      </c>
      <c r="C887">
        <f>_xlfn.XLOOKUP(A887,'Subbu- Mini Project EXcel Clean'!A887:A1886,'Subbu- Mini Project EXcel Clean'!K887:K1886," ",0)</f>
        <v>69.8</v>
      </c>
    </row>
    <row r="888" spans="1:3" x14ac:dyDescent="0.25">
      <c r="A888" t="s">
        <v>916</v>
      </c>
      <c r="B888">
        <f>_xlfn.XLOOKUP(A888,'Subbu- Mini Project EXcel Clean'!A888:A1887,'Subbu- Mini Project EXcel Clean'!L888:L1887," ",0)</f>
        <v>174</v>
      </c>
      <c r="C888">
        <f>_xlfn.XLOOKUP(A888,'Subbu- Mini Project EXcel Clean'!A888:A1887,'Subbu- Mini Project EXcel Clean'!K888:K1887," ",0)</f>
        <v>72.5</v>
      </c>
    </row>
    <row r="889" spans="1:3" x14ac:dyDescent="0.25">
      <c r="A889" t="s">
        <v>917</v>
      </c>
      <c r="B889">
        <f>_xlfn.XLOOKUP(A889,'Subbu- Mini Project EXcel Clean'!A889:A1888,'Subbu- Mini Project EXcel Clean'!L889:L1888," ",0)</f>
        <v>152</v>
      </c>
      <c r="C889">
        <f>_xlfn.XLOOKUP(A889,'Subbu- Mini Project EXcel Clean'!A889:A1888,'Subbu- Mini Project EXcel Clean'!K889:K1888," ",0)</f>
        <v>63.5</v>
      </c>
    </row>
    <row r="890" spans="1:3" x14ac:dyDescent="0.25">
      <c r="A890" t="s">
        <v>918</v>
      </c>
      <c r="B890">
        <f>_xlfn.XLOOKUP(A890,'Subbu- Mini Project EXcel Clean'!A890:A1889,'Subbu- Mini Project EXcel Clean'!L890:L1889," ",0)</f>
        <v>132</v>
      </c>
      <c r="C890">
        <f>_xlfn.XLOOKUP(A890,'Subbu- Mini Project EXcel Clean'!A890:A1889,'Subbu- Mini Project EXcel Clean'!K890:K1889," ",0)</f>
        <v>55.2</v>
      </c>
    </row>
    <row r="891" spans="1:3" x14ac:dyDescent="0.25">
      <c r="A891" t="s">
        <v>919</v>
      </c>
      <c r="B891">
        <f>_xlfn.XLOOKUP(A891,'Subbu- Mini Project EXcel Clean'!A891:A1890,'Subbu- Mini Project EXcel Clean'!L891:L1890," ",0)</f>
        <v>148</v>
      </c>
      <c r="C891">
        <f>_xlfn.XLOOKUP(A891,'Subbu- Mini Project EXcel Clean'!A891:A1890,'Subbu- Mini Project EXcel Clean'!K891:K1890," ",0)</f>
        <v>61.7</v>
      </c>
    </row>
    <row r="892" spans="1:3" x14ac:dyDescent="0.25">
      <c r="A892" t="s">
        <v>920</v>
      </c>
      <c r="B892">
        <f>_xlfn.XLOOKUP(A892,'Subbu- Mini Project EXcel Clean'!A892:A1891,'Subbu- Mini Project EXcel Clean'!L892:L1891," ",0)</f>
        <v>178</v>
      </c>
      <c r="C892">
        <f>_xlfn.XLOOKUP(A892,'Subbu- Mini Project EXcel Clean'!A892:A1891,'Subbu- Mini Project EXcel Clean'!K892:K1891," ",0)</f>
        <v>74</v>
      </c>
    </row>
    <row r="893" spans="1:3" x14ac:dyDescent="0.25">
      <c r="A893" t="s">
        <v>921</v>
      </c>
      <c r="B893">
        <f>_xlfn.XLOOKUP(A893,'Subbu- Mini Project EXcel Clean'!A893:A1892,'Subbu- Mini Project EXcel Clean'!L893:L1892," ",0)</f>
        <v>212</v>
      </c>
      <c r="C893">
        <f>_xlfn.XLOOKUP(A893,'Subbu- Mini Project EXcel Clean'!A893:A1892,'Subbu- Mini Project EXcel Clean'!K893:K1892," ",0)</f>
        <v>88.5</v>
      </c>
    </row>
    <row r="894" spans="1:3" x14ac:dyDescent="0.25">
      <c r="A894" t="s">
        <v>922</v>
      </c>
      <c r="B894">
        <f>_xlfn.XLOOKUP(A894,'Subbu- Mini Project EXcel Clean'!A894:A1893,'Subbu- Mini Project EXcel Clean'!L894:L1893," ",0)</f>
        <v>190</v>
      </c>
      <c r="C894">
        <f>_xlfn.XLOOKUP(A894,'Subbu- Mini Project EXcel Clean'!A894:A1893,'Subbu- Mini Project EXcel Clean'!K894:K1893," ",0)</f>
        <v>79.3</v>
      </c>
    </row>
    <row r="895" spans="1:3" x14ac:dyDescent="0.25">
      <c r="A895" t="s">
        <v>923</v>
      </c>
      <c r="B895">
        <f>_xlfn.XLOOKUP(A895,'Subbu- Mini Project EXcel Clean'!A895:A1894,'Subbu- Mini Project EXcel Clean'!L895:L1894," ",0)</f>
        <v>172</v>
      </c>
      <c r="C895">
        <f>_xlfn.XLOOKUP(A895,'Subbu- Mini Project EXcel Clean'!A895:A1894,'Subbu- Mini Project EXcel Clean'!K895:K1894," ",0)</f>
        <v>71.5</v>
      </c>
    </row>
    <row r="896" spans="1:3" x14ac:dyDescent="0.25">
      <c r="A896" t="s">
        <v>924</v>
      </c>
      <c r="B896">
        <f>_xlfn.XLOOKUP(A896,'Subbu- Mini Project EXcel Clean'!A896:A1895,'Subbu- Mini Project EXcel Clean'!L896:L1895," ",0)</f>
        <v>184</v>
      </c>
      <c r="C896">
        <f>_xlfn.XLOOKUP(A896,'Subbu- Mini Project EXcel Clean'!A896:A1895,'Subbu- Mini Project EXcel Clean'!K896:K1895," ",0)</f>
        <v>76.5</v>
      </c>
    </row>
    <row r="897" spans="1:3" x14ac:dyDescent="0.25">
      <c r="A897" t="s">
        <v>925</v>
      </c>
      <c r="B897">
        <f>_xlfn.XLOOKUP(A897,'Subbu- Mini Project EXcel Clean'!A897:A1896,'Subbu- Mini Project EXcel Clean'!L897:L1896," ",0)</f>
        <v>142</v>
      </c>
      <c r="C897">
        <f>_xlfn.XLOOKUP(A897,'Subbu- Mini Project EXcel Clean'!A897:A1896,'Subbu- Mini Project EXcel Clean'!K897:K1896," ",0)</f>
        <v>59.3</v>
      </c>
    </row>
    <row r="898" spans="1:3" x14ac:dyDescent="0.25">
      <c r="A898" t="s">
        <v>926</v>
      </c>
      <c r="B898">
        <f>_xlfn.XLOOKUP(A898,'Subbu- Mini Project EXcel Clean'!A898:A1897,'Subbu- Mini Project EXcel Clean'!L898:L1897," ",0)</f>
        <v>161</v>
      </c>
      <c r="C898">
        <f>_xlfn.XLOOKUP(A898,'Subbu- Mini Project EXcel Clean'!A898:A1897,'Subbu- Mini Project EXcel Clean'!K898:K1897," ",0)</f>
        <v>67.2</v>
      </c>
    </row>
    <row r="899" spans="1:3" x14ac:dyDescent="0.25">
      <c r="A899" t="s">
        <v>927</v>
      </c>
      <c r="B899">
        <f>_xlfn.XLOOKUP(A899,'Subbu- Mini Project EXcel Clean'!A899:A1898,'Subbu- Mini Project EXcel Clean'!L899:L1898," ",0)</f>
        <v>210</v>
      </c>
      <c r="C899">
        <f>_xlfn.XLOOKUP(A899,'Subbu- Mini Project EXcel Clean'!A899:A1898,'Subbu- Mini Project EXcel Clean'!K899:K1898," ",0)</f>
        <v>87.6</v>
      </c>
    </row>
    <row r="900" spans="1:3" x14ac:dyDescent="0.25">
      <c r="A900" t="s">
        <v>928</v>
      </c>
      <c r="B900">
        <f>_xlfn.XLOOKUP(A900,'Subbu- Mini Project EXcel Clean'!A900:A1899,'Subbu- Mini Project EXcel Clean'!L900:L1899," ",0)</f>
        <v>130</v>
      </c>
      <c r="C900">
        <f>_xlfn.XLOOKUP(A900,'Subbu- Mini Project EXcel Clean'!A900:A1899,'Subbu- Mini Project EXcel Clean'!K900:K1899," ",0)</f>
        <v>54.3</v>
      </c>
    </row>
    <row r="901" spans="1:3" x14ac:dyDescent="0.25">
      <c r="A901" t="s">
        <v>929</v>
      </c>
      <c r="B901">
        <f>_xlfn.XLOOKUP(A901,'Subbu- Mini Project EXcel Clean'!A901:A1900,'Subbu- Mini Project EXcel Clean'!L901:L1900," ",0)</f>
        <v>159</v>
      </c>
      <c r="C901">
        <f>_xlfn.XLOOKUP(A901,'Subbu- Mini Project EXcel Clean'!A901:A1900,'Subbu- Mini Project EXcel Clean'!K901:K1900," ",0)</f>
        <v>66.400000000000006</v>
      </c>
    </row>
    <row r="902" spans="1:3" x14ac:dyDescent="0.25">
      <c r="A902" t="s">
        <v>930</v>
      </c>
      <c r="B902">
        <f>_xlfn.XLOOKUP(A902,'Subbu- Mini Project EXcel Clean'!A902:A1901,'Subbu- Mini Project EXcel Clean'!L902:L1901," ",0)</f>
        <v>148</v>
      </c>
      <c r="C902">
        <f>_xlfn.XLOOKUP(A902,'Subbu- Mini Project EXcel Clean'!A902:A1901,'Subbu- Mini Project EXcel Clean'!K902:K1901," ",0)</f>
        <v>61.5</v>
      </c>
    </row>
    <row r="903" spans="1:3" x14ac:dyDescent="0.25">
      <c r="A903" t="s">
        <v>931</v>
      </c>
      <c r="B903">
        <f>_xlfn.XLOOKUP(A903,'Subbu- Mini Project EXcel Clean'!A903:A1902,'Subbu- Mini Project EXcel Clean'!L903:L1902," ",0)</f>
        <v>140</v>
      </c>
      <c r="C903">
        <f>_xlfn.XLOOKUP(A903,'Subbu- Mini Project EXcel Clean'!A903:A1902,'Subbu- Mini Project EXcel Clean'!K903:K1902," ",0)</f>
        <v>58.3</v>
      </c>
    </row>
    <row r="904" spans="1:3" x14ac:dyDescent="0.25">
      <c r="A904" t="s">
        <v>932</v>
      </c>
      <c r="B904">
        <f>_xlfn.XLOOKUP(A904,'Subbu- Mini Project EXcel Clean'!A904:A1903,'Subbu- Mini Project EXcel Clean'!L904:L1903," ",0)</f>
        <v>162</v>
      </c>
      <c r="C904">
        <f>_xlfn.XLOOKUP(A904,'Subbu- Mini Project EXcel Clean'!A904:A1903,'Subbu- Mini Project EXcel Clean'!K904:K1903," ",0)</f>
        <v>67.599999999999994</v>
      </c>
    </row>
    <row r="905" spans="1:3" x14ac:dyDescent="0.25">
      <c r="A905" t="s">
        <v>933</v>
      </c>
      <c r="B905">
        <f>_xlfn.XLOOKUP(A905,'Subbu- Mini Project EXcel Clean'!A905:A1904,'Subbu- Mini Project EXcel Clean'!L905:L1904," ",0)</f>
        <v>174</v>
      </c>
      <c r="C905">
        <f>_xlfn.XLOOKUP(A905,'Subbu- Mini Project EXcel Clean'!A905:A1904,'Subbu- Mini Project EXcel Clean'!K905:K1904," ",0)</f>
        <v>72.7</v>
      </c>
    </row>
    <row r="906" spans="1:3" x14ac:dyDescent="0.25">
      <c r="A906" t="s">
        <v>934</v>
      </c>
      <c r="B906">
        <f>_xlfn.XLOOKUP(A906,'Subbu- Mini Project EXcel Clean'!A906:A1905,'Subbu- Mini Project EXcel Clean'!L906:L1905," ",0)</f>
        <v>172</v>
      </c>
      <c r="C906">
        <f>_xlfn.XLOOKUP(A906,'Subbu- Mini Project EXcel Clean'!A906:A1905,'Subbu- Mini Project EXcel Clean'!K906:K1905," ",0)</f>
        <v>71.8</v>
      </c>
    </row>
    <row r="907" spans="1:3" x14ac:dyDescent="0.25">
      <c r="A907" t="s">
        <v>935</v>
      </c>
      <c r="B907">
        <f>_xlfn.XLOOKUP(A907,'Subbu- Mini Project EXcel Clean'!A907:A1906,'Subbu- Mini Project EXcel Clean'!L907:L1906," ",0)</f>
        <v>199</v>
      </c>
      <c r="C907">
        <f>_xlfn.XLOOKUP(A907,'Subbu- Mini Project EXcel Clean'!A907:A1906,'Subbu- Mini Project EXcel Clean'!K907:K1906," ",0)</f>
        <v>83</v>
      </c>
    </row>
    <row r="908" spans="1:3" x14ac:dyDescent="0.25">
      <c r="A908" t="s">
        <v>936</v>
      </c>
      <c r="B908">
        <f>_xlfn.XLOOKUP(A908,'Subbu- Mini Project EXcel Clean'!A908:A1907,'Subbu- Mini Project EXcel Clean'!L908:L1907," ",0)</f>
        <v>199</v>
      </c>
      <c r="C908">
        <f>_xlfn.XLOOKUP(A908,'Subbu- Mini Project EXcel Clean'!A908:A1907,'Subbu- Mini Project EXcel Clean'!K908:K1907," ",0)</f>
        <v>83.1</v>
      </c>
    </row>
    <row r="909" spans="1:3" x14ac:dyDescent="0.25">
      <c r="A909" t="s">
        <v>937</v>
      </c>
      <c r="B909">
        <f>_xlfn.XLOOKUP(A909,'Subbu- Mini Project EXcel Clean'!A909:A1908,'Subbu- Mini Project EXcel Clean'!L909:L1908," ",0)</f>
        <v>138</v>
      </c>
      <c r="C909">
        <f>_xlfn.XLOOKUP(A909,'Subbu- Mini Project EXcel Clean'!A909:A1908,'Subbu- Mini Project EXcel Clean'!K909:K1908," ",0)</f>
        <v>57.5</v>
      </c>
    </row>
    <row r="910" spans="1:3" x14ac:dyDescent="0.25">
      <c r="A910" t="s">
        <v>938</v>
      </c>
      <c r="B910">
        <f>_xlfn.XLOOKUP(A910,'Subbu- Mini Project EXcel Clean'!A910:A1909,'Subbu- Mini Project EXcel Clean'!L910:L1909," ",0)</f>
        <v>139</v>
      </c>
      <c r="C910">
        <f>_xlfn.XLOOKUP(A910,'Subbu- Mini Project EXcel Clean'!A910:A1909,'Subbu- Mini Project EXcel Clean'!K910:K1909," ",0)</f>
        <v>58</v>
      </c>
    </row>
    <row r="911" spans="1:3" x14ac:dyDescent="0.25">
      <c r="A911" t="s">
        <v>939</v>
      </c>
      <c r="B911">
        <f>_xlfn.XLOOKUP(A911,'Subbu- Mini Project EXcel Clean'!A911:A1910,'Subbu- Mini Project EXcel Clean'!L911:L1910," ",0)</f>
        <v>176</v>
      </c>
      <c r="C911">
        <f>_xlfn.XLOOKUP(A911,'Subbu- Mini Project EXcel Clean'!A911:A1910,'Subbu- Mini Project EXcel Clean'!K911:K1910," ",0)</f>
        <v>73.5</v>
      </c>
    </row>
    <row r="912" spans="1:3" x14ac:dyDescent="0.25">
      <c r="A912" t="s">
        <v>940</v>
      </c>
      <c r="B912">
        <f>_xlfn.XLOOKUP(A912,'Subbu- Mini Project EXcel Clean'!A912:A1911,'Subbu- Mini Project EXcel Clean'!L912:L1911," ",0)</f>
        <v>195</v>
      </c>
      <c r="C912">
        <f>_xlfn.XLOOKUP(A912,'Subbu- Mini Project EXcel Clean'!A912:A1911,'Subbu- Mini Project EXcel Clean'!K912:K1911," ",0)</f>
        <v>81.400000000000006</v>
      </c>
    </row>
    <row r="913" spans="1:3" x14ac:dyDescent="0.25">
      <c r="A913" t="s">
        <v>941</v>
      </c>
      <c r="B913">
        <f>_xlfn.XLOOKUP(A913,'Subbu- Mini Project EXcel Clean'!A913:A1912,'Subbu- Mini Project EXcel Clean'!L913:L1912," ",0)</f>
        <v>151</v>
      </c>
      <c r="C913">
        <f>_xlfn.XLOOKUP(A913,'Subbu- Mini Project EXcel Clean'!A913:A1912,'Subbu- Mini Project EXcel Clean'!K913:K1912," ",0)</f>
        <v>62.8</v>
      </c>
    </row>
    <row r="914" spans="1:3" x14ac:dyDescent="0.25">
      <c r="A914" t="s">
        <v>942</v>
      </c>
      <c r="B914">
        <f>_xlfn.XLOOKUP(A914,'Subbu- Mini Project EXcel Clean'!A914:A1913,'Subbu- Mini Project EXcel Clean'!L914:L1913," ",0)</f>
        <v>182</v>
      </c>
      <c r="C914">
        <f>_xlfn.XLOOKUP(A914,'Subbu- Mini Project EXcel Clean'!A914:A1913,'Subbu- Mini Project EXcel Clean'!K914:K1913," ",0)</f>
        <v>75.900000000000006</v>
      </c>
    </row>
    <row r="915" spans="1:3" x14ac:dyDescent="0.25">
      <c r="A915" t="s">
        <v>943</v>
      </c>
      <c r="B915">
        <f>_xlfn.XLOOKUP(A915,'Subbu- Mini Project EXcel Clean'!A915:A1914,'Subbu- Mini Project EXcel Clean'!L915:L1914," ",0)</f>
        <v>174</v>
      </c>
      <c r="C915">
        <f>_xlfn.XLOOKUP(A915,'Subbu- Mini Project EXcel Clean'!A915:A1914,'Subbu- Mini Project EXcel Clean'!K915:K1914," ",0)</f>
        <v>72.7</v>
      </c>
    </row>
    <row r="916" spans="1:3" x14ac:dyDescent="0.25">
      <c r="A916" t="s">
        <v>944</v>
      </c>
      <c r="B916">
        <f>_xlfn.XLOOKUP(A916,'Subbu- Mini Project EXcel Clean'!A916:A1915,'Subbu- Mini Project EXcel Clean'!L916:L1915," ",0)</f>
        <v>189</v>
      </c>
      <c r="C916">
        <f>_xlfn.XLOOKUP(A916,'Subbu- Mini Project EXcel Clean'!A916:A1915,'Subbu- Mini Project EXcel Clean'!K916:K1915," ",0)</f>
        <v>78.599999999999994</v>
      </c>
    </row>
    <row r="917" spans="1:3" x14ac:dyDescent="0.25">
      <c r="A917" t="s">
        <v>945</v>
      </c>
      <c r="B917">
        <f>_xlfn.XLOOKUP(A917,'Subbu- Mini Project EXcel Clean'!A917:A1916,'Subbu- Mini Project EXcel Clean'!L917:L1916," ",0)</f>
        <v>149</v>
      </c>
      <c r="C917">
        <f>_xlfn.XLOOKUP(A917,'Subbu- Mini Project EXcel Clean'!A917:A1916,'Subbu- Mini Project EXcel Clean'!K917:K1916," ",0)</f>
        <v>61.9</v>
      </c>
    </row>
    <row r="918" spans="1:3" x14ac:dyDescent="0.25">
      <c r="A918" t="s">
        <v>946</v>
      </c>
      <c r="B918">
        <f>_xlfn.XLOOKUP(A918,'Subbu- Mini Project EXcel Clean'!A918:A1917,'Subbu- Mini Project EXcel Clean'!L918:L1917," ",0)</f>
        <v>153</v>
      </c>
      <c r="C918">
        <f>_xlfn.XLOOKUP(A918,'Subbu- Mini Project EXcel Clean'!A918:A1917,'Subbu- Mini Project EXcel Clean'!K918:K1917," ",0)</f>
        <v>63.7</v>
      </c>
    </row>
    <row r="919" spans="1:3" x14ac:dyDescent="0.25">
      <c r="A919" t="s">
        <v>947</v>
      </c>
      <c r="B919">
        <f>_xlfn.XLOOKUP(A919,'Subbu- Mini Project EXcel Clean'!A919:A1918,'Subbu- Mini Project EXcel Clean'!L919:L1918," ",0)</f>
        <v>203</v>
      </c>
      <c r="C919">
        <f>_xlfn.XLOOKUP(A919,'Subbu- Mini Project EXcel Clean'!A919:A1918,'Subbu- Mini Project EXcel Clean'!K919:K1918," ",0)</f>
        <v>84.4</v>
      </c>
    </row>
    <row r="920" spans="1:3" x14ac:dyDescent="0.25">
      <c r="A920" t="s">
        <v>948</v>
      </c>
      <c r="B920">
        <f>_xlfn.XLOOKUP(A920,'Subbu- Mini Project EXcel Clean'!A920:A1919,'Subbu- Mini Project EXcel Clean'!L920:L1919," ",0)</f>
        <v>203</v>
      </c>
      <c r="C920">
        <f>_xlfn.XLOOKUP(A920,'Subbu- Mini Project EXcel Clean'!A920:A1919,'Subbu- Mini Project EXcel Clean'!K920:K1919," ",0)</f>
        <v>84.5</v>
      </c>
    </row>
    <row r="921" spans="1:3" x14ac:dyDescent="0.25">
      <c r="A921" t="s">
        <v>949</v>
      </c>
      <c r="B921">
        <f>_xlfn.XLOOKUP(A921,'Subbu- Mini Project EXcel Clean'!A921:A1920,'Subbu- Mini Project EXcel Clean'!L921:L1920," ",0)</f>
        <v>183</v>
      </c>
      <c r="C921">
        <f>_xlfn.XLOOKUP(A921,'Subbu- Mini Project EXcel Clean'!A921:A1920,'Subbu- Mini Project EXcel Clean'!K921:K1920," ",0)</f>
        <v>76.3</v>
      </c>
    </row>
    <row r="922" spans="1:3" x14ac:dyDescent="0.25">
      <c r="A922" t="s">
        <v>950</v>
      </c>
      <c r="B922">
        <f>_xlfn.XLOOKUP(A922,'Subbu- Mini Project EXcel Clean'!A922:A1921,'Subbu- Mini Project EXcel Clean'!L922:L1921," ",0)</f>
        <v>198</v>
      </c>
      <c r="C922">
        <f>_xlfn.XLOOKUP(A922,'Subbu- Mini Project EXcel Clean'!A922:A1921,'Subbu- Mini Project EXcel Clean'!K922:K1921," ",0)</f>
        <v>82.7</v>
      </c>
    </row>
    <row r="923" spans="1:3" x14ac:dyDescent="0.25">
      <c r="A923" t="s">
        <v>951</v>
      </c>
      <c r="B923">
        <f>_xlfn.XLOOKUP(A923,'Subbu- Mini Project EXcel Clean'!A923:A1922,'Subbu- Mini Project EXcel Clean'!L923:L1922," ",0)</f>
        <v>159</v>
      </c>
      <c r="C923">
        <f>_xlfn.XLOOKUP(A923,'Subbu- Mini Project EXcel Clean'!A923:A1922,'Subbu- Mini Project EXcel Clean'!K923:K1922," ",0)</f>
        <v>66.400000000000006</v>
      </c>
    </row>
    <row r="924" spans="1:3" x14ac:dyDescent="0.25">
      <c r="A924" t="s">
        <v>952</v>
      </c>
      <c r="B924">
        <f>_xlfn.XLOOKUP(A924,'Subbu- Mini Project EXcel Clean'!A924:A1923,'Subbu- Mini Project EXcel Clean'!L924:L1923," ",0)</f>
        <v>208</v>
      </c>
      <c r="C924">
        <f>_xlfn.XLOOKUP(A924,'Subbu- Mini Project EXcel Clean'!A924:A1923,'Subbu- Mini Project EXcel Clean'!K924:K1923," ",0)</f>
        <v>86.6</v>
      </c>
    </row>
    <row r="925" spans="1:3" x14ac:dyDescent="0.25">
      <c r="A925" t="s">
        <v>953</v>
      </c>
      <c r="B925">
        <f>_xlfn.XLOOKUP(A925,'Subbu- Mini Project EXcel Clean'!A925:A1924,'Subbu- Mini Project EXcel Clean'!L925:L1924," ",0)</f>
        <v>213</v>
      </c>
      <c r="C925">
        <f>_xlfn.XLOOKUP(A925,'Subbu- Mini Project EXcel Clean'!A925:A1924,'Subbu- Mini Project EXcel Clean'!K925:K1924," ",0)</f>
        <v>88.6</v>
      </c>
    </row>
    <row r="926" spans="1:3" x14ac:dyDescent="0.25">
      <c r="A926" t="s">
        <v>954</v>
      </c>
      <c r="B926">
        <f>_xlfn.XLOOKUP(A926,'Subbu- Mini Project EXcel Clean'!A926:A1925,'Subbu- Mini Project EXcel Clean'!L926:L1925," ",0)</f>
        <v>173</v>
      </c>
      <c r="C926">
        <f>_xlfn.XLOOKUP(A926,'Subbu- Mini Project EXcel Clean'!A926:A1925,'Subbu- Mini Project EXcel Clean'!K926:K1925," ",0)</f>
        <v>72.2</v>
      </c>
    </row>
    <row r="927" spans="1:3" x14ac:dyDescent="0.25">
      <c r="A927" t="s">
        <v>955</v>
      </c>
      <c r="B927">
        <f>_xlfn.XLOOKUP(A927,'Subbu- Mini Project EXcel Clean'!A927:A1926,'Subbu- Mini Project EXcel Clean'!L927:L1926," ",0)</f>
        <v>135</v>
      </c>
      <c r="C927">
        <f>_xlfn.XLOOKUP(A927,'Subbu- Mini Project EXcel Clean'!A927:A1926,'Subbu- Mini Project EXcel Clean'!K927:K1926," ",0)</f>
        <v>56.1</v>
      </c>
    </row>
    <row r="928" spans="1:3" x14ac:dyDescent="0.25">
      <c r="A928" t="s">
        <v>956</v>
      </c>
      <c r="B928">
        <f>_xlfn.XLOOKUP(A928,'Subbu- Mini Project EXcel Clean'!A928:A1927,'Subbu- Mini Project EXcel Clean'!L928:L1927," ",0)</f>
        <v>173</v>
      </c>
      <c r="C928">
        <f>_xlfn.XLOOKUP(A928,'Subbu- Mini Project EXcel Clean'!A928:A1927,'Subbu- Mini Project EXcel Clean'!K928:K1927," ",0)</f>
        <v>72.2</v>
      </c>
    </row>
    <row r="929" spans="1:3" x14ac:dyDescent="0.25">
      <c r="A929" t="s">
        <v>957</v>
      </c>
      <c r="B929">
        <f>_xlfn.XLOOKUP(A929,'Subbu- Mini Project EXcel Clean'!A929:A1928,'Subbu- Mini Project EXcel Clean'!L929:L1928," ",0)</f>
        <v>188</v>
      </c>
      <c r="C929">
        <f>_xlfn.XLOOKUP(A929,'Subbu- Mini Project EXcel Clean'!A929:A1928,'Subbu- Mini Project EXcel Clean'!K929:K1928," ",0)</f>
        <v>78.2</v>
      </c>
    </row>
    <row r="930" spans="1:3" x14ac:dyDescent="0.25">
      <c r="A930" t="s">
        <v>958</v>
      </c>
      <c r="B930">
        <f>_xlfn.XLOOKUP(A930,'Subbu- Mini Project EXcel Clean'!A930:A1929,'Subbu- Mini Project EXcel Clean'!L930:L1929," ",0)</f>
        <v>174</v>
      </c>
      <c r="C930">
        <f>_xlfn.XLOOKUP(A930,'Subbu- Mini Project EXcel Clean'!A930:A1929,'Subbu- Mini Project EXcel Clean'!K930:K1929," ",0)</f>
        <v>72.3</v>
      </c>
    </row>
    <row r="931" spans="1:3" x14ac:dyDescent="0.25">
      <c r="A931" t="s">
        <v>959</v>
      </c>
      <c r="B931">
        <f>_xlfn.XLOOKUP(A931,'Subbu- Mini Project EXcel Clean'!A931:A1930,'Subbu- Mini Project EXcel Clean'!L931:L1930," ",0)</f>
        <v>166</v>
      </c>
      <c r="C931">
        <f>_xlfn.XLOOKUP(A931,'Subbu- Mini Project EXcel Clean'!A931:A1930,'Subbu- Mini Project EXcel Clean'!K931:K1930," ",0)</f>
        <v>69</v>
      </c>
    </row>
    <row r="932" spans="1:3" x14ac:dyDescent="0.25">
      <c r="A932" t="s">
        <v>960</v>
      </c>
      <c r="B932">
        <f>_xlfn.XLOOKUP(A932,'Subbu- Mini Project EXcel Clean'!A932:A1931,'Subbu- Mini Project EXcel Clean'!L932:L1931," ",0)</f>
        <v>165</v>
      </c>
      <c r="C932">
        <f>_xlfn.XLOOKUP(A932,'Subbu- Mini Project EXcel Clean'!A932:A1931,'Subbu- Mini Project EXcel Clean'!K932:K1931," ",0)</f>
        <v>68.8</v>
      </c>
    </row>
    <row r="933" spans="1:3" x14ac:dyDescent="0.25">
      <c r="A933" t="s">
        <v>961</v>
      </c>
      <c r="B933">
        <f>_xlfn.XLOOKUP(A933,'Subbu- Mini Project EXcel Clean'!A933:A1932,'Subbu- Mini Project EXcel Clean'!L933:L1932," ",0)</f>
        <v>213</v>
      </c>
      <c r="C933">
        <f>_xlfn.XLOOKUP(A933,'Subbu- Mini Project EXcel Clean'!A933:A1932,'Subbu- Mini Project EXcel Clean'!K933:K1932," ",0)</f>
        <v>88.9</v>
      </c>
    </row>
    <row r="934" spans="1:3" x14ac:dyDescent="0.25">
      <c r="A934" t="s">
        <v>962</v>
      </c>
      <c r="B934">
        <f>_xlfn.XLOOKUP(A934,'Subbu- Mini Project EXcel Clean'!A934:A1933,'Subbu- Mini Project EXcel Clean'!L934:L1933," ",0)</f>
        <v>208</v>
      </c>
      <c r="C934">
        <f>_xlfn.XLOOKUP(A934,'Subbu- Mini Project EXcel Clean'!A934:A1933,'Subbu- Mini Project EXcel Clean'!K934:K1933," ",0)</f>
        <v>86.7</v>
      </c>
    </row>
    <row r="935" spans="1:3" x14ac:dyDescent="0.25">
      <c r="A935" t="s">
        <v>963</v>
      </c>
      <c r="B935">
        <f>_xlfn.XLOOKUP(A935,'Subbu- Mini Project EXcel Clean'!A935:A1934,'Subbu- Mini Project EXcel Clean'!L935:L1934," ",0)</f>
        <v>174</v>
      </c>
      <c r="C935">
        <f>_xlfn.XLOOKUP(A935,'Subbu- Mini Project EXcel Clean'!A935:A1934,'Subbu- Mini Project EXcel Clean'!K935:K1934," ",0)</f>
        <v>72.7</v>
      </c>
    </row>
    <row r="936" spans="1:3" x14ac:dyDescent="0.25">
      <c r="A936" t="s">
        <v>964</v>
      </c>
      <c r="B936">
        <f>_xlfn.XLOOKUP(A936,'Subbu- Mini Project EXcel Clean'!A936:A1935,'Subbu- Mini Project EXcel Clean'!L936:L1935," ",0)</f>
        <v>170</v>
      </c>
      <c r="C936">
        <f>_xlfn.XLOOKUP(A936,'Subbu- Mini Project EXcel Clean'!A936:A1935,'Subbu- Mini Project EXcel Clean'!K936:K1935," ",0)</f>
        <v>70.900000000000006</v>
      </c>
    </row>
    <row r="937" spans="1:3" x14ac:dyDescent="0.25">
      <c r="A937" t="s">
        <v>965</v>
      </c>
      <c r="B937">
        <f>_xlfn.XLOOKUP(A937,'Subbu- Mini Project EXcel Clean'!A937:A1936,'Subbu- Mini Project EXcel Clean'!L937:L1936," ",0)</f>
        <v>147</v>
      </c>
      <c r="C937">
        <f>_xlfn.XLOOKUP(A937,'Subbu- Mini Project EXcel Clean'!A937:A1936,'Subbu- Mini Project EXcel Clean'!K937:K1936," ",0)</f>
        <v>61.4</v>
      </c>
    </row>
    <row r="938" spans="1:3" x14ac:dyDescent="0.25">
      <c r="A938" t="s">
        <v>966</v>
      </c>
      <c r="B938">
        <f>_xlfn.XLOOKUP(A938,'Subbu- Mini Project EXcel Clean'!A938:A1937,'Subbu- Mini Project EXcel Clean'!L938:L1937," ",0)</f>
        <v>150</v>
      </c>
      <c r="C938">
        <f>_xlfn.XLOOKUP(A938,'Subbu- Mini Project EXcel Clean'!A938:A1937,'Subbu- Mini Project EXcel Clean'!K938:K1937," ",0)</f>
        <v>62.7</v>
      </c>
    </row>
    <row r="939" spans="1:3" x14ac:dyDescent="0.25">
      <c r="A939" t="s">
        <v>967</v>
      </c>
      <c r="B939">
        <f>_xlfn.XLOOKUP(A939,'Subbu- Mini Project EXcel Clean'!A939:A1938,'Subbu- Mini Project EXcel Clean'!L939:L1938," ",0)</f>
        <v>188</v>
      </c>
      <c r="C939">
        <f>_xlfn.XLOOKUP(A939,'Subbu- Mini Project EXcel Clean'!A939:A1938,'Subbu- Mini Project EXcel Clean'!K939:K1938," ",0)</f>
        <v>78.3</v>
      </c>
    </row>
    <row r="940" spans="1:3" x14ac:dyDescent="0.25">
      <c r="A940" t="s">
        <v>968</v>
      </c>
      <c r="B940">
        <f>_xlfn.XLOOKUP(A940,'Subbu- Mini Project EXcel Clean'!A940:A1939,'Subbu- Mini Project EXcel Clean'!L940:L1939," ",0)</f>
        <v>165</v>
      </c>
      <c r="C940">
        <f>_xlfn.XLOOKUP(A940,'Subbu- Mini Project EXcel Clean'!A940:A1939,'Subbu- Mini Project EXcel Clean'!K940:K1939," ",0)</f>
        <v>68.599999999999994</v>
      </c>
    </row>
    <row r="941" spans="1:3" x14ac:dyDescent="0.25">
      <c r="A941" t="s">
        <v>969</v>
      </c>
      <c r="B941">
        <f>_xlfn.XLOOKUP(A941,'Subbu- Mini Project EXcel Clean'!A941:A1940,'Subbu- Mini Project EXcel Clean'!L941:L1940," ",0)</f>
        <v>179</v>
      </c>
      <c r="C941">
        <f>_xlfn.XLOOKUP(A941,'Subbu- Mini Project EXcel Clean'!A941:A1940,'Subbu- Mini Project EXcel Clean'!K941:K1940," ",0)</f>
        <v>74.599999999999994</v>
      </c>
    </row>
    <row r="942" spans="1:3" x14ac:dyDescent="0.25">
      <c r="A942" t="s">
        <v>970</v>
      </c>
      <c r="B942">
        <f>_xlfn.XLOOKUP(A942,'Subbu- Mini Project EXcel Clean'!A942:A1941,'Subbu- Mini Project EXcel Clean'!L942:L1941," ",0)</f>
        <v>177</v>
      </c>
      <c r="C942">
        <f>_xlfn.XLOOKUP(A942,'Subbu- Mini Project EXcel Clean'!A942:A1941,'Subbu- Mini Project EXcel Clean'!K942:K1941," ",0)</f>
        <v>73.900000000000006</v>
      </c>
    </row>
    <row r="943" spans="1:3" x14ac:dyDescent="0.25">
      <c r="A943" t="s">
        <v>971</v>
      </c>
      <c r="B943">
        <f>_xlfn.XLOOKUP(A943,'Subbu- Mini Project EXcel Clean'!A943:A1942,'Subbu- Mini Project EXcel Clean'!L943:L1942," ",0)</f>
        <v>186</v>
      </c>
      <c r="C943">
        <f>_xlfn.XLOOKUP(A943,'Subbu- Mini Project EXcel Clean'!A943:A1942,'Subbu- Mini Project EXcel Clean'!K943:K1942," ",0)</f>
        <v>77.7</v>
      </c>
    </row>
    <row r="944" spans="1:3" x14ac:dyDescent="0.25">
      <c r="A944" t="s">
        <v>972</v>
      </c>
      <c r="B944">
        <f>_xlfn.XLOOKUP(A944,'Subbu- Mini Project EXcel Clean'!A944:A1943,'Subbu- Mini Project EXcel Clean'!L944:L1943," ",0)</f>
        <v>172</v>
      </c>
      <c r="C944">
        <f>_xlfn.XLOOKUP(A944,'Subbu- Mini Project EXcel Clean'!A944:A1943,'Subbu- Mini Project EXcel Clean'!K944:K1943," ",0)</f>
        <v>71.8</v>
      </c>
    </row>
    <row r="945" spans="1:3" x14ac:dyDescent="0.25">
      <c r="A945" t="s">
        <v>973</v>
      </c>
      <c r="B945">
        <f>_xlfn.XLOOKUP(A945,'Subbu- Mini Project EXcel Clean'!A945:A1944,'Subbu- Mini Project EXcel Clean'!L945:L1944," ",0)</f>
        <v>216</v>
      </c>
      <c r="C945">
        <f>_xlfn.XLOOKUP(A945,'Subbu- Mini Project EXcel Clean'!A945:A1944,'Subbu- Mini Project EXcel Clean'!K945:K1944," ",0)</f>
        <v>89.9</v>
      </c>
    </row>
    <row r="946" spans="1:3" x14ac:dyDescent="0.25">
      <c r="A946" t="s">
        <v>974</v>
      </c>
      <c r="B946">
        <f>_xlfn.XLOOKUP(A946,'Subbu- Mini Project EXcel Clean'!A946:A1945,'Subbu- Mini Project EXcel Clean'!L946:L1945," ",0)</f>
        <v>176</v>
      </c>
      <c r="C946">
        <f>_xlfn.XLOOKUP(A946,'Subbu- Mini Project EXcel Clean'!A946:A1945,'Subbu- Mini Project EXcel Clean'!K946:K1945," ",0)</f>
        <v>73.400000000000006</v>
      </c>
    </row>
    <row r="947" spans="1:3" x14ac:dyDescent="0.25">
      <c r="A947" t="s">
        <v>975</v>
      </c>
      <c r="B947">
        <f>_xlfn.XLOOKUP(A947,'Subbu- Mini Project EXcel Clean'!A947:A1946,'Subbu- Mini Project EXcel Clean'!L947:L1946," ",0)</f>
        <v>155</v>
      </c>
      <c r="C947">
        <f>_xlfn.XLOOKUP(A947,'Subbu- Mini Project EXcel Clean'!A947:A1946,'Subbu- Mini Project EXcel Clean'!K947:K1946," ",0)</f>
        <v>64.7</v>
      </c>
    </row>
    <row r="948" spans="1:3" x14ac:dyDescent="0.25">
      <c r="A948" t="s">
        <v>976</v>
      </c>
      <c r="B948">
        <f>_xlfn.XLOOKUP(A948,'Subbu- Mini Project EXcel Clean'!A948:A1947,'Subbu- Mini Project EXcel Clean'!L948:L1947," ",0)</f>
        <v>144</v>
      </c>
      <c r="C948">
        <f>_xlfn.XLOOKUP(A948,'Subbu- Mini Project EXcel Clean'!A948:A1947,'Subbu- Mini Project EXcel Clean'!K948:K1947," ",0)</f>
        <v>60</v>
      </c>
    </row>
    <row r="949" spans="1:3" x14ac:dyDescent="0.25">
      <c r="A949" t="s">
        <v>977</v>
      </c>
      <c r="B949">
        <f>_xlfn.XLOOKUP(A949,'Subbu- Mini Project EXcel Clean'!A949:A1948,'Subbu- Mini Project EXcel Clean'!L949:L1948," ",0)</f>
        <v>200</v>
      </c>
      <c r="C949">
        <f>_xlfn.XLOOKUP(A949,'Subbu- Mini Project EXcel Clean'!A949:A1948,'Subbu- Mini Project EXcel Clean'!K949:K1948," ",0)</f>
        <v>83.2</v>
      </c>
    </row>
    <row r="950" spans="1:3" x14ac:dyDescent="0.25">
      <c r="A950" t="s">
        <v>978</v>
      </c>
      <c r="B950">
        <f>_xlfn.XLOOKUP(A950,'Subbu- Mini Project EXcel Clean'!A950:A1949,'Subbu- Mini Project EXcel Clean'!L950:L1949," ",0)</f>
        <v>204</v>
      </c>
      <c r="C950">
        <f>_xlfn.XLOOKUP(A950,'Subbu- Mini Project EXcel Clean'!A950:A1949,'Subbu- Mini Project EXcel Clean'!K950:K1949," ",0)</f>
        <v>84.8</v>
      </c>
    </row>
    <row r="951" spans="1:3" x14ac:dyDescent="0.25">
      <c r="A951" t="s">
        <v>979</v>
      </c>
      <c r="B951">
        <f>_xlfn.XLOOKUP(A951,'Subbu- Mini Project EXcel Clean'!A951:A1950,'Subbu- Mini Project EXcel Clean'!L951:L1950," ",0)</f>
        <v>175</v>
      </c>
      <c r="C951">
        <f>_xlfn.XLOOKUP(A951,'Subbu- Mini Project EXcel Clean'!A951:A1950,'Subbu- Mini Project EXcel Clean'!K951:K1950," ",0)</f>
        <v>72.900000000000006</v>
      </c>
    </row>
    <row r="952" spans="1:3" x14ac:dyDescent="0.25">
      <c r="A952" t="s">
        <v>980</v>
      </c>
      <c r="B952">
        <f>_xlfn.XLOOKUP(A952,'Subbu- Mini Project EXcel Clean'!A952:A1951,'Subbu- Mini Project EXcel Clean'!L952:L1951," ",0)</f>
        <v>204</v>
      </c>
      <c r="C952">
        <f>_xlfn.XLOOKUP(A952,'Subbu- Mini Project EXcel Clean'!A952:A1951,'Subbu- Mini Project EXcel Clean'!K952:K1951," ",0)</f>
        <v>85</v>
      </c>
    </row>
    <row r="953" spans="1:3" x14ac:dyDescent="0.25">
      <c r="A953" t="s">
        <v>981</v>
      </c>
      <c r="B953">
        <f>_xlfn.XLOOKUP(A953,'Subbu- Mini Project EXcel Clean'!A953:A1952,'Subbu- Mini Project EXcel Clean'!L953:L1952," ",0)</f>
        <v>190</v>
      </c>
      <c r="C953">
        <f>_xlfn.XLOOKUP(A953,'Subbu- Mini Project EXcel Clean'!A953:A1952,'Subbu- Mini Project EXcel Clean'!K953:K1952," ",0)</f>
        <v>79</v>
      </c>
    </row>
    <row r="954" spans="1:3" x14ac:dyDescent="0.25">
      <c r="A954" t="s">
        <v>982</v>
      </c>
      <c r="B954">
        <f>_xlfn.XLOOKUP(A954,'Subbu- Mini Project EXcel Clean'!A954:A1953,'Subbu- Mini Project EXcel Clean'!L954:L1953," ",0)</f>
        <v>123</v>
      </c>
      <c r="C954">
        <f>_xlfn.XLOOKUP(A954,'Subbu- Mini Project EXcel Clean'!A954:A1953,'Subbu- Mini Project EXcel Clean'!K954:K1953," ",0)</f>
        <v>51.3</v>
      </c>
    </row>
    <row r="955" spans="1:3" x14ac:dyDescent="0.25">
      <c r="A955" t="s">
        <v>983</v>
      </c>
      <c r="B955">
        <f>_xlfn.XLOOKUP(A955,'Subbu- Mini Project EXcel Clean'!A955:A1954,'Subbu- Mini Project EXcel Clean'!L955:L1954," ",0)</f>
        <v>208</v>
      </c>
      <c r="C955">
        <f>_xlfn.XLOOKUP(A955,'Subbu- Mini Project EXcel Clean'!A955:A1954,'Subbu- Mini Project EXcel Clean'!K955:K1954," ",0)</f>
        <v>86.8</v>
      </c>
    </row>
    <row r="956" spans="1:3" x14ac:dyDescent="0.25">
      <c r="A956" t="s">
        <v>984</v>
      </c>
      <c r="B956">
        <f>_xlfn.XLOOKUP(A956,'Subbu- Mini Project EXcel Clean'!A956:A1955,'Subbu- Mini Project EXcel Clean'!L956:L1955," ",0)</f>
        <v>168</v>
      </c>
      <c r="C956">
        <f>_xlfn.XLOOKUP(A956,'Subbu- Mini Project EXcel Clean'!A956:A1955,'Subbu- Mini Project EXcel Clean'!K956:K1955," ",0)</f>
        <v>69.8</v>
      </c>
    </row>
    <row r="957" spans="1:3" x14ac:dyDescent="0.25">
      <c r="A957" t="s">
        <v>985</v>
      </c>
      <c r="B957">
        <f>_xlfn.XLOOKUP(A957,'Subbu- Mini Project EXcel Clean'!A957:A1956,'Subbu- Mini Project EXcel Clean'!L957:L1956," ",0)</f>
        <v>168</v>
      </c>
      <c r="C957">
        <f>_xlfn.XLOOKUP(A957,'Subbu- Mini Project EXcel Clean'!A957:A1956,'Subbu- Mini Project EXcel Clean'!K957:K1956," ",0)</f>
        <v>70.2</v>
      </c>
    </row>
    <row r="958" spans="1:3" x14ac:dyDescent="0.25">
      <c r="A958" t="s">
        <v>986</v>
      </c>
      <c r="B958">
        <f>_xlfn.XLOOKUP(A958,'Subbu- Mini Project EXcel Clean'!A958:A1957,'Subbu- Mini Project EXcel Clean'!L958:L1957," ",0)</f>
        <v>174</v>
      </c>
      <c r="C958">
        <f>_xlfn.XLOOKUP(A958,'Subbu- Mini Project EXcel Clean'!A958:A1957,'Subbu- Mini Project EXcel Clean'!K958:K1957," ",0)</f>
        <v>72.400000000000006</v>
      </c>
    </row>
    <row r="959" spans="1:3" x14ac:dyDescent="0.25">
      <c r="A959" t="s">
        <v>987</v>
      </c>
      <c r="B959">
        <f>_xlfn.XLOOKUP(A959,'Subbu- Mini Project EXcel Clean'!A959:A1958,'Subbu- Mini Project EXcel Clean'!L959:L1958," ",0)</f>
        <v>157</v>
      </c>
      <c r="C959">
        <f>_xlfn.XLOOKUP(A959,'Subbu- Mini Project EXcel Clean'!A959:A1958,'Subbu- Mini Project EXcel Clean'!K959:K1958," ",0)</f>
        <v>65.3</v>
      </c>
    </row>
    <row r="960" spans="1:3" x14ac:dyDescent="0.25">
      <c r="A960" t="s">
        <v>988</v>
      </c>
      <c r="B960">
        <f>_xlfn.XLOOKUP(A960,'Subbu- Mini Project EXcel Clean'!A960:A1959,'Subbu- Mini Project EXcel Clean'!L960:L1959," ",0)</f>
        <v>168</v>
      </c>
      <c r="C960">
        <f>_xlfn.XLOOKUP(A960,'Subbu- Mini Project EXcel Clean'!A960:A1959,'Subbu- Mini Project EXcel Clean'!K960:K1959," ",0)</f>
        <v>70.2</v>
      </c>
    </row>
    <row r="961" spans="1:3" x14ac:dyDescent="0.25">
      <c r="A961" t="s">
        <v>989</v>
      </c>
      <c r="B961">
        <f>_xlfn.XLOOKUP(A961,'Subbu- Mini Project EXcel Clean'!A961:A1960,'Subbu- Mini Project EXcel Clean'!L961:L1960," ",0)</f>
        <v>196</v>
      </c>
      <c r="C961">
        <f>_xlfn.XLOOKUP(A961,'Subbu- Mini Project EXcel Clean'!A961:A1960,'Subbu- Mini Project EXcel Clean'!K961:K1960," ",0)</f>
        <v>81.7</v>
      </c>
    </row>
    <row r="962" spans="1:3" x14ac:dyDescent="0.25">
      <c r="A962" t="s">
        <v>990</v>
      </c>
      <c r="B962">
        <f>_xlfn.XLOOKUP(A962,'Subbu- Mini Project EXcel Clean'!A962:A1961,'Subbu- Mini Project EXcel Clean'!L962:L1961," ",0)</f>
        <v>145</v>
      </c>
      <c r="C962">
        <f>_xlfn.XLOOKUP(A962,'Subbu- Mini Project EXcel Clean'!A962:A1961,'Subbu- Mini Project EXcel Clean'!K962:K1961," ",0)</f>
        <v>60.6</v>
      </c>
    </row>
    <row r="963" spans="1:3" x14ac:dyDescent="0.25">
      <c r="A963" t="s">
        <v>991</v>
      </c>
      <c r="B963">
        <f>_xlfn.XLOOKUP(A963,'Subbu- Mini Project EXcel Clean'!A963:A1962,'Subbu- Mini Project EXcel Clean'!L963:L1962," ",0)</f>
        <v>183</v>
      </c>
      <c r="C963">
        <f>_xlfn.XLOOKUP(A963,'Subbu- Mini Project EXcel Clean'!A963:A1962,'Subbu- Mini Project EXcel Clean'!K963:K1962," ",0)</f>
        <v>76.400000000000006</v>
      </c>
    </row>
    <row r="964" spans="1:3" x14ac:dyDescent="0.25">
      <c r="A964" t="s">
        <v>992</v>
      </c>
      <c r="B964">
        <f>_xlfn.XLOOKUP(A964,'Subbu- Mini Project EXcel Clean'!A964:A1963,'Subbu- Mini Project EXcel Clean'!L964:L1963," ",0)</f>
        <v>160</v>
      </c>
      <c r="C964">
        <f>_xlfn.XLOOKUP(A964,'Subbu- Mini Project EXcel Clean'!A964:A1963,'Subbu- Mini Project EXcel Clean'!K964:K1963," ",0)</f>
        <v>66.8</v>
      </c>
    </row>
    <row r="965" spans="1:3" x14ac:dyDescent="0.25">
      <c r="A965" t="s">
        <v>993</v>
      </c>
      <c r="B965">
        <f>_xlfn.XLOOKUP(A965,'Subbu- Mini Project EXcel Clean'!A965:A1964,'Subbu- Mini Project EXcel Clean'!L965:L1964," ",0)</f>
        <v>160</v>
      </c>
      <c r="C965">
        <f>_xlfn.XLOOKUP(A965,'Subbu- Mini Project EXcel Clean'!A965:A1964,'Subbu- Mini Project EXcel Clean'!K965:K1964," ",0)</f>
        <v>66.7</v>
      </c>
    </row>
    <row r="966" spans="1:3" x14ac:dyDescent="0.25">
      <c r="A966" t="s">
        <v>994</v>
      </c>
      <c r="B966">
        <f>_xlfn.XLOOKUP(A966,'Subbu- Mini Project EXcel Clean'!A966:A1965,'Subbu- Mini Project EXcel Clean'!L966:L1965," ",0)</f>
        <v>170</v>
      </c>
      <c r="C966">
        <f>_xlfn.XLOOKUP(A966,'Subbu- Mini Project EXcel Clean'!A966:A1965,'Subbu- Mini Project EXcel Clean'!K966:K1965," ",0)</f>
        <v>70.8</v>
      </c>
    </row>
    <row r="967" spans="1:3" x14ac:dyDescent="0.25">
      <c r="A967" t="s">
        <v>995</v>
      </c>
      <c r="B967">
        <f>_xlfn.XLOOKUP(A967,'Subbu- Mini Project EXcel Clean'!A967:A1966,'Subbu- Mini Project EXcel Clean'!L967:L1966," ",0)</f>
        <v>173</v>
      </c>
      <c r="C967">
        <f>_xlfn.XLOOKUP(A967,'Subbu- Mini Project EXcel Clean'!A967:A1966,'Subbu- Mini Project EXcel Clean'!K967:K1966," ",0)</f>
        <v>72.099999999999994</v>
      </c>
    </row>
    <row r="968" spans="1:3" x14ac:dyDescent="0.25">
      <c r="A968" t="s">
        <v>996</v>
      </c>
      <c r="B968">
        <f>_xlfn.XLOOKUP(A968,'Subbu- Mini Project EXcel Clean'!A968:A1967,'Subbu- Mini Project EXcel Clean'!L968:L1967," ",0)</f>
        <v>210</v>
      </c>
      <c r="C968">
        <f>_xlfn.XLOOKUP(A968,'Subbu- Mini Project EXcel Clean'!A968:A1967,'Subbu- Mini Project EXcel Clean'!K968:K1967," ",0)</f>
        <v>87.5</v>
      </c>
    </row>
    <row r="969" spans="1:3" x14ac:dyDescent="0.25">
      <c r="A969" t="s">
        <v>997</v>
      </c>
      <c r="B969">
        <f>_xlfn.XLOOKUP(A969,'Subbu- Mini Project EXcel Clean'!A969:A1968,'Subbu- Mini Project EXcel Clean'!L969:L1968," ",0)</f>
        <v>179</v>
      </c>
      <c r="C969">
        <f>_xlfn.XLOOKUP(A969,'Subbu- Mini Project EXcel Clean'!A969:A1968,'Subbu- Mini Project EXcel Clean'!K969:K1968," ",0)</f>
        <v>74.400000000000006</v>
      </c>
    </row>
    <row r="970" spans="1:3" x14ac:dyDescent="0.25">
      <c r="A970" t="s">
        <v>998</v>
      </c>
      <c r="B970">
        <f>_xlfn.XLOOKUP(A970,'Subbu- Mini Project EXcel Clean'!A970:A1969,'Subbu- Mini Project EXcel Clean'!L970:L1969," ",0)</f>
        <v>173</v>
      </c>
      <c r="C970">
        <f>_xlfn.XLOOKUP(A970,'Subbu- Mini Project EXcel Clean'!A970:A1969,'Subbu- Mini Project EXcel Clean'!K970:K1969," ",0)</f>
        <v>72.099999999999994</v>
      </c>
    </row>
    <row r="971" spans="1:3" x14ac:dyDescent="0.25">
      <c r="A971" t="s">
        <v>999</v>
      </c>
      <c r="B971">
        <f>_xlfn.XLOOKUP(A971,'Subbu- Mini Project EXcel Clean'!A971:A1970,'Subbu- Mini Project EXcel Clean'!L971:L1970," ",0)</f>
        <v>185</v>
      </c>
      <c r="C971">
        <f>_xlfn.XLOOKUP(A971,'Subbu- Mini Project EXcel Clean'!A971:A1970,'Subbu- Mini Project EXcel Clean'!K971:K1970," ",0)</f>
        <v>77.2</v>
      </c>
    </row>
    <row r="972" spans="1:3" x14ac:dyDescent="0.25">
      <c r="A972" t="s">
        <v>1000</v>
      </c>
      <c r="B972">
        <f>_xlfn.XLOOKUP(A972,'Subbu- Mini Project EXcel Clean'!A972:A1971,'Subbu- Mini Project EXcel Clean'!L972:L1971," ",0)</f>
        <v>176</v>
      </c>
      <c r="C972">
        <f>_xlfn.XLOOKUP(A972,'Subbu- Mini Project EXcel Clean'!A972:A1971,'Subbu- Mini Project EXcel Clean'!K972:K1971," ",0)</f>
        <v>73.5</v>
      </c>
    </row>
    <row r="973" spans="1:3" x14ac:dyDescent="0.25">
      <c r="A973" t="s">
        <v>1001</v>
      </c>
      <c r="B973">
        <f>_xlfn.XLOOKUP(A973,'Subbu- Mini Project EXcel Clean'!A973:A1972,'Subbu- Mini Project EXcel Clean'!L973:L1972," ",0)</f>
        <v>214</v>
      </c>
      <c r="C973">
        <f>_xlfn.XLOOKUP(A973,'Subbu- Mini Project EXcel Clean'!A973:A1972,'Subbu- Mini Project EXcel Clean'!K973:K1972," ",0)</f>
        <v>89.2</v>
      </c>
    </row>
    <row r="974" spans="1:3" x14ac:dyDescent="0.25">
      <c r="A974" t="s">
        <v>1002</v>
      </c>
      <c r="B974">
        <f>_xlfn.XLOOKUP(A974,'Subbu- Mini Project EXcel Clean'!A974:A1973,'Subbu- Mini Project EXcel Clean'!L974:L1973," ",0)</f>
        <v>186</v>
      </c>
      <c r="C974">
        <f>_xlfn.XLOOKUP(A974,'Subbu- Mini Project EXcel Clean'!A974:A1973,'Subbu- Mini Project EXcel Clean'!K974:K1973," ",0)</f>
        <v>77.599999999999994</v>
      </c>
    </row>
    <row r="975" spans="1:3" x14ac:dyDescent="0.25">
      <c r="A975" t="s">
        <v>1003</v>
      </c>
      <c r="B975">
        <f>_xlfn.XLOOKUP(A975,'Subbu- Mini Project EXcel Clean'!A975:A1974,'Subbu- Mini Project EXcel Clean'!L975:L1974," ",0)</f>
        <v>146</v>
      </c>
      <c r="C975">
        <f>_xlfn.XLOOKUP(A975,'Subbu- Mini Project EXcel Clean'!A975:A1974,'Subbu- Mini Project EXcel Clean'!K975:K1974," ",0)</f>
        <v>60.8</v>
      </c>
    </row>
    <row r="976" spans="1:3" x14ac:dyDescent="0.25">
      <c r="A976" t="s">
        <v>1004</v>
      </c>
      <c r="B976">
        <f>_xlfn.XLOOKUP(A976,'Subbu- Mini Project EXcel Clean'!A976:A1975,'Subbu- Mini Project EXcel Clean'!L976:L1975," ",0)</f>
        <v>150</v>
      </c>
      <c r="C976">
        <f>_xlfn.XLOOKUP(A976,'Subbu- Mini Project EXcel Clean'!A976:A1975,'Subbu- Mini Project EXcel Clean'!K976:K1975," ",0)</f>
        <v>62.3</v>
      </c>
    </row>
    <row r="977" spans="1:3" x14ac:dyDescent="0.25">
      <c r="A977" t="s">
        <v>1005</v>
      </c>
      <c r="B977">
        <f>_xlfn.XLOOKUP(A977,'Subbu- Mini Project EXcel Clean'!A977:A1976,'Subbu- Mini Project EXcel Clean'!L977:L1976," ",0)</f>
        <v>129</v>
      </c>
      <c r="C977">
        <f>_xlfn.XLOOKUP(A977,'Subbu- Mini Project EXcel Clean'!A977:A1976,'Subbu- Mini Project EXcel Clean'!K977:K1976," ",0)</f>
        <v>53.8</v>
      </c>
    </row>
    <row r="978" spans="1:3" x14ac:dyDescent="0.25">
      <c r="A978" t="s">
        <v>1006</v>
      </c>
      <c r="B978">
        <f>_xlfn.XLOOKUP(A978,'Subbu- Mini Project EXcel Clean'!A978:A1977,'Subbu- Mini Project EXcel Clean'!L978:L1977," ",0)</f>
        <v>162</v>
      </c>
      <c r="C978">
        <f>_xlfn.XLOOKUP(A978,'Subbu- Mini Project EXcel Clean'!A978:A1977,'Subbu- Mini Project EXcel Clean'!K978:K1977," ",0)</f>
        <v>67.599999999999994</v>
      </c>
    </row>
    <row r="979" spans="1:3" x14ac:dyDescent="0.25">
      <c r="A979" t="s">
        <v>1007</v>
      </c>
      <c r="B979">
        <f>_xlfn.XLOOKUP(A979,'Subbu- Mini Project EXcel Clean'!A979:A1978,'Subbu- Mini Project EXcel Clean'!L979:L1978," ",0)</f>
        <v>145</v>
      </c>
      <c r="C979">
        <f>_xlfn.XLOOKUP(A979,'Subbu- Mini Project EXcel Clean'!A979:A1978,'Subbu- Mini Project EXcel Clean'!K979:K1978," ",0)</f>
        <v>60.5</v>
      </c>
    </row>
    <row r="980" spans="1:3" x14ac:dyDescent="0.25">
      <c r="A980" t="s">
        <v>1008</v>
      </c>
      <c r="B980">
        <f>_xlfn.XLOOKUP(A980,'Subbu- Mini Project EXcel Clean'!A980:A1979,'Subbu- Mini Project EXcel Clean'!L980:L1979," ",0)</f>
        <v>178</v>
      </c>
      <c r="C980">
        <f>_xlfn.XLOOKUP(A980,'Subbu- Mini Project EXcel Clean'!A980:A1979,'Subbu- Mini Project EXcel Clean'!K980:K1979," ",0)</f>
        <v>74.099999999999994</v>
      </c>
    </row>
    <row r="981" spans="1:3" x14ac:dyDescent="0.25">
      <c r="A981" t="s">
        <v>1009</v>
      </c>
      <c r="B981">
        <f>_xlfn.XLOOKUP(A981,'Subbu- Mini Project EXcel Clean'!A981:A1980,'Subbu- Mini Project EXcel Clean'!L981:L1980," ",0)</f>
        <v>179</v>
      </c>
      <c r="C981">
        <f>_xlfn.XLOOKUP(A981,'Subbu- Mini Project EXcel Clean'!A981:A1980,'Subbu- Mini Project EXcel Clean'!K981:K1980," ",0)</f>
        <v>74.599999999999994</v>
      </c>
    </row>
    <row r="982" spans="1:3" x14ac:dyDescent="0.25">
      <c r="A982" t="s">
        <v>1010</v>
      </c>
      <c r="B982">
        <f>_xlfn.XLOOKUP(A982,'Subbu- Mini Project EXcel Clean'!A982:A1981,'Subbu- Mini Project EXcel Clean'!L982:L1981," ",0)</f>
        <v>147</v>
      </c>
      <c r="C982">
        <f>_xlfn.XLOOKUP(A982,'Subbu- Mini Project EXcel Clean'!A982:A1981,'Subbu- Mini Project EXcel Clean'!K982:K1981," ",0)</f>
        <v>61.3</v>
      </c>
    </row>
    <row r="983" spans="1:3" x14ac:dyDescent="0.25">
      <c r="A983" t="s">
        <v>1011</v>
      </c>
      <c r="B983">
        <f>_xlfn.XLOOKUP(A983,'Subbu- Mini Project EXcel Clean'!A983:A1982,'Subbu- Mini Project EXcel Clean'!L983:L1982," ",0)</f>
        <v>185</v>
      </c>
      <c r="C983">
        <f>_xlfn.XLOOKUP(A983,'Subbu- Mini Project EXcel Clean'!A983:A1982,'Subbu- Mini Project EXcel Clean'!K983:K1982," ",0)</f>
        <v>77.099999999999994</v>
      </c>
    </row>
    <row r="984" spans="1:3" x14ac:dyDescent="0.25">
      <c r="A984" t="s">
        <v>1012</v>
      </c>
      <c r="B984">
        <f>_xlfn.XLOOKUP(A984,'Subbu- Mini Project EXcel Clean'!A984:A1983,'Subbu- Mini Project EXcel Clean'!L984:L1983," ",0)</f>
        <v>156</v>
      </c>
      <c r="C984">
        <f>_xlfn.XLOOKUP(A984,'Subbu- Mini Project EXcel Clean'!A984:A1983,'Subbu- Mini Project EXcel Clean'!K984:K1983," ",0)</f>
        <v>64.900000000000006</v>
      </c>
    </row>
    <row r="985" spans="1:3" x14ac:dyDescent="0.25">
      <c r="A985" t="s">
        <v>1013</v>
      </c>
      <c r="B985">
        <f>_xlfn.XLOOKUP(A985,'Subbu- Mini Project EXcel Clean'!A985:A1984,'Subbu- Mini Project EXcel Clean'!L985:L1984," ",0)</f>
        <v>156</v>
      </c>
      <c r="C985">
        <f>_xlfn.XLOOKUP(A985,'Subbu- Mini Project EXcel Clean'!A985:A1984,'Subbu- Mini Project EXcel Clean'!K985:K1984," ",0)</f>
        <v>65</v>
      </c>
    </row>
    <row r="986" spans="1:3" x14ac:dyDescent="0.25">
      <c r="A986" t="s">
        <v>1014</v>
      </c>
      <c r="B986">
        <f>_xlfn.XLOOKUP(A986,'Subbu- Mini Project EXcel Clean'!A986:A1985,'Subbu- Mini Project EXcel Clean'!L986:L1985," ",0)</f>
        <v>192</v>
      </c>
      <c r="C986">
        <f>_xlfn.XLOOKUP(A986,'Subbu- Mini Project EXcel Clean'!A986:A1985,'Subbu- Mini Project EXcel Clean'!K986:K1985," ",0)</f>
        <v>79.900000000000006</v>
      </c>
    </row>
    <row r="987" spans="1:3" x14ac:dyDescent="0.25">
      <c r="A987" t="s">
        <v>1015</v>
      </c>
      <c r="B987">
        <f>_xlfn.XLOOKUP(A987,'Subbu- Mini Project EXcel Clean'!A987:A1986,'Subbu- Mini Project EXcel Clean'!L987:L1986," ",0)</f>
        <v>191</v>
      </c>
      <c r="C987">
        <f>_xlfn.XLOOKUP(A987,'Subbu- Mini Project EXcel Clean'!A987:A1986,'Subbu- Mini Project EXcel Clean'!K987:K1986," ",0)</f>
        <v>79.400000000000006</v>
      </c>
    </row>
    <row r="988" spans="1:3" x14ac:dyDescent="0.25">
      <c r="A988" t="s">
        <v>1016</v>
      </c>
      <c r="B988">
        <f>_xlfn.XLOOKUP(A988,'Subbu- Mini Project EXcel Clean'!A988:A1987,'Subbu- Mini Project EXcel Clean'!L988:L1987," ",0)</f>
        <v>194</v>
      </c>
      <c r="C988">
        <f>_xlfn.XLOOKUP(A988,'Subbu- Mini Project EXcel Clean'!A988:A1987,'Subbu- Mini Project EXcel Clean'!K988:K1987," ",0)</f>
        <v>80.900000000000006</v>
      </c>
    </row>
    <row r="989" spans="1:3" x14ac:dyDescent="0.25">
      <c r="A989" t="s">
        <v>1017</v>
      </c>
      <c r="B989">
        <f>_xlfn.XLOOKUP(A989,'Subbu- Mini Project EXcel Clean'!A989:A1988,'Subbu- Mini Project EXcel Clean'!L989:L1988," ",0)</f>
        <v>164</v>
      </c>
      <c r="C989">
        <f>_xlfn.XLOOKUP(A989,'Subbu- Mini Project EXcel Clean'!A989:A1988,'Subbu- Mini Project EXcel Clean'!K989:K1988," ",0)</f>
        <v>68.2</v>
      </c>
    </row>
    <row r="990" spans="1:3" x14ac:dyDescent="0.25">
      <c r="A990" t="s">
        <v>1018</v>
      </c>
      <c r="B990">
        <f>_xlfn.XLOOKUP(A990,'Subbu- Mini Project EXcel Clean'!A990:A1989,'Subbu- Mini Project EXcel Clean'!L990:L1989," ",0)</f>
        <v>157</v>
      </c>
      <c r="C990">
        <f>_xlfn.XLOOKUP(A990,'Subbu- Mini Project EXcel Clean'!A990:A1989,'Subbu- Mini Project EXcel Clean'!K990:K1989," ",0)</f>
        <v>65.400000000000006</v>
      </c>
    </row>
    <row r="991" spans="1:3" x14ac:dyDescent="0.25">
      <c r="A991" t="s">
        <v>1019</v>
      </c>
      <c r="B991">
        <f>_xlfn.XLOOKUP(A991,'Subbu- Mini Project EXcel Clean'!A991:A1990,'Subbu- Mini Project EXcel Clean'!L991:L1990," ",0)</f>
        <v>181</v>
      </c>
      <c r="C991">
        <f>_xlfn.XLOOKUP(A991,'Subbu- Mini Project EXcel Clean'!A991:A1990,'Subbu- Mini Project EXcel Clean'!K991:K1990," ",0)</f>
        <v>75.5</v>
      </c>
    </row>
    <row r="992" spans="1:3" x14ac:dyDescent="0.25">
      <c r="A992" t="s">
        <v>1020</v>
      </c>
      <c r="B992">
        <f>_xlfn.XLOOKUP(A992,'Subbu- Mini Project EXcel Clean'!A992:A1991,'Subbu- Mini Project EXcel Clean'!L992:L1991," ",0)</f>
        <v>195</v>
      </c>
      <c r="C992">
        <f>_xlfn.XLOOKUP(A992,'Subbu- Mini Project EXcel Clean'!A992:A1991,'Subbu- Mini Project EXcel Clean'!K992:K1991," ",0)</f>
        <v>81.400000000000006</v>
      </c>
    </row>
    <row r="993" spans="1:3" x14ac:dyDescent="0.25">
      <c r="A993" t="s">
        <v>1021</v>
      </c>
      <c r="B993">
        <f>_xlfn.XLOOKUP(A993,'Subbu- Mini Project EXcel Clean'!A993:A1992,'Subbu- Mini Project EXcel Clean'!L993:L1992," ",0)</f>
        <v>203</v>
      </c>
      <c r="C993">
        <f>_xlfn.XLOOKUP(A993,'Subbu- Mini Project EXcel Clean'!A993:A1992,'Subbu- Mini Project EXcel Clean'!K993:K1992," ",0)</f>
        <v>84.7</v>
      </c>
    </row>
    <row r="994" spans="1:3" x14ac:dyDescent="0.25">
      <c r="A994" t="s">
        <v>1022</v>
      </c>
      <c r="B994">
        <f>_xlfn.XLOOKUP(A994,'Subbu- Mini Project EXcel Clean'!A994:A1993,'Subbu- Mini Project EXcel Clean'!L994:L1993," ",0)</f>
        <v>170</v>
      </c>
      <c r="C994">
        <f>_xlfn.XLOOKUP(A994,'Subbu- Mini Project EXcel Clean'!A994:A1993,'Subbu- Mini Project EXcel Clean'!K994:K1993," ",0)</f>
        <v>70.900000000000006</v>
      </c>
    </row>
    <row r="995" spans="1:3" x14ac:dyDescent="0.25">
      <c r="A995" t="s">
        <v>1023</v>
      </c>
      <c r="B995">
        <f>_xlfn.XLOOKUP(A995,'Subbu- Mini Project EXcel Clean'!A995:A1994,'Subbu- Mini Project EXcel Clean'!L995:L1994," ",0)</f>
        <v>200</v>
      </c>
      <c r="C995">
        <f>_xlfn.XLOOKUP(A995,'Subbu- Mini Project EXcel Clean'!A995:A1994,'Subbu- Mini Project EXcel Clean'!K995:K1994," ",0)</f>
        <v>83.2</v>
      </c>
    </row>
    <row r="996" spans="1:3" x14ac:dyDescent="0.25">
      <c r="A996" t="s">
        <v>1024</v>
      </c>
      <c r="B996">
        <f>_xlfn.XLOOKUP(A996,'Subbu- Mini Project EXcel Clean'!A996:A1995,'Subbu- Mini Project EXcel Clean'!L996:L1995," ",0)</f>
        <v>164</v>
      </c>
      <c r="C996">
        <f>_xlfn.XLOOKUP(A996,'Subbu- Mini Project EXcel Clean'!A996:A1995,'Subbu- Mini Project EXcel Clean'!K996:K1995," ",0)</f>
        <v>68.400000000000006</v>
      </c>
    </row>
    <row r="997" spans="1:3" x14ac:dyDescent="0.25">
      <c r="A997" t="s">
        <v>1025</v>
      </c>
      <c r="B997">
        <f>_xlfn.XLOOKUP(A997,'Subbu- Mini Project EXcel Clean'!A997:A1996,'Subbu- Mini Project EXcel Clean'!L997:L1996," ",0)</f>
        <v>166</v>
      </c>
      <c r="C997">
        <f>_xlfn.XLOOKUP(A997,'Subbu- Mini Project EXcel Clean'!A997:A1996,'Subbu- Mini Project EXcel Clean'!K997:K1996," ",0)</f>
        <v>69.2</v>
      </c>
    </row>
    <row r="998" spans="1:3" x14ac:dyDescent="0.25">
      <c r="A998" t="s">
        <v>1026</v>
      </c>
      <c r="B998">
        <f>_xlfn.XLOOKUP(A998,'Subbu- Mini Project EXcel Clean'!A998:A1997,'Subbu- Mini Project EXcel Clean'!L998:L1997," ",0)</f>
        <v>202</v>
      </c>
      <c r="C998">
        <f>_xlfn.XLOOKUP(A998,'Subbu- Mini Project EXcel Clean'!A998:A1997,'Subbu- Mini Project EXcel Clean'!K998:K1997," ",0)</f>
        <v>84.3</v>
      </c>
    </row>
    <row r="999" spans="1:3" x14ac:dyDescent="0.25">
      <c r="A999" t="s">
        <v>1027</v>
      </c>
      <c r="B999">
        <f>_xlfn.XLOOKUP(A999,'Subbu- Mini Project EXcel Clean'!A999:A1998,'Subbu- Mini Project EXcel Clean'!L999:L1998," ",0)</f>
        <v>171</v>
      </c>
      <c r="C999">
        <f>_xlfn.XLOOKUP(A999,'Subbu- Mini Project EXcel Clean'!A999:A1998,'Subbu- Mini Project EXcel Clean'!K999:K1998," ",0)</f>
        <v>71.099999999999994</v>
      </c>
    </row>
    <row r="1000" spans="1:3" x14ac:dyDescent="0.25">
      <c r="A1000" t="s">
        <v>1028</v>
      </c>
      <c r="B1000">
        <f>_xlfn.XLOOKUP(A1000,'Subbu- Mini Project EXcel Clean'!A1000:A1999,'Subbu- Mini Project EXcel Clean'!L1000:L1999," ",0)</f>
        <v>206</v>
      </c>
      <c r="C1000">
        <f>_xlfn.XLOOKUP(A1000,'Subbu- Mini Project EXcel Clean'!A1000:A1999,'Subbu- Mini Project EXcel Clean'!K1000:K1999," ",0)</f>
        <v>86</v>
      </c>
    </row>
    <row r="1001" spans="1:3" x14ac:dyDescent="0.25">
      <c r="A1001" t="s">
        <v>1029</v>
      </c>
      <c r="B1001">
        <f>_xlfn.XLOOKUP(A1001,'Subbu- Mini Project EXcel Clean'!A1001:A2000,'Subbu- Mini Project EXcel Clean'!L1001:L2000," ",0)</f>
        <v>182</v>
      </c>
      <c r="C1001">
        <f>_xlfn.XLOOKUP(A1001,'Subbu- Mini Project EXcel Clean'!A1001:A2000,'Subbu- Mini Project EXcel Clean'!K1001:K2000," ",0)</f>
        <v>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Subbu- Mini Project EXcel Clean</vt:lpstr>
      <vt:lpstr>Students marks</vt:lpstr>
      <vt:lpstr>Students Interaction</vt:lpstr>
      <vt:lpstr>Remarks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Acer</cp:lastModifiedBy>
  <cp:revision/>
  <dcterms:created xsi:type="dcterms:W3CDTF">2026-01-28T13:31:53Z</dcterms:created>
  <dcterms:modified xsi:type="dcterms:W3CDTF">2026-01-29T16:36:33Z</dcterms:modified>
  <cp:category/>
  <cp:contentStatus/>
</cp:coreProperties>
</file>